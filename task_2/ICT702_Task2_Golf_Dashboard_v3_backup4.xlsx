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2293EA89-E340-484E-A9CC-F2CB3F05221E}" xr6:coauthVersionLast="47" xr6:coauthVersionMax="47" xr10:uidLastSave="{00000000-0000-0000-0000-000000000000}"/>
  <bookViews>
    <workbookView xWindow="0" yWindow="660" windowWidth="29400" windowHeight="18460" firstSheet="3" activeTab="14" xr2:uid="{00000000-000D-0000-FFFF-FFFF00000000}"/>
  </bookViews>
  <sheets>
    <sheet name="00_README" sheetId="1" r:id="rId1"/>
    <sheet name="01_Timeseries" sheetId="2" r:id="rId2"/>
    <sheet name="02_Age_Gender" sheetId="3" r:id="rId3"/>
    <sheet name="03_Age_Long" sheetId="4" r:id="rId4"/>
    <sheet name="04_States" sheetId="5" r:id="rId5"/>
    <sheet name="05_States_Long" sheetId="6" r:id="rId6"/>
    <sheet name="06_Juniors" sheetId="7" r:id="rId7"/>
    <sheet name="07_Funnel" sheetId="8" r:id="rId8"/>
    <sheet name="08_Europe" sheetId="9" r:id="rId9"/>
    <sheet name="09_Federations" sheetId="10" r:id="rId10"/>
    <sheet name="10_History" sheetId="11" r:id="rId11"/>
    <sheet name="11_Metrics" sheetId="12" r:id="rId12"/>
    <sheet name="12_Chart_Selection" sheetId="13" r:id="rId13"/>
    <sheet name="13_Design_Rationale" sheetId="14" r:id="rId14"/>
    <sheet name="20_Dashboard" sheetId="15" r:id="rId15"/>
  </sheets>
  <definedNames>
    <definedName name="_xlchart.v6.0" hidden="1">'04_States'!$A$31:$A$46</definedName>
    <definedName name="_xlchart.v6.1" hidden="1">'04_States'!$E$30</definedName>
    <definedName name="_xlchart.v6.2" hidden="1">'04_States'!$E$31:$E$46</definedName>
    <definedName name="_xlchart.v6.3" hidden="1">'11_Metrics'!$A$20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2" i="12" l="1"/>
  <c r="B61" i="12"/>
  <c r="B58" i="12"/>
  <c r="H7" i="15" s="1"/>
  <c r="B57" i="12"/>
  <c r="B55" i="12"/>
  <c r="B52" i="12"/>
  <c r="F32" i="12"/>
  <c r="C32" i="12"/>
  <c r="B32" i="12"/>
  <c r="D32" i="12" s="1"/>
  <c r="A32" i="12"/>
  <c r="F31" i="12"/>
  <c r="C31" i="12"/>
  <c r="B31" i="12"/>
  <c r="D31" i="12" s="1"/>
  <c r="H31" i="12" s="1"/>
  <c r="A31" i="12"/>
  <c r="F30" i="12"/>
  <c r="C30" i="12"/>
  <c r="B30" i="12"/>
  <c r="D30" i="12" s="1"/>
  <c r="A30" i="12"/>
  <c r="C29" i="12"/>
  <c r="B29" i="12"/>
  <c r="D29" i="12" s="1"/>
  <c r="A29" i="12"/>
  <c r="C28" i="12"/>
  <c r="B28" i="12"/>
  <c r="D28" i="12" s="1"/>
  <c r="A28" i="12"/>
  <c r="F27" i="12"/>
  <c r="C27" i="12"/>
  <c r="B27" i="12"/>
  <c r="D27" i="12" s="1"/>
  <c r="A27" i="12"/>
  <c r="F26" i="12"/>
  <c r="C26" i="12"/>
  <c r="B26" i="12"/>
  <c r="D26" i="12" s="1"/>
  <c r="H26" i="12" s="1"/>
  <c r="A26" i="12"/>
  <c r="F25" i="12"/>
  <c r="C25" i="12"/>
  <c r="B25" i="12"/>
  <c r="D25" i="12" s="1"/>
  <c r="A25" i="12"/>
  <c r="C24" i="12"/>
  <c r="B24" i="12"/>
  <c r="A24" i="12"/>
  <c r="C23" i="12"/>
  <c r="B23" i="12"/>
  <c r="D23" i="12" s="1"/>
  <c r="A23" i="12"/>
  <c r="F22" i="12"/>
  <c r="C22" i="12"/>
  <c r="B22" i="12"/>
  <c r="D22" i="12" s="1"/>
  <c r="A22" i="12"/>
  <c r="F21" i="12"/>
  <c r="C21" i="12"/>
  <c r="B21" i="12"/>
  <c r="D21" i="12" s="1"/>
  <c r="H21" i="12" s="1"/>
  <c r="A21" i="12"/>
  <c r="C16" i="12"/>
  <c r="B16" i="12"/>
  <c r="C14" i="12"/>
  <c r="C13" i="12"/>
  <c r="C11" i="12"/>
  <c r="B11" i="12"/>
  <c r="C9" i="12"/>
  <c r="C8" i="12"/>
  <c r="C6" i="12"/>
  <c r="B6" i="12"/>
  <c r="D79" i="11"/>
  <c r="D78" i="11"/>
  <c r="D77" i="11"/>
  <c r="D76" i="11"/>
  <c r="D75" i="11"/>
  <c r="D74" i="11"/>
  <c r="D73" i="11"/>
  <c r="D72" i="11"/>
  <c r="D71" i="11"/>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B65" i="12" s="1"/>
  <c r="K5" i="9"/>
  <c r="J5" i="9"/>
  <c r="I5" i="9"/>
  <c r="H5" i="9"/>
  <c r="B31" i="8"/>
  <c r="B30" i="8"/>
  <c r="B29" i="8"/>
  <c r="B28" i="8"/>
  <c r="B27" i="8"/>
  <c r="B20" i="8"/>
  <c r="B19" i="8"/>
  <c r="B64" i="12" s="1"/>
  <c r="B18" i="8"/>
  <c r="B17" i="8"/>
  <c r="B16" i="8"/>
  <c r="B15" i="8"/>
  <c r="B63" i="12" s="1"/>
  <c r="L7" i="15" s="1"/>
  <c r="I10" i="8"/>
  <c r="I9" i="8"/>
  <c r="I8" i="8"/>
  <c r="I7" i="8"/>
  <c r="I6" i="8"/>
  <c r="I5" i="8"/>
  <c r="I15" i="7"/>
  <c r="H15" i="7"/>
  <c r="J15" i="7" s="1"/>
  <c r="I14" i="7"/>
  <c r="J14" i="7" s="1"/>
  <c r="H14" i="7"/>
  <c r="I13" i="7"/>
  <c r="H13" i="7"/>
  <c r="J13" i="7" s="1"/>
  <c r="I12" i="7"/>
  <c r="H12" i="7"/>
  <c r="I11" i="7"/>
  <c r="H11" i="7"/>
  <c r="J11" i="7" s="1"/>
  <c r="L11" i="7" s="1"/>
  <c r="I10" i="7"/>
  <c r="J10" i="7" s="1"/>
  <c r="H10" i="7"/>
  <c r="I9" i="7"/>
  <c r="H9" i="7"/>
  <c r="J9" i="7" s="1"/>
  <c r="I8" i="7"/>
  <c r="H8" i="7"/>
  <c r="I7" i="7"/>
  <c r="H7" i="7"/>
  <c r="J7" i="7" s="1"/>
  <c r="I6" i="7"/>
  <c r="J6" i="7" s="1"/>
  <c r="L6" i="7" s="1"/>
  <c r="H6" i="7"/>
  <c r="J18" i="5"/>
  <c r="I18" i="5"/>
  <c r="G18" i="5"/>
  <c r="H18" i="5" s="1"/>
  <c r="F18" i="5"/>
  <c r="C18" i="5"/>
  <c r="B18" i="5"/>
  <c r="H17" i="5"/>
  <c r="D17" i="5"/>
  <c r="E17" i="5" s="1"/>
  <c r="M16" i="5"/>
  <c r="L16" i="5"/>
  <c r="H16" i="5"/>
  <c r="D16" i="5"/>
  <c r="E16" i="5" s="1"/>
  <c r="E21" i="12" s="1"/>
  <c r="M15" i="5"/>
  <c r="L15" i="5"/>
  <c r="H15" i="5"/>
  <c r="D15" i="5"/>
  <c r="E15" i="5" s="1"/>
  <c r="E31" i="12" s="1"/>
  <c r="M14" i="5"/>
  <c r="L14" i="5"/>
  <c r="H14" i="5"/>
  <c r="D14" i="5"/>
  <c r="E14" i="5" s="1"/>
  <c r="E32" i="12" s="1"/>
  <c r="M13" i="5"/>
  <c r="L13" i="5"/>
  <c r="H13" i="5"/>
  <c r="F29" i="12" s="1"/>
  <c r="D13" i="5"/>
  <c r="E13" i="5" s="1"/>
  <c r="E29" i="12" s="1"/>
  <c r="M12" i="5"/>
  <c r="L12" i="5"/>
  <c r="H12" i="5"/>
  <c r="D12" i="5"/>
  <c r="E12" i="5" s="1"/>
  <c r="E26" i="12" s="1"/>
  <c r="M11" i="5"/>
  <c r="L11" i="5"/>
  <c r="H11" i="5"/>
  <c r="D11" i="5"/>
  <c r="E11" i="5" s="1"/>
  <c r="E25" i="12" s="1"/>
  <c r="M10" i="5"/>
  <c r="L10" i="5"/>
  <c r="H10" i="5"/>
  <c r="D10" i="5"/>
  <c r="E10" i="5" s="1"/>
  <c r="E22" i="12" s="1"/>
  <c r="M9" i="5"/>
  <c r="L9" i="5"/>
  <c r="H9" i="5"/>
  <c r="D9" i="5"/>
  <c r="E9" i="5" s="1"/>
  <c r="E27" i="12" s="1"/>
  <c r="M8" i="5"/>
  <c r="L8" i="5"/>
  <c r="H8" i="5"/>
  <c r="F23" i="12" s="1"/>
  <c r="D8" i="5"/>
  <c r="E8" i="5" s="1"/>
  <c r="E23" i="12" s="1"/>
  <c r="M7" i="5"/>
  <c r="L7" i="5"/>
  <c r="H7" i="5"/>
  <c r="D7" i="5"/>
  <c r="E7" i="5" s="1"/>
  <c r="E30" i="12" s="1"/>
  <c r="M6" i="5"/>
  <c r="L6" i="5"/>
  <c r="H6" i="5"/>
  <c r="F24" i="12" s="1"/>
  <c r="D6" i="5"/>
  <c r="D18" i="5" s="1"/>
  <c r="E18" i="5" s="1"/>
  <c r="M5" i="5"/>
  <c r="L5" i="5"/>
  <c r="H5" i="5"/>
  <c r="F28" i="12" s="1"/>
  <c r="D5" i="5"/>
  <c r="E5" i="5" s="1"/>
  <c r="E28" i="12" s="1"/>
  <c r="AD17" i="3"/>
  <c r="AC17" i="3"/>
  <c r="AA17" i="3"/>
  <c r="Z17" i="3"/>
  <c r="Y17" i="3"/>
  <c r="X17" i="3"/>
  <c r="W17" i="3"/>
  <c r="V17" i="3"/>
  <c r="U17" i="3"/>
  <c r="T17" i="3"/>
  <c r="R17" i="3"/>
  <c r="Q17" i="3"/>
  <c r="P17" i="3"/>
  <c r="O17" i="3"/>
  <c r="N17" i="3"/>
  <c r="L17" i="3"/>
  <c r="K17" i="3"/>
  <c r="J17" i="3"/>
  <c r="I17" i="3"/>
  <c r="H17" i="3"/>
  <c r="G17" i="3"/>
  <c r="F17" i="3"/>
  <c r="E17" i="3"/>
  <c r="C17" i="3"/>
  <c r="B17" i="3"/>
  <c r="AE16" i="3"/>
  <c r="AB16" i="3"/>
  <c r="Y16" i="3"/>
  <c r="V16" i="3"/>
  <c r="S16" i="3"/>
  <c r="P16" i="3"/>
  <c r="M16" i="3"/>
  <c r="J16" i="3"/>
  <c r="G16" i="3"/>
  <c r="D16" i="3"/>
  <c r="AE15" i="3"/>
  <c r="C15" i="12" s="1"/>
  <c r="AB15" i="3"/>
  <c r="Y15" i="3"/>
  <c r="V15" i="3"/>
  <c r="S15" i="3"/>
  <c r="P15" i="3"/>
  <c r="M15" i="3"/>
  <c r="J15" i="3"/>
  <c r="G15" i="3"/>
  <c r="D15" i="3"/>
  <c r="B15" i="12" s="1"/>
  <c r="AE14" i="3"/>
  <c r="AB14" i="3"/>
  <c r="Y14" i="3"/>
  <c r="V14" i="3"/>
  <c r="S14" i="3"/>
  <c r="P14" i="3"/>
  <c r="M14" i="3"/>
  <c r="J14" i="3"/>
  <c r="G14" i="3"/>
  <c r="D14" i="3"/>
  <c r="B14" i="12" s="1"/>
  <c r="AE13" i="3"/>
  <c r="AB13" i="3"/>
  <c r="Y13" i="3"/>
  <c r="V13" i="3"/>
  <c r="S13" i="3"/>
  <c r="P13" i="3"/>
  <c r="M13" i="3"/>
  <c r="J13" i="3"/>
  <c r="G13" i="3"/>
  <c r="D13" i="3"/>
  <c r="B13" i="12" s="1"/>
  <c r="AE12" i="3"/>
  <c r="C12" i="12" s="1"/>
  <c r="AB12" i="3"/>
  <c r="Y12" i="3"/>
  <c r="V12" i="3"/>
  <c r="S12" i="3"/>
  <c r="P12" i="3"/>
  <c r="M12" i="3"/>
  <c r="J12" i="3"/>
  <c r="G12" i="3"/>
  <c r="D12" i="3"/>
  <c r="B12" i="12" s="1"/>
  <c r="AE11" i="3"/>
  <c r="AB11" i="3"/>
  <c r="Y11" i="3"/>
  <c r="V11" i="3"/>
  <c r="S11" i="3"/>
  <c r="P11" i="3"/>
  <c r="M11" i="3"/>
  <c r="J11" i="3"/>
  <c r="G11" i="3"/>
  <c r="D11" i="3"/>
  <c r="AE10" i="3"/>
  <c r="C10" i="12" s="1"/>
  <c r="AB10" i="3"/>
  <c r="Y10" i="3"/>
  <c r="V10" i="3"/>
  <c r="S10" i="3"/>
  <c r="P10" i="3"/>
  <c r="M10" i="3"/>
  <c r="J10" i="3"/>
  <c r="G10" i="3"/>
  <c r="D10" i="3"/>
  <c r="B10" i="12" s="1"/>
  <c r="AE9" i="3"/>
  <c r="AB9" i="3"/>
  <c r="Y9" i="3"/>
  <c r="V9" i="3"/>
  <c r="S9" i="3"/>
  <c r="P9" i="3"/>
  <c r="M9" i="3"/>
  <c r="J9" i="3"/>
  <c r="G9" i="3"/>
  <c r="D9" i="3"/>
  <c r="B9" i="12" s="1"/>
  <c r="AE8" i="3"/>
  <c r="AB8" i="3"/>
  <c r="Y8" i="3"/>
  <c r="V8" i="3"/>
  <c r="S8" i="3"/>
  <c r="P8" i="3"/>
  <c r="M8" i="3"/>
  <c r="J8" i="3"/>
  <c r="G8" i="3"/>
  <c r="D8" i="3"/>
  <c r="B8" i="12" s="1"/>
  <c r="AE7" i="3"/>
  <c r="C7" i="12" s="1"/>
  <c r="AB7" i="3"/>
  <c r="Y7" i="3"/>
  <c r="V7" i="3"/>
  <c r="S7" i="3"/>
  <c r="P7" i="3"/>
  <c r="M7" i="3"/>
  <c r="J7" i="3"/>
  <c r="G7" i="3"/>
  <c r="D7" i="3"/>
  <c r="B7" i="12" s="1"/>
  <c r="AE6" i="3"/>
  <c r="AE17" i="3" s="1"/>
  <c r="AB6" i="3"/>
  <c r="AB17" i="3" s="1"/>
  <c r="Y6" i="3"/>
  <c r="V6" i="3"/>
  <c r="S6" i="3"/>
  <c r="S17" i="3" s="1"/>
  <c r="P6" i="3"/>
  <c r="M6" i="3"/>
  <c r="M17" i="3" s="1"/>
  <c r="J6" i="3"/>
  <c r="G6" i="3"/>
  <c r="D6" i="3"/>
  <c r="D17" i="3" s="1"/>
  <c r="K14" i="2"/>
  <c r="J14" i="2"/>
  <c r="G14" i="2"/>
  <c r="B54" i="12" s="1"/>
  <c r="F14" i="2"/>
  <c r="B53" i="12" s="1"/>
  <c r="E14" i="2"/>
  <c r="B56" i="12" s="1"/>
  <c r="F7" i="15" s="1"/>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D7" i="15"/>
  <c r="B7" i="15"/>
  <c r="D24" i="12" l="1"/>
  <c r="K13" i="7"/>
  <c r="D9" i="12"/>
  <c r="H24" i="12"/>
  <c r="G24" i="12"/>
  <c r="L9" i="7"/>
  <c r="H32" i="12"/>
  <c r="G32" i="12"/>
  <c r="D10" i="12"/>
  <c r="F10" i="12"/>
  <c r="K9" i="7"/>
  <c r="L14" i="7"/>
  <c r="F11" i="12"/>
  <c r="G27" i="12"/>
  <c r="H27" i="12"/>
  <c r="H30" i="12"/>
  <c r="G30" i="12"/>
  <c r="L15" i="7"/>
  <c r="B60" i="12"/>
  <c r="J7" i="15" s="1"/>
  <c r="B59" i="12"/>
  <c r="K15" i="7"/>
  <c r="F13" i="12"/>
  <c r="H22" i="12"/>
  <c r="G22" i="12"/>
  <c r="H25" i="12"/>
  <c r="G25" i="12"/>
  <c r="L10" i="7"/>
  <c r="D14" i="12"/>
  <c r="F12" i="12"/>
  <c r="D12" i="12"/>
  <c r="K11" i="7"/>
  <c r="F16" i="12"/>
  <c r="H28" i="12"/>
  <c r="G28" i="12"/>
  <c r="L7" i="7"/>
  <c r="H23" i="12"/>
  <c r="G23" i="12"/>
  <c r="K7" i="7"/>
  <c r="K12" i="7"/>
  <c r="F6" i="12"/>
  <c r="F7" i="12"/>
  <c r="D7" i="12"/>
  <c r="D15" i="12"/>
  <c r="F15" i="12"/>
  <c r="L13" i="7"/>
  <c r="F8" i="12"/>
  <c r="H29" i="12"/>
  <c r="G29" i="12"/>
  <c r="K6" i="7"/>
  <c r="E6" i="5"/>
  <c r="E24" i="12" s="1"/>
  <c r="D6" i="12"/>
  <c r="F9" i="12"/>
  <c r="D11" i="12"/>
  <c r="F14" i="12"/>
  <c r="D16" i="12"/>
  <c r="G21" i="12"/>
  <c r="G26" i="12"/>
  <c r="G31" i="12"/>
  <c r="K10" i="7"/>
  <c r="K14" i="7"/>
  <c r="D8" i="12"/>
  <c r="D13" i="12"/>
  <c r="J8" i="7"/>
  <c r="L8" i="7" s="1"/>
  <c r="J12" i="7"/>
  <c r="L12" i="7" s="1"/>
  <c r="B46" i="12" l="1"/>
  <c r="E14" i="12"/>
  <c r="G14" i="12"/>
  <c r="G12" i="12"/>
  <c r="E12" i="12"/>
  <c r="B44" i="12"/>
  <c r="E10" i="12"/>
  <c r="B42" i="12"/>
  <c r="G10" i="12"/>
  <c r="G16" i="12"/>
  <c r="E16" i="12"/>
  <c r="B48" i="12"/>
  <c r="B41" i="12"/>
  <c r="G9" i="12"/>
  <c r="E9" i="12"/>
  <c r="G13" i="12"/>
  <c r="E13" i="12"/>
  <c r="B45" i="12"/>
  <c r="B43" i="12"/>
  <c r="G11" i="12"/>
  <c r="E11" i="12"/>
  <c r="E15" i="12"/>
  <c r="B47" i="12"/>
  <c r="G15" i="12"/>
  <c r="B39" i="12"/>
  <c r="G7" i="12"/>
  <c r="E7" i="12"/>
  <c r="G8" i="12"/>
  <c r="E8" i="12"/>
  <c r="B40" i="12"/>
  <c r="G6" i="12"/>
  <c r="E6" i="12"/>
  <c r="B38" i="12"/>
  <c r="K8" i="7"/>
  <c r="B49" i="12" l="1"/>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7"/>
        </ext>
      </extLst>
    </bk>
    <bk>
      <extLst>
        <ext uri="{3e2802c4-a4d2-4d8b-9148-e3be6c30e623}">
          <xlrd:rvb i="49"/>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2"/>
        </ext>
      </extLst>
    </bk>
    <bk>
      <extLst>
        <ext uri="{3e2802c4-a4d2-4d8b-9148-e3be6c30e623}">
          <xlrd:rvb i="103"/>
        </ext>
      </extLst>
    </bk>
    <bk>
      <extLst>
        <ext uri="{3e2802c4-a4d2-4d8b-9148-e3be6c30e623}">
          <xlrd:rvb i="114"/>
        </ext>
      </extLst>
    </bk>
    <bk>
      <extLst>
        <ext uri="{3e2802c4-a4d2-4d8b-9148-e3be6c30e623}">
          <xlrd:rvb i="126"/>
        </ext>
      </extLst>
    </bk>
    <bk>
      <extLst>
        <ext uri="{3e2802c4-a4d2-4d8b-9148-e3be6c30e623}">
          <xlrd:rvb i="136"/>
        </ext>
      </extLst>
    </bk>
    <bk>
      <extLst>
        <ext uri="{3e2802c4-a4d2-4d8b-9148-e3be6c30e623}">
          <xlrd:rvb i="147"/>
        </ext>
      </extLst>
    </bk>
    <bk>
      <extLst>
        <ext uri="{3e2802c4-a4d2-4d8b-9148-e3be6c30e623}">
          <xlrd:rvb i="158"/>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<sst xmlns="http://schemas.openxmlformats.org/spreadsheetml/2006/main" count="3902" uniqueCount="442">
  <si>
    <t>GROWING GOLF IN GERMANY   —   Participation Dashboard 2016–2025</t>
  </si>
  <si>
    <t>Audience: German Golf Federation (DGV), state associations and facility operators   |   Players as at 30 Sep 2025, facilities 31 Dec 2025   |   Sources: DGV; Allensbach/AWA; The R&amp;A; Destatis</t>
  </si>
  <si>
    <t>PLAYERS 2025</t>
  </si>
  <si>
    <t>GROWTH 2016–25</t>
  </si>
  <si>
    <t>FEMALE SHARE</t>
  </si>
  <si>
    <t>AGED 61+</t>
  </si>
  <si>
    <t>UNDER 19 vs 2016</t>
  </si>
  <si>
    <t>INTERESTED / MEMBER</t>
  </si>
  <si>
    <t>2   The participation gap: 6.9m interested, 0.7m registered</t>
  </si>
  <si>
    <t>3   Where growth comes from and where it leaks (orange = net loss)</t>
  </si>
  <si>
    <t>4   The female share keeps sliding while male membership grows</t>
  </si>
  <si>
    <t>5   Domestic headroom: penetration varies eighteenfold (red line = national average, 8.3)</t>
  </si>
  <si>
    <t>6   European ceiling: Germany sits far below the northern markets</t>
  </si>
  <si>
    <t>Colour encoding: blue #0072B2 = male members and volume measures, orange #E69F00 = female members and the opportunity measure. Palette after Okabe and Ito (2008), distinguishable under all common forms of colour vision deficiency.   |   Sources: Deutscher Golf Verband (2017–2026); Institut für Demoskopie Allensbach / AWA 2025 via Statista; The R&amp;A (2025); Statistisches Bundesamt (2025). Full source list and caveats on sheet 00_README.</t>
  </si>
  <si>
    <t>ICT702 Task 2 — Growing Golf in Germany  (v2, full source set)</t>
  </si>
  <si>
    <t>Data sources, definitions, reconciliation and workbook structure</t>
  </si>
  <si>
    <t>PURPOSE</t>
  </si>
  <si>
    <t>Data basis for an Excel dashboard supporting the German Golf Federation (DGV), the state golf associations and facility operators in decisions aimed at increasing participation in golf.</t>
  </si>
  <si>
    <t>AUDIENCE</t>
  </si>
  <si>
    <t>DGV executive board, state golf associations, golf facility operators.</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</si>
  <si>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</si>
  <si>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</si>
  <si>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</si>
  <si>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</si>
  <si>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</si>
  <si>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</si>
  <si>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</si>
  <si>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</si>
  <si>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</si>
  <si>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</si>
  <si>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</si>
  <si>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</si>
  <si>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</si>
  <si>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</si>
  <si>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</si>
  <si>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</si>
  <si>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</si>
  <si>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</si>
  <si>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</si>
  <si>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</si>
  <si>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</si>
  <si>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</si>
  <si>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</si>
  <si>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</si>
  <si>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</si>
  <si>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</si>
  <si>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</si>
  <si>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</si>
  <si>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</si>
  <si>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</si>
  <si>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</si>
  <si>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</si>
  <si>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</si>
  <si>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</si>
  <si>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</si>
  <si>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</si>
  <si>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</si>
  <si>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</si>
  <si>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</si>
  <si>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</si>
  <si>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03_Age_Long</t>
  </si>
  <si>
    <t>Same data in long format — source for PivotTables</t>
  </si>
  <si>
    <t>04_States</t>
  </si>
  <si>
    <t>State associations 2016 vs 2025, facilities, population, penetration</t>
  </si>
  <si>
    <t>05_States_Long</t>
  </si>
  <si>
    <t>State association by age band, all ten years, long format</t>
  </si>
  <si>
    <t>06_Juniors</t>
  </si>
  <si>
    <t>Members under 19 by gender, 2016–2025</t>
  </si>
  <si>
    <t>07_Funnel</t>
  </si>
  <si>
    <t>Allensbach awareness / interest / play funnel 2019–2025 (S3)</t>
  </si>
  <si>
    <t>08_Europe</t>
  </si>
  <si>
    <t>R&amp;A European benchmark: penetration, female share, courses (S5)</t>
  </si>
  <si>
    <t>09_Federations</t>
  </si>
  <si>
    <t>Top 15 German Olympic sports federations (S10)</t>
  </si>
  <si>
    <t>10_History</t>
  </si>
  <si>
    <t>Clubs and players 1951–2025 (S4)</t>
  </si>
  <si>
    <t>11_Metrics</t>
  </si>
  <si>
    <t>Derived metrics as live formulas, plus a waterfall-ready data block</t>
  </si>
  <si>
    <t>12_Chart_Selection</t>
  </si>
  <si>
    <t>Course chart-selection matrix (Module 3) and the chart types to avoid</t>
  </si>
  <si>
    <t>13_Design_Rationale</t>
  </si>
  <si>
    <t>Every design choice traced to its ICT702 module — source for Criterion 3</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</si>
  <si>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</si>
  <si>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</si>
  <si>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</si>
  <si>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</si>
  <si>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</si>
  <si>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</si>
  <si>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</si>
  <si>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</si>
  <si>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</si>
  <si>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</si>
  <si>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</si>
  <si>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</si>
  <si>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</si>
  <si>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</si>
  <si>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</si>
  <si>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</si>
  <si>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</si>
  <si>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</si>
  <si>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</si>
  <si>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</si>
  <si>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</si>
  <si>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</si>
  <si>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</si>
  <si>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</si>
  <si>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</si>
  <si>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</si>
  <si>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</si>
  <si>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</si>
  <si>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</si>
  <si>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</si>
  <si>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</si>
  <si>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</si>
  <si>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</si>
  <si>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</si>
  <si>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</si>
  <si>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</si>
  <si>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</si>
  <si>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</si>
  <si>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</si>
  <si>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</si>
  <si>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</si>
  <si>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</si>
  <si>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Age structure, long format</t>
  </si>
  <si>
    <t>Insert &gt; PivotTable to build your own cuts</t>
  </si>
  <si>
    <t>Age rank</t>
  </si>
  <si>
    <t>Gender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</si>
  <si>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</si>
  <si>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</si>
  <si>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</si>
  <si>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</si>
  <si>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</si>
  <si>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</si>
  <si>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</si>
  <si>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</si>
  <si>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</si>
  <si>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</si>
  <si>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</si>
  <si>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</si>
  <si>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</si>
  <si>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</si>
  <si>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</si>
  <si>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</si>
  <si>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</si>
  <si>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</si>
  <si>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</si>
  <si>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</si>
  <si>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</si>
  <si>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</si>
  <si>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</si>
  <si>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</si>
  <si>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</si>
  <si>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</si>
  <si>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</si>
  <si>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State association by age band, 2016–2025, long format</t>
  </si>
  <si>
    <t>Source: S1</t>
  </si>
  <si>
    <t>Members aged under 19, 2016–2025</t>
  </si>
  <si>
    <t>M</t>
  </si>
  <si>
    <t>F</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</si>
  <si>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</si>
  <si>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</si>
  <si>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</si>
  <si>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</si>
  <si>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</si>
  <si>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</si>
  <si>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</si>
  <si>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</si>
  <si>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</si>
  <si>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</si>
  <si>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</si>
  <si>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</si>
  <si>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</si>
  <si>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</si>
  <si>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</si>
  <si>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</si>
  <si>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</si>
  <si>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</si>
  <si>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</si>
  <si>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</si>
  <si>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</si>
  <si>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</si>
  <si>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</si>
  <si>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</si>
  <si>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</si>
  <si>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</si>
  <si>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</si>
  <si>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</si>
  <si>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</si>
  <si>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</si>
  <si>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</si>
  <si>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</si>
  <si>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</si>
  <si>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</si>
  <si>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</si>
  <si>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</si>
  <si>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</si>
  <si>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</si>
  <si>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</si>
  <si>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</si>
  <si>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</si>
  <si>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</si>
  <si>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</si>
  <si>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</si>
  <si>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</si>
  <si>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</si>
  <si>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</si>
  <si>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</si>
  <si>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</si>
  <si>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</si>
  <si>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</si>
  <si>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</si>
  <si>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</si>
  <si>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</si>
  <si>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</si>
  <si>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</si>
  <si>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</si>
  <si>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</si>
  <si>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</si>
  <si>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</si>
  <si>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</si>
  <si>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</si>
  <si>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</si>
  <si>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</si>
  <si>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</si>
  <si>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Top 15 Olympic sports federations in Germany</t>
  </si>
  <si>
    <t>DOSB membership survey as at 1 January 2025 (2024 data), cited in S1 (S10)</t>
  </si>
  <si>
    <t>Rank</t>
  </si>
  <si>
    <t>Sports federation</t>
  </si>
  <si>
    <t>Members</t>
  </si>
  <si>
    <t>German Football Association</t>
  </si>
  <si>
    <t>German Gymnastics Federation</t>
  </si>
  <si>
    <t>German Tennis Federation</t>
  </si>
  <si>
    <t>German Alpine Club</t>
  </si>
  <si>
    <t>German Shooting Federation</t>
  </si>
  <si>
    <t>German Athletics Federation</t>
  </si>
  <si>
    <t>German Handball Federation</t>
  </si>
  <si>
    <t>German Golf Federation (DGV)</t>
  </si>
  <si>
    <t>German Equestrian Federation</t>
  </si>
  <si>
    <t>German Life Saving Association</t>
  </si>
  <si>
    <t>German Swimming Federation</t>
  </si>
  <si>
    <t>German Table Tennis Federation</t>
  </si>
  <si>
    <t>German Ski Federation</t>
  </si>
  <si>
    <t>German Disabled Sports Federation</t>
  </si>
  <si>
    <t>German Volleyball Federation</t>
  </si>
  <si>
    <t>Clubs and players, 1951–2025</t>
  </si>
  <si>
    <t>Source: S4 (Statista IDs 6888, 6892)</t>
  </si>
  <si>
    <t>Players per club</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</si>
  <si>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</si>
  <si>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</si>
  <si>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</si>
  <si>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</si>
  <si>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</si>
  <si>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</si>
  <si>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</si>
  <si>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</si>
  <si>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</si>
  <si>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</si>
  <si>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</si>
  <si>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</si>
  <si>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</si>
  <si>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</si>
  <si>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</si>
  <si>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</si>
  <si>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</si>
  <si>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</si>
  <si>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</si>
  <si>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</si>
  <si>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</si>
  <si>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</si>
  <si>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</si>
  <si>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</si>
  <si>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</si>
  <si>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</si>
  <si>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</si>
  <si>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Chart selection guide (ICT702 Module 3)</t>
  </si>
  <si>
    <t>Four analytical goals from Module 3.2; chart guidance from Module 3.4 and Selecting a Chart Type, Parts 1–3</t>
  </si>
  <si>
    <t>Chart type</t>
  </si>
  <si>
    <t>Relationship</t>
  </si>
  <si>
    <t>Distribution</t>
  </si>
  <si>
    <t>Composition</t>
  </si>
  <si>
    <t>Ranking</t>
  </si>
  <si>
    <t>When to use it</t>
  </si>
  <si>
    <t>Scatter</t>
  </si>
  <si>
    <t>●</t>
  </si>
  <si>
    <t>Two quantitative variables; shows correlation and spread.</t>
  </si>
  <si>
    <t>Bubble</t>
  </si>
  <si>
    <t>Three quantitative variables; third encoded as bubble size.</t>
  </si>
  <si>
    <t>Line</t>
  </si>
  <si>
    <t>Time series. Connecting points implies continuity and makes trends visible.</t>
  </si>
  <si>
    <t>Stock</t>
  </si>
  <si>
    <t>Time against price ranges (high–low–close).</t>
  </si>
  <si>
    <t>Column</t>
  </si>
  <si>
    <t>Categories, and distribution over time. Preferred over bar for time series.</t>
  </si>
  <si>
    <t>Bar</t>
  </si>
  <si>
    <t>Categories with long labels; sorted bar is the standard for ranking.</t>
  </si>
  <si>
    <t>Heat map</t>
  </si>
  <si>
    <t>Relationships between two categorical dimensions, magnitude by colour.</t>
  </si>
  <si>
    <t>Choropleth</t>
  </si>
  <si>
    <t>Quantitative or categorical values across a geographical area.</t>
  </si>
  <si>
    <t>Stacked bar</t>
  </si>
  <si>
    <t>Composition within each category plus the total.</t>
  </si>
  <si>
    <t>Stacked column</t>
  </si>
  <si>
    <t>Composition over time plus the total.</t>
  </si>
  <si>
    <t>Treemap</t>
  </si>
  <si>
    <t>Composition of a hierarchy of categorical variables.</t>
  </si>
  <si>
    <t>Waterfall</t>
  </si>
  <si>
    <t>How a quantitative total is built up or eroded across categories or time.</t>
  </si>
  <si>
    <t>Funnel</t>
  </si>
  <si>
    <t>Drill-down from a whole to its parts across sequential stages.</t>
  </si>
  <si>
    <t>Histogram</t>
  </si>
  <si>
    <t>Distribution of one quantitative variable across bins (Module 6).</t>
  </si>
  <si>
    <t>Frequency polygon</t>
  </si>
  <si>
    <t>Distribution as a line; good for comparing two groups (Module 6).</t>
  </si>
  <si>
    <t>Slope</t>
  </si>
  <si>
    <t>Change between exactly two points in time across categories (Module 8).</t>
  </si>
  <si>
    <t>Table</t>
  </si>
  <si>
    <t>Exact values, precise comparisons, or mixed units and magnitudes.</t>
  </si>
  <si>
    <t>Chart types to avoid (Module 3.4)</t>
  </si>
  <si>
    <t>Avoid</t>
  </si>
  <si>
    <t>Why</t>
  </si>
  <si>
    <t>Use instead</t>
  </si>
  <si>
    <t>Pie chart</t>
  </si>
  <si>
    <t>People judge length better than angle or area; many colours raise cognitive load.</t>
  </si>
  <si>
    <t>Bar chart</t>
  </si>
  <si>
    <t>Radar chart</t>
  </si>
  <si>
    <t>Hard to interpret; overlapping axes.</t>
  </si>
  <si>
    <t>Clustered column chart</t>
  </si>
  <si>
    <t>Area chart</t>
  </si>
  <si>
    <t>Cluttered and hard to read when series overlap.</t>
  </si>
  <si>
    <t>Multiple line chart</t>
  </si>
  <si>
    <t>Combo chart</t>
  </si>
  <si>
    <t>Two scales on one frame are cluttered and easy to misread.</t>
  </si>
  <si>
    <t>Two separate charts</t>
  </si>
  <si>
    <t>3D chart</t>
  </si>
  <si>
    <t>The third dimension adds clutter without adding information.</t>
  </si>
  <si>
    <t>The 2D equivalent</t>
  </si>
  <si>
    <t>None of the five appears in this dashboard.</t>
  </si>
  <si>
    <t>Design rationale: every choice traced to a course concept</t>
  </si>
  <si>
    <t>Source material for the 400-word statement on theories and principles (Criterion 3)</t>
  </si>
  <si>
    <t>A)  Chart-by-chart justification</t>
  </si>
  <si>
    <t>#</t>
  </si>
  <si>
    <t>Visualisation</t>
  </si>
  <si>
    <t>Analytical goal</t>
  </si>
  <si>
    <t>Data type</t>
  </si>
  <si>
    <t>Why this chart, and the principle behind it</t>
  </si>
  <si>
    <t>Membership 2016–2025 (line)</t>
  </si>
  <si>
    <t>Relationship / trend</t>
  </si>
  <si>
    <t>Time series, quantitative</t>
  </si>
  <si>
    <t>Module 3: line charts suit time series because connecting points implies continuity. Gestalt principle of connection (Module 4) makes the 2020–21 surge and the 2023 dip read as one story.</t>
  </si>
  <si>
    <t>Participation funnel (funnel)</t>
  </si>
  <si>
    <t>Cross-sectional, quantitative</t>
  </si>
  <si>
    <t>Module 3.4: a funnel drills down from the whole to individual parts. Stage order is inherent, so position encodes sequence and length encodes magnitude — both strong pre-attentive attributes.</t>
  </si>
  <si>
    <t>Net change by age band (waterfall / bar)</t>
  </si>
  <si>
    <t>Categorical (ordinal) × quantitative</t>
  </si>
  <si>
    <t>Module 3.4: a waterfall shows how a quantitative total is built up and eroded across categories. Diverging colour at the zero reference value (Module 5) separates gains from losses pre-attentively.</t>
  </si>
  <si>
    <t>Male and female members (multiple line)</t>
  </si>
  <si>
    <t>Relationship / comparison</t>
  </si>
  <si>
    <t>Time series × categorical</t>
  </si>
  <si>
    <t>Module 3: a multiple line chart is less cluttered than a clustered column chart for two series over time. Blue and orange are held constant for gender across the whole dashboard (Module 5, consistency).</t>
  </si>
  <si>
    <t>Penetration by state (sorted bar)</t>
  </si>
  <si>
    <t>Categorical × quantitative</t>
  </si>
  <si>
    <t>Module 3.4: rank order is best shown by a sorted bar chart. Bar rather than column because the state names are long (Module 3, Part 1). Diverging colour marks the national average as reference.</t>
  </si>
  <si>
    <t>European benchmark (sorted bar)</t>
  </si>
  <si>
    <t>Same ranking logic. Highlight scheme from Module 5: the focus country keeps the hue, all context countries turn grey, which cuts cognitive load and directs attention without a legend.</t>
  </si>
  <si>
    <t>B)  Principles applied across the dashboard</t>
  </si>
  <si>
    <t>Principle</t>
  </si>
  <si>
    <t>Module</t>
  </si>
  <si>
    <t>How it is applied here</t>
  </si>
  <si>
    <t>Pre-attentive: colour</t>
  </si>
  <si>
    <t>Module 4</t>
  </si>
  <si>
    <t>Hue carries meaning throughout: blue for male and for volume measures, orange for female and for shortfalls. Nothing is coloured decoratively.</t>
  </si>
  <si>
    <t>Pre-attentive: length</t>
  </si>
  <si>
    <t>Every comparison is encoded as bar or line length, the attribute people judge most accurately. No angle or area encodings are used anywhere.</t>
  </si>
  <si>
    <t>Pre-attentive: spatial position</t>
  </si>
  <si>
    <t>Reading order runs left to right and top to bottom: state of play, then the opportunity, then the structural problem, then where to act.</t>
  </si>
  <si>
    <t>Gestalt: similarity</t>
  </si>
  <si>
    <t>Identical colour encoding across all six charts signals that the same entity is meant.</t>
  </si>
  <si>
    <t>Gestalt: proximity</t>
  </si>
  <si>
    <t>KPI tiles sit as one band directly under the title; each chart sits directly under its own heading.</t>
  </si>
  <si>
    <t>Gestalt: enclosure</t>
  </si>
  <si>
    <t>The title bar and the KPI tiles are filled blocks, which separates the summary layer from the charts.</t>
  </si>
  <si>
    <t>Gestalt: connection</t>
  </si>
  <si>
    <t>Lines connect the time-series markers so trends read as continuous movement, not isolated points.</t>
  </si>
  <si>
    <t>Data-ink ratio</t>
  </si>
  <si>
    <t>Gridlines removed, no chart borders, no decorative fills, legends dropped wherever a single series or a direct label already identifies the data.</t>
  </si>
  <si>
    <t>Minimising eye travel</t>
  </si>
  <si>
    <t>Each chart carries a sentence-style heading that states the finding, so the reader does not have to decode the chart before knowing what it says.</t>
  </si>
  <si>
    <t>Font choice</t>
  </si>
  <si>
    <t>Calibri throughout — sans-serif, which the module recommends for on-screen visualisation because it stays legible at small sizes.</t>
  </si>
  <si>
    <t>Number formatting</t>
  </si>
  <si>
    <t>Numeric columns right-aligned with a consistent number of decimals; large counts use thousands separators and percentages one decimal.</t>
  </si>
  <si>
    <t>Categorical colour scheme</t>
  </si>
  <si>
    <t>Module 5</t>
  </si>
  <si>
    <t>Two hues only, well inside the six-colour ceiling the module sets for categorical schemes.</t>
  </si>
  <si>
    <t>Diverging colour scheme</t>
  </si>
  <si>
    <t>Used twice, each time around a meaningful reference value: zero change for age bands, the national average for state penetration.</t>
  </si>
  <si>
    <t>Highlight scheme</t>
  </si>
  <si>
    <t>On the European benchmark the subject country keeps the hue and everything else turns grey.</t>
  </si>
  <si>
    <t>Colour-vision deficiency</t>
  </si>
  <si>
    <t>Blue #0072B2 and orange #E69F00 from the Okabe-Ito palette remain separable under deuteranopia, protanopia and tritanopia — the module names neglecting colourblindness as a common mistake.</t>
  </si>
  <si>
    <t>Consistency across charts</t>
  </si>
  <si>
    <t>The module's own worked example uses orange and blue for two fixed groups across a series of charts; the same discipline is kept here.</t>
  </si>
  <si>
    <t>Contrast</t>
  </si>
  <si>
    <t>Luminance differs markedly between the two hues and against the light ground, so the pair stays readable in print as well as on screen.</t>
  </si>
  <si>
    <t>C)  Preparation stages (Criterion 3 asks for the whole pipeline)</t>
  </si>
  <si>
    <t>1  Source selection</t>
  </si>
  <si>
    <t>Ten DGV yearbooks as the primary series; Allensbach for latent demand; the R&amp;A for international benchmarking; Destatis for population denominators.</t>
  </si>
  <si>
    <t>2  Extraction</t>
  </si>
  <si>
    <t>Tables extracted from the published PDFs rather than retyped, so transcription error is removed as a failure mode.</t>
  </si>
  <si>
    <t>3  Validation</t>
  </si>
  <si>
    <t>For every year 2016–2025, four independently published figures reconcile exactly: the age-by-gender table, the thirteen state rows, the national player series and the facility counts.</t>
  </si>
  <si>
    <t>4  Structuring</t>
  </si>
  <si>
    <t>Wide tables kept in the published shape for auditability; parallel long-format tables added so PivotTables can be built without restructuring anything.</t>
  </si>
  <si>
    <t>5  Derivation</t>
  </si>
  <si>
    <t>Rates, shares and per-capita measures written as live formulas rather than pasted values, so the dashboard recalculates if a source is updated.</t>
  </si>
  <si>
    <t>6  Chart selection</t>
  </si>
  <si>
    <t>Each visualisation matched to one of the four analytical goals before a chart type was chosen.</t>
  </si>
  <si>
    <t>7  Design refinement</t>
  </si>
  <si>
    <t>Decluttering, colour encoding, sorting and labelling applied as a deliberate pass, not left at Excel defaults — which Module 4 names as a common mistake.</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</si>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</sst>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7"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12"/>
      <color rgb="FF0072B2"/>
      <name val="Calibri"/>
      <family val="2"/>
    </font>
    <font>
      <sz val="9"/>
      <name val="Calibri"/>
      <family val="2"/>
    </font>
    <font>
      <sz val="9"/>
      <color rgb="FF595959"/>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3">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3" fontId="0" fillId="0" borderId="0" xfId="0" applyNumberFormat="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5" fontId="5" fillId="4" borderId="1" xfId="0" applyNumberFormat="1" applyFont="1" applyFill="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9" fillId="0" borderId="1" xfId="0" applyFont="1" applyBorder="1" applyAlignment="1">
      <alignment horizontal="center"/>
    </xf>
    <xf numFmtId="0" fontId="0" fillId="0" borderId="1" xfId="0" applyBorder="1" applyAlignment="1">
      <alignment horizontal="center"/>
    </xf>
    <xf numFmtId="0" fontId="3" fillId="0" borderId="1" xfId="0" applyFont="1" applyBorder="1"/>
    <xf numFmtId="0" fontId="10" fillId="0" borderId="1" xfId="0" applyFont="1" applyBorder="1" applyAlignment="1">
      <alignment vertical="top" wrapText="1"/>
    </xf>
    <xf numFmtId="0" fontId="11" fillId="0" borderId="1" xfId="0" applyFont="1" applyBorder="1"/>
    <xf numFmtId="0" fontId="15" fillId="0" borderId="0" xfId="0" applyFont="1"/>
    <xf numFmtId="0" fontId="16" fillId="0" borderId="0" xfId="0" applyFont="1" applyAlignment="1">
      <alignment vertical="top" wrapText="1" indent="1"/>
    </xf>
    <xf numFmtId="0" fontId="0" fillId="0" borderId="0" xfId="0"/>
    <xf numFmtId="164" fontId="14" fillId="5" borderId="0" xfId="0" applyNumberFormat="1" applyFont="1" applyFill="1" applyAlignment="1">
      <alignment horizontal="center" vertical="center"/>
    </xf>
    <xf numFmtId="0" fontId="0" fillId="5" borderId="0" xfId="0" applyFill="1"/>
    <xf numFmtId="165" fontId="14" fillId="5" borderId="0" xfId="0" applyNumberFormat="1" applyFont="1" applyFill="1" applyAlignment="1">
      <alignment horizontal="center" vertical="center"/>
    </xf>
    <xf numFmtId="0" fontId="2" fillId="0" borderId="0" xfId="0" applyFont="1" applyAlignment="1">
      <alignment horizontal="left" indent="1"/>
    </xf>
    <xf numFmtId="0" fontId="13" fillId="2" borderId="0" xfId="0" applyFont="1" applyFill="1" applyAlignment="1">
      <alignment horizontal="center" vertical="center"/>
    </xf>
    <xf numFmtId="0" fontId="0" fillId="2" borderId="0" xfId="0" applyFill="1"/>
    <xf numFmtId="0" fontId="13" fillId="6" borderId="0" xfId="0" applyFont="1" applyFill="1" applyAlignment="1">
      <alignment horizontal="center" vertical="center"/>
    </xf>
    <xf numFmtId="0" fontId="0" fillId="6" borderId="0" xfId="0" applyFill="1"/>
    <xf numFmtId="0" fontId="13" fillId="7" borderId="0" xfId="0" applyFont="1" applyFill="1" applyAlignment="1">
      <alignment horizontal="center" vertical="center"/>
    </xf>
    <xf numFmtId="0" fontId="0" fillId="7" borderId="0" xfId="0" applyFill="1"/>
    <xf numFmtId="0" fontId="12" fillId="2" borderId="0" xfId="0" applyFont="1" applyFill="1" applyAlignment="1">
      <alignment horizontal="left" vertical="center" indent="1"/>
    </xf>
    <xf numFmtId="3" fontId="14" fillId="5" borderId="0" xfId="0" applyNumberFormat="1" applyFont="1" applyFill="1" applyAlignment="1">
      <alignment horizontal="center" vertical="center"/>
    </xf>
    <xf numFmtId="166" fontId="14" fillId="5" borderId="0" xfId="0" applyNumberFormat="1" applyFont="1" applyFill="1" applyAlignment="1">
      <alignment horizontal="center" vertical="center"/>
    </xf>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microsoft.com/office/2017/06/relationships/rdSupportingPropertyBag" Target="richData/rdsupportingpropertybag.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0/07/relationships/rdRichValueWebImage" Target="richData/rdRichValueWebImag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ichStyles" Target="richData/rich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Array" Target="richData/rdarray.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microsoft.com/office/2017/06/relationships/rdRichValueTypes" Target="richData/rdRichValueTyp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From awareness to membership, 2025 (millions)</a:t>
            </a:r>
          </a:p>
        </c:rich>
      </c:tx>
      <c:layout>
        <c:manualLayout>
          <c:xMode val="edge"/>
          <c:yMode val="edge"/>
          <c:x val="0.46759145021645021"/>
          <c:y val="2.5813016874328208E-2"/>
        </c:manualLayout>
      </c:layout>
      <c:overlay val="1"/>
    </c:title>
    <c:autoTitleDeleted val="0"/>
    <c:plotArea>
      <c:layout/>
      <c:barChart>
        <c:barDir val="bar"/>
        <c:grouping val="clustered"/>
        <c:varyColors val="1"/>
        <c:ser>
          <c:idx val="0"/>
          <c:order val="0"/>
          <c:tx>
            <c:strRef>
              <c:f>'07_Funnel'!$H$4</c:f>
              <c:strCache>
                <c:ptCount val="1"/>
                <c:pt idx="0">
                  <c:v>2025</c:v>
                </c:pt>
              </c:strCache>
            </c:strRef>
          </c:tx>
          <c:spPr>
            <a:solidFill>
              <a:srgbClr val="E69F00"/>
            </a:solidFill>
            <a:ln>
              <a:prstDash val="solid"/>
            </a:ln>
          </c:spPr>
          <c:invertIfNegative val="1"/>
          <c:cat>
            <c:strRef>
              <c:f>'07_Funnel'!$A$5:$A$10</c:f>
              <c:strCache>
                <c:ptCount val="6"/>
                <c:pt idx="0">
                  <c:v>Aware of golf</c:v>
                </c:pt>
                <c:pt idx="1">
                  <c:v>Interested (strongly or somewhat)</c:v>
                </c:pt>
                <c:pt idx="2">
                  <c:v>   of which strongly interested</c:v>
                </c:pt>
                <c:pt idx="3">
                  <c:v>Play golf (often or occasionally)</c:v>
                </c:pt>
                <c:pt idx="4">
                  <c:v>   of which play often</c:v>
                </c:pt>
                <c:pt idx="5">
                  <c:v>DGV-registered members</c:v>
                </c:pt>
              </c:strCache>
            </c:strRef>
          </c:cat>
          <c:val>
            <c:numRef>
              <c:f>'07_Funnel'!$H$5:$H$10</c:f>
              <c:numCache>
                <c:formatCode>#,##0.00</c:formatCode>
                <c:ptCount val="6"/>
                <c:pt idx="0">
                  <c:v>69.13</c:v>
                </c:pt>
                <c:pt idx="1">
                  <c:v>6.87</c:v>
                </c:pt>
                <c:pt idx="2">
                  <c:v>1.62</c:v>
                </c:pt>
                <c:pt idx="3">
                  <c:v>3.38</c:v>
                </c:pt>
                <c:pt idx="4">
                  <c:v>0.9</c:v>
                </c:pt>
                <c:pt idx="5">
                  <c:v>0.69599999999999995</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9F2-CB49-BEDE-598AC7178D7B}"/>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title>
          <c:tx>
            <c:rich>
              <a:bodyPr/>
              <a:lstStyle/>
              <a:p>
                <a:pPr>
                  <a:defRPr/>
                </a:pPr>
                <a:r>
                  <a:rPr lang="en-GB"/>
                  <a:t>Millions of people</a:t>
                </a:r>
              </a:p>
            </c:rich>
          </c:tx>
          <c:overlay val="1"/>
        </c:title>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Change in members by age band, 2016 to 2025</a:t>
            </a:r>
          </a:p>
        </c:rich>
      </c:tx>
      <c:overlay val="1"/>
    </c:title>
    <c:autoTitleDeleted val="0"/>
    <c:plotArea>
      <c:layout/>
      <c:barChart>
        <c:barDir val="bar"/>
        <c:grouping val="clustered"/>
        <c:varyColors val="1"/>
        <c:ser>
          <c:idx val="0"/>
          <c:order val="0"/>
          <c:tx>
            <c:strRef>
              <c:f>'11_Metrics'!$D$5</c:f>
              <c:strCache>
                <c:ptCount val="1"/>
                <c:pt idx="0">
                  <c:v>Change (abs.)</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FAB8-8A45-BE57-B854CEAE94E5}"/>
              </c:ext>
            </c:extLst>
          </c:dPt>
          <c:dPt>
            <c:idx val="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3-FAB8-8A45-BE57-B854CEAE94E5}"/>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FAB8-8A45-BE57-B854CEAE94E5}"/>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FAB8-8A45-BE57-B854CEAE94E5}"/>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FAB8-8A45-BE57-B854CEAE94E5}"/>
              </c:ext>
            </c:extLst>
          </c:dPt>
          <c:dPt>
            <c:idx val="5"/>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B-FAB8-8A45-BE57-B854CEAE94E5}"/>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FAB8-8A45-BE57-B854CEAE94E5}"/>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FAB8-8A45-BE57-B854CEAE94E5}"/>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FAB8-8A45-BE57-B854CEAE94E5}"/>
              </c:ext>
            </c:extLst>
          </c:dPt>
          <c:dPt>
            <c:idx val="9"/>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3-FAB8-8A45-BE57-B854CEAE94E5}"/>
              </c:ext>
            </c:extLst>
          </c:dPt>
          <c:dPt>
            <c:idx val="1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5-FAB8-8A45-BE57-B854CEAE94E5}"/>
              </c:ext>
            </c:extLst>
          </c:dPt>
          <c:cat>
            <c:strRef>
              <c:f>'11_Metrics'!$A$6:$A$16</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'11_Metrics'!$D$6:$D$16</c:f>
              <c:numCache>
                <c:formatCode>#,##0</c:formatCode>
                <c:ptCount val="11"/>
                <c:pt idx="0">
                  <c:v>298</c:v>
                </c:pt>
                <c:pt idx="1">
                  <c:v>-2576</c:v>
                </c:pt>
                <c:pt idx="2">
                  <c:v>1123</c:v>
                </c:pt>
                <c:pt idx="3">
                  <c:v>2145</c:v>
                </c:pt>
                <c:pt idx="4">
                  <c:v>12863</c:v>
                </c:pt>
                <c:pt idx="5">
                  <c:v>16524</c:v>
                </c:pt>
                <c:pt idx="6">
                  <c:v>-3</c:v>
                </c:pt>
                <c:pt idx="7">
                  <c:v>-39109</c:v>
                </c:pt>
                <c:pt idx="8">
                  <c:v>-18304</c:v>
                </c:pt>
                <c:pt idx="9">
                  <c:v>25992</c:v>
                </c:pt>
                <c:pt idx="10">
                  <c:v>53506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FAB8-8A45-BE57-B854CEAE94E5}"/>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4138798701298702"/>
          <c:y val="4.77649213295804E-2"/>
          <c:w val="0.83341360028860034"/>
          <c:h val="0.7408498444613294"/>
        </c:manualLayout>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chemeClr val="tx1">
                  <a:alpha val="25000"/>
                </a:schemeClr>
              </a:solidFill>
            </a:ln>
          </c:spPr>
        </c:majorGridlines>
        <c:title>
          <c:tx>
            <c:rich>
              <a:bodyPr/>
              <a:lstStyle/>
              <a:p>
                <a:pPr>
                  <a:defRPr/>
                </a:pPr>
                <a:r>
                  <a:rPr lang="en-GB"/>
                  <a:t>Members</a:t>
                </a:r>
              </a:p>
            </c:rich>
          </c:tx>
          <c:overlay val="1"/>
        </c:title>
        <c:numFmt formatCode="#,##0" sourceLinked="0"/>
        <c:majorTickMark val="out"/>
        <c:minorTickMark val="none"/>
        <c:tickLblPos val="nextTo"/>
        <c:spPr>
          <a:ln/>
        </c:spPr>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'11_Metrics'!$D$20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'11_Metrics'!$A$21:$A$32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'11_Metrics'!$D$21:$D$32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autoZero"/>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'08_Europe'!$H$4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'08_Europe'!$A$5:$A$21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'08_Europe'!$H$5:$H$21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6">
          <cx:pt idx="0">2537</cx:pt>
          <cx:pt idx="1">8255245</cx:pt>
          <cx:pt idx="2">7017957146650214401</cx:pt>
          <cx:pt idx="3">8248738</cx:pt>
          <cx:pt idx="4">41760</cx:pt>
          <cx:pt idx="5">7010772237493993473</cx:pt>
          <cx:pt idx="6">8208586</cx:pt>
          <cx:pt idx="7">23331</cx:pt>
          <cx:pt idx="8">8175722</cx:pt>
          <cx:pt idx="9">8164991</cx:pt>
          <cx:pt idx="10">27654</cx:pt>
          <cx:pt idx="11">28479</cx:pt>
          <cx:pt idx="12">8145598</cx:pt>
          <cx:pt idx="13">8145597</cx:pt>
          <cx:pt idx="14">8141652</cx:pt>
          <cx:pt idx="15"/>
        </cx:lvl>
      </cx:strDim>
      <cx:strDim type="cat">
        <cx:f>_xlchart.v6.0</cx:f>
        <cx:nf>_xlchart.v6.3</cx:nf>
      </cx:strDim>
      <cx:numDim type="colorVal">
        <cx:f>_xlchart.v6.2</cx:f>
      </cx:numDim>
    </cx:data>
  </cx:chartData>
  <cx:chart>
    <cx:title pos="t" align="ctr" overlay="0">
      <cx:tx>
        <cx:txData>
          <cx:v>Players per 1,000 population, 2025 — ranked (VcG excluded)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Players per 1,000 population, 2025 — ranked (VcG excluded)</a:t>
          </a:r>
        </a:p>
      </cx:txPr>
    </cx:title>
    <cx:plotArea>
      <cx:plotAreaRegion>
        <cx:series layoutId="regionMap" uniqueId="{FF8B1334-FBE9-C849-9DD2-87A49D6C29A5}">
          <cx:tx>
            <cx:txData>
              <cx:f>_xlchart.v6.1</cx:f>
              <cx:v>Players per 1,000 pop.</cx:v>
            </cx:txData>
          </cx:tx>
          <cx:dataPt idx="4"/>
          <cx:dataPt idx="11"/>
          <cx:dataPt idx="12"/>
          <cx:dataLabels>
            <cx:visibility seriesName="0" categoryName="0" value="1"/>
          </cx:dataLabels>
          <cx:dataId val="0"/>
          <cx:layoutPr>
            <cx:geography cultureLanguage="en-GB" cultureRegion="DE" attribution="Powered by Bing">
              <cx:geoCache provider="{E9337A44-BEBE-4D9F-B70C-5C5E7DAFC167}">
                <cx:binary>7HpHk91Gsu5fUXD9QJU3E6O7KADHte8mm01uEM1mswpAwQMF8+tfHpkZitKVZvY3gsHgIVyZrPxM
5j9fln+8+Nfn/oel8vXwj5flpzduHNt//Pjj8OJeq+fhbZW/9M3QfB3fvjTVj83Xr/nL649f+uc5
r+2PBGH244t77sfX5c3//BPeZl+b5Hl8TusxH9e76bVf71+HyY/DX179Xy7+8Prza96t7etPb56/
VHmd5MPY5y/jm18vHb/89EYhxiUTb3748dvX/HrD9XMFz5rX3uf1nz70+jyMP73B9K0USBGtCedU
YqTf/DC//noFacy0pkQJDH/hNz/UTT+6n95w8lZIJbjkFEuqfr40NNOvlyhVmihCiOCC8H+tzm3j
V9vU/1qPX3//UE/VbZPX4/DTG0re/ND+ctt5fhJhqQXCmhDKESYYcbj+8nwPOwB34/8nvIz44qop
7tesiVdOc8NkUxiPqyXOVJMlZO7yuMgJ3rVFXRunRW5Qpm5E0X5uSj7Fs7Snsle3TUVIgliUimBV
Ijfr0xqrbUejlZoGb3d1M4SPaqbjqXP8WLvpHnfVJRfjvpjFEFfrOsfED4eymM03W/In01R/M0vY
0W9nOU5r31RROcWinLJjj7K7WnfHkYQ57sJiupkW8eT85V9/leI/rK5CCCnJsOCEaoXZ7787qzxb
/VSFWObrkx3a1nQLuhQtrCihURXrSY1GdVWetFO+7Ja2z5OpmJ9I1X1w+GFtZZY6nL8XI31vR1TG
K0bOLE6maiiOmWrfUe13TZS/uHxT6VxEu74uPyk2VyZ0jpgurJ/YNMyppf5+Lkpptj7bL6EsjfL6
y1Aun8aSfNjo8I4FKkyN5bNwaDKSVtesXPNbgqL5rmyyj9i5x5GQr2NWkngRVdp19WsrHYu1RDqx
eOv2K8pYErT2e0QVPRDczkb31eU62SdclqdAZTKteog3vq3x6vpPFmdP5xdV25InW+FUoqknCY66
OR5ENsOp7S5VWbu70koVd3jIr5Rm7HbN8ddCiZDyzuHYi43FEg9Z4qLCxlvP1juNRbjjuVZmrglO
tfNbYsfxEaHBG+rHPu3LRu2dcrmpOW5MtBGUFhnL0mmwT5nFIt4qIWEwXsfr5NwF49ViijVEaeUQ
SaUr8iSw5l6XY+LmjJ3QQjN4N9lMvhW3Gw+18QPeiTCXRjfzDk6ZNbxZXVr4wZp6a+c4qxtvFLfd
bV95b8Jo3+lzSFRL78wwhmpfz3a5VLmz+2HYbAJ7PcZ98Kefh8NZdLco9nVqvnol56u5l9wsZd6b
ZUTPfUVZImQrTaSISLO8P0JArs/5OF1XildGaISNXug7FagyHIs89tEAWyGu9Uofps1edlVxYG4l
8Ta0+c7rsEdDbjZGW0MKf8eY7i975clx5OO6p3CCzztasiI3pWZTGhVbeRwgzJqMrSmiszfnwBMT
nZIy8/hOeCZNwAPfLZEPheny0Sd9Jcujr/yThpPFDWLbVcOzqxVHn8emb5OZ6GOxrgnjudpZsqaD
Q0kRsiumyC2koofFy9oEmjNTdP6TJfO+0u6Rcn+D9fhZZbkwJNu84VuEUlWpm5mJRzq7/Sb1IRQL
bFTQrzPsn7HrIOKxCmyHVEhsWWZxyHpu8IRSVqwf2OyiOHPdA6q79lY51CT94ErTuQ6S5Tw+QA5M
Vr46U49Fuyslu6428VSisjbrlF0PVB+2KHucI/yVenbBQ7gui8zFs8/iqq17mGDWmULjq7mFBVJ0
SJdt3EEQxLPOID/zpjK2h91Z3Ge/TifXYpFKu/m4cLUyRQ4nPurdoVsniPZsa2My4Iu128rYu+lq
ylt3kduhvOxQGOMZMC+to3G82kan9qRF5a6x7ZLafJCmWMblJotmI6IxvG+yGiJZQjbRSyGOdRfZ
wxy21gyFzZKeNsHM1D9GedN/QLh8v5VWGTVO4TG0AAW9W92F3cp+PzUi+uyWrIHcFPCSCu4yo0TZ
7XgYy/fnaPZtObyIukZmmASCbC5OCE8w6aWPWdHIuxHhOKuesmFpjLLdmIhsokmE3K3V3CZzY6/r
elhiuXXeTCob4p9T/o+/0I/fAexL0659bt2v/ONfP//nXVPBn3+en/n3f54JzL9/Xf3GfP7yrv1r
c+YYw/c3/e7NgPa/ju5Mjn734w9M6VsS859e/M+IEqaUAq/532nS4bn6PPX2W5706zO/siT0lhIO
qUIzyhlhgOC/kCT1lkqJlRZUEIqYUHDlN5JE32rBMFwEnoQ1UKU3P/xGkuhbyApKKC6Q1Bhh8d+w
pDMJ+h1JQlQLDmRQMwlDYN/B+EjpmiOOqjiv+gdVNFeNFnEe8NU3K/InLOVPPyM5IRoWUzD13WfK
frYVl6SC6MQvdtQqtkzvpo42f0OHyPlNf5gQ8EsBa0aZ4mfe8g3rK22JYQCsiteepmMz5THDRWEi
ul72QPXixi+rmSP17OrSGcvmeGTTUdX1VT0Xp0gspt/au77gIp031hhfDKvp1vpaNR7FyNF3pO1u
G1FgE1UL+pvhyz8bPdBphTEXHAn0+9G3Qo7rvOIqnvh4M0GqzAoXr6rOTCjoI4x9+ZsPYgik79ZL
SsKAxlPCOOLiu52Jtmq2mMoqHrN1McK2jema0YzUnTaqsrjLojWtCPIms46a2tZd3G4h7P86QDD7
w9QxhDTDjCiklILR/H7qUytZXTdLG+PZ43jsAtvXVaj37bqUccvIaKxf7jDNmiOlEYtt3q1N3LlB
A/GTJ4eLdKFLlLguwvFaZJGRaruyNovqmNp6TgcOWqAo+yFhmcsgR/IpAtbJ+eVMard3AT01UaFO
Cxq6vbWlPfaYL7tmZa/1tlxuDfb7rejURYFWCfRF0eXD0KrCaMjmDzKLtljwcHKTXdII8sAJZ+Oh
G4i7aKPhSrqlMJNmbSIGfKi0NtbaFPA22m9ld5sXeNgVY41PJfZql/NAYjSM3U0TQLJYkbuDX8fG
kGXuH6q2nR5QM4Y5IRhnyPQlgJ0Kjb/V7YTiyG/zi1LZapDNtidBsuYrHVoK1Lwm/pTzgvK0b7BN
2lyVB5w1w5hM2C0Xyk71SY25uOUrmWNhix74w/osZtkBaSAVnJkZtVuTrmstryMUbdZ4T/u4Y20X
ex++ilLdcGBRMeNiSWXGSyNGPgNRpOh+y9lm6DBo0EV5lI4lRFOvZHfHh6pNmn5YDFlbFbu2Lw7r
NFdXo5ToXVnPIKI25i9CgcSncprq3szrKmPXtMUtoWMUbyGf4nrLTJYVVWOqyobHch4+BdizD0Pn
Yrxif1irZvtazDJ7LpwQcTdvvY+3mUd7Sad71TblDrC7vVq7ptsPuOjiaSbtqakZ0NdtaY5L3067
BsLwQKM6pGO7PCJSgvpZR5tEDC2nGdh5DAe8f+hdFPYNQ1Xyf1D8H3kW+Ge5+U1mOROD33kWDy/O
vw5zbqND44fx9Tv/4rcX/IrM+C2ABEeAzBiAFEnIOb9As3yruJZESyEU+CTojL+/QTN/i7iSWktG
z9r3DJnfQLNgSEuuOcGAcuy/gebz179LzRTMCykpDI0SQK3fZ0SrtmryUdPEJa5BrYCQASiLczeL
ndbbReO2l6z7WS7GKmqDmRaI5bJwY+Jt35hpnLjxuQU5i/r5q+Qjfpbd9KQaXcS29uvV2BT8HOT9
u35Ql2JwdSwQgZBn4iqvpNzl2+Iv80n2T3WIVLK1jqVuafLTyPpq76XS137cSLpkkH1XR3gydvUn
PwYg8tHC20NOVntQIDgqg73tLpmo8tyMatJGCtAVMuw6reaE4VAeZyHWXdNGfSI9CMp5HVKmRHWg
y1aYuaL2oMuBxYRXL2HA3WFc5Ccg4ewIyqO+KwukUDwjLpd4qmj7eQYP6sq5mb5DC2HYOGqnGBjX
cK8mwlICaFqnQ+ajtI0K8gtb/h1Z/tZ9+jMeQgQTAkwxpZXk3/kyVdRH/baVTcwnhR691cxQra80
I3Mya+WNA8WZ4LqhRwx6b8dXpj5GUYYBXmqWjFqQxPOlTwavr1BPnpHPrugkyWpWBCylo9mH1mbh
w7qy7N28FBdYg4f2d7B8pkvf0SnKKEKYIgKzEWf68A2dCjOo/mlyVRzZDZ1tCPR+swuPq2qZknEa
puPcjpuZQw6cIVQg6fqBG95P+pBnbku+Ocu3v3z321U9H7vvhiOAHQlNJMYaoPm7Ve2zstEdIg0Y
KL4/1kjhT4VrmstuqCfTg8I1gH0HoRsa2yYvTY6nCbScWI9lMRqczcWjn1b2GLicDA59OFSz7+M6
7+aDbuvoqit4flU00/yIO/BSWsvVzoNVOMk2aQl2g1nPvDGqYb6TXOYU467cTLmMxctfzxXTP8wV
8g4jAlINpwyp7/xLLxoZjd3UxKrYKOjtogSqOrSm8szFdTvBgjtOkm1q8UN+RqWprnFMic1PmCyH
IlLi8a+HBLLnu9UHVxVpRKkERYP+EAw5ISGqXBv3tQonFTXbHkl/ov1UmpX7JtaNmgxdV51sain/
jqr+2ecJyCgE7vHZcTxbod/E4tTNAfdn0scRWDgRD2VKC3AAsBUVOE8NAm9IgqVRjJ38MIf6axPV
zwgcmJvAtuvcseh+XpBMqLZ1HLrNPQ1oFvd9tAyx11u0++vVwmey/vuzA5KKaZBvwGopKKzfjxeo
1NRuWwTLkn0KSNgT53kXy3IDptpWl7SWRZy1/N041C/jFkV/s15/INQIDomQgHBCAt383v/eVoFt
4fI27sDxPtRCfoQUEh3slM3AC/ttL4MQF389Z3I+gN/NGUskpAD9Atni7Pt/u0clmI1lqSFoI9A3
j0XfkVjUMyQ6H/LnOaLb48AE2bM+ZBDIC/DjzH0Bs3O/1mu7X4b25OfotaqK+gMla72vIpGGtnnc
FJIGgd0WAxUtjS23gw9dl9iqu2J5935Brvgbj1ug7ybDGAVOIKRkgHpwEtl3J3BcyDbYaejiDkLS
1MAkUoH67kK5LY+nXm0juIBYmMxTcignTe70RMbClAMaX5qFgnL0kcgeNSJfpl6WJ1aG7Z11PIqH
vCiTmeL5ogJMPGRaT2ndTf4ycmtBDeiD9qFHvNzBcYwBxJ0zLsr7dCItSyYyNyYMrrkRc0MT1heg
p30fks6TYBrXQs4Qk77EkOv20nJ+CJ30d9jpNuZZw03QfZPOI8BqI2v6QaCRXw21GE6lrtZznhzz
47LMJIEqx2gkA3etnB0Co3db5I7lTWaWVr2virzZd7kA2uCn5oPfXNGbrOy6yxEsvHcC1Vlcon55
Gcp6Sju2ykRN1B9DY5c9PLGCw73kg9mauogLWoHJWVkS00JVCRuK4qmGc3XLBfzfspLyEuSVSjqI
x/uItjKtch5d2cKqCxeVApK1y+mxxjUc8RUqD4cBLEtrslyGYxHR5saOm43nQMePFV3DBa3avo/J
yjPDO7sos1BVGtcNjWkzQovdIovliHmhTzRY/HFe5/aaEFTeCw2vM7Ql+QO3PXdxcA0/aV5E0mQ8
R/DqsD1PIjR5XI0WV+k2DN0Qu2GlMe639TjKontcVJDv+7BEN21X29turNTJA6SBZtg21e3xWrSH
sCwb6BQils7MjndXTb/INoYBjvtQbX0yF0v9LGVw7xfcQJFkm+jFokG9bGBoTgY10VCbdlXi0FIy
Xwy4XJFhWclAWnL/ZbajvEX9ip5l2RbvF8XX3Ey2LPpkqxd7YnjLLoMq16uyYi6NKhEuxzqCmg/i
7LbNaHEX+DyxS5STEKAkIHsIWLHOj5kn9lLVvns/Iiovuw7LOmm7uT/QfHS3+aLITUaiHDzMMX+I
hqI2dvL8VFM7X2dyQvvBi+G698+Y9f0xHyObDFjb956NzLTczTdd8CS1Koh9IHV53xQ1va9QhWLQ
qctj1HR8M0Xkpi7Jtz6qr5GgOglDK58KX1Vf4Dy8dHqzd8s5RPwEcpgWH0GK5v4IcTsBSuRCPiko
NFwuvCnvNVODqQq1AHnoqu6x2db7xU4BGLP7Kt148ITV100jQsICsY/zRPsDX8J44gDfBm/LmmLR
Z5NhCGoxXoJRD3i6HlCZ4VfOimxf8JEkHVhpKQRFvyMEJOi8aXdoiKMfubOvUNGoEyh8VYmoVZHW
YdziHqax6yuXEZPPyx7XjO+qEag2VMmcIaxYzAALX/jeJRBJD9XgbzgR1dXWDsd1nFXa5Sip6xHY
ZVYWKY220sdhGsR9vfLuSKKuv6x6G8YkC7V4njZ3M4R+MW5WIqnK0B5EZbt9pMvoCNRkTc7y6KZs
e7qXmn4kM1eXnldr7MN2Pa4LZP9IrfHAp8FYOBKGWwBuN/vPVrjKmUD482LXRxvozRgtd7prqus8
iPwdOGLlB7VhcRx0GVubp07huM5CGoUnYTkyVnWfQb3sIdz3em7vgYaWyh6g6lWleUTaXVO0RreP
3QLKha67aC5iSpsrCetYwtXZ1qauu+GxcuHGQcWk1aA2Qpfxu81CIVgNDl+0vH728/bOhel1LPlT
0QtksgLekVFWHhrc3gw+T5hSrZGRb01Z4ou6ZcVmBp7DqNe5mJNxmUUS5TO9YH6C7BNlQ6biolir
tHFcGZm7kAbguyTIrDLA02OUjTFUFF9s/2UcvlIxxdm0fKkg9V7zIYPcztqdDba7QSJiD9hN/p2e
EXvUi1RXMxHRocu2Ou4aOqdhgwqJ8R2Rp17MMLJo2qGliPucLJCqubqeOxHlxtO6Txm27fWAR3EC
OVdBPau5B9KVfwmM9++r3MmroW/7z1lQ7W0GJtwVkbXaVzmqEyF6u1OsbF4kGztnsM56bIa6mh7r
ni1drFQ/g8QYQhyprE9p3h5r6qv9UAGGqiIL77di/kzXBSKjRieJlg/Y6ueutQ8t4fLDqB17yPMt
v9AVICyEwX2TF+1JR86bLpKrKWxV76eajUdQ9Oup7jco8qC+fQ+CM+kXsT1IHN6veR6dSt/ld3W2
wmK2RE0XKstsFVtccsO6/Jj3UYC07NqbiISd7bvwKRp0dafqzr2QNfh3mGL4bAZ64bA6jBI2uuwK
bwinAeZvvBuj1GnIjtM5geeMf9QYr1coyqqP/SbtpaBt91gsziYlr/rLqJ8JBP/sL2Y8Vpcyo+vd
PN01uJBt2k+BhHiuyPq1XsVwTpbbhSNI7pzbyGmLdASF936KtRvbuKjEUMdw/op9xCd501d6PaLM
yshkIkAJc2HZwzoOGQjkoJbY9fAi2HR9amd0siMZb0gR6GWgHirpKxqPisrhmAe2fAqV0FcRjfiJ
D1o8r64R2b4po+q40FJe18usX0GjZDZpIqpPq/Z9UmC6K7fIXuWb60/SIr2LhgwlVkgPJcVqakze
c3aQfH1Fmxt2RA3TR8nm8lFFY3kaNXHI4GK1g2E9x8eBZ+46j0K5o46wI2MtvRpxjw6MM99ArgnR
xQbFzU+6qtG+wTx7KECD3fmi6W4cHmsN0U4mHbfriF6LtYFkxGQOlYACaFhh+MLuci637EK7qel3
7GwEXdVTIW8sl+FdXVIA6jpbbqKoaK5rQZePdm3Yp0lL2xicQzPGvvTR2BpbD9teVHMBrEHUORwI
YAzPnNVlFUO3AihXCdbrqps+FWc3VsHZu5Vnh1ZD2f9CFVgOyYgKf8g3SAMV1PFVQlQ77dt6IYlz
7RKZeujVZ8R69LQGu/XGVtAZwhla4wby1AVtRAW0zq01SUZnsw/ZWPYPuAYXaMQRTkoX3uNiIB9x
66qU2Ty7cGeregXP2gcdLua16HZ26GvYhKGKaUfDochGdqqHoTwUrMaFyehG4eD6HGxzuF1d0Hry
e+iLuDx3D1xaq6LDfHbd67P/HvCmL4JD8rLSbRTTn8162s1DkncjgCYCQ3wd4YNBaQlmEgDxrnJ6
i9HSRzAVuyQY5WljoyjFAzByM0J/lE1ED84R9JwA9U6tp+LmZ+nzf/XRv2skw4yDHP9GJ/7RlH1e
mnr9tkAK6v2Xh341YsFTpYqD08GgpsnBMPvNiMX4rZJYMHBbCT4baqDBfjNi8VuhgLBJzsEVOCu0
fxux6C2WQMWFOlcCofdL/zdG7NlX+FbTQg1FUrCDlYJ2Mqx+1rzf+A6LL6GNLDR1HF37sKugnORT
ljRi+hvBDkP8vk56/hTj0E2nQbaD6Xu24775lNa9K/QMPuwizk1C9HoD7IfslcqhjAPq7pWI3kXT
kEy2StpthVYES75CG56Pu5zu6o57U6LuwWKdbi2krtk+8KyEnqf5GUo42MxbmkX5xVY/FbMVxily
UKw4Du1yG7HljqwDMhMur5apTfHy1C5HInbjsgucvIiOGK6nq8b6RyxB6zQ+2gHz5SBf+RyHIbop
qwwsaKsenItkbPs+EWGLG30Ne3pX9VufIgSsqFqKo9cs7sBGYu28L6puT2ZAXl4goF59ukb2ODVA
FAIF7dNAPW3Zk7Hbe2djh66Lpn2onIvLjgJEoyxW65jg8rqy7W1U5j4essWbQsijbyYoI7pXBjyr
juDf7RNDzZ4iIBme3nW9u9+YeAFj0yz2OSLNDaH5DfT8Jc3Cb4ZGdDuh+V2Y1niss33NvmikTQei
PA/ro6D+ph9BJlBQOsLdliXMzdoj1IvxAUDwerXtY1s8k9BB189YfxhLEIBFcc+wv9NZdgY3dQK5
cGALuRB6V5Jnto5fPHscRrzr1vZL76EjpGLHCDidwTOfEoDBxUzdhC4jYAOGifUla/Sdzyyw6y6/
3Baw3vKMxG2JWhPm7WaWRQVJeP2wjbk3CzRLQS/jRdaOBk1L6uuGXG0ySnzeXA/QOpYrC+WsShqp
yTNt67gc1G1bg0bvovmOROVXPshEz+KhyMc+RkTfcEVPCJo8TyxC7F6AsVW2QJlrtx6yOt8uyog9
uaCimIcowfqQVV8F3a26NWv1mDW3BS6hdecZr9A4pktT/CxBaL2rNl+ZgoY8jwMUAY8dEjcyH1xK
JnXB2hwqiGG4iIBAxMrbm7YHGa2r09Cs445g28SbQ8Hk8iOU4tLV16Wp6sQvTw7Cq30Zwvg4ZmNa
sKSkgOTvhnAoe7wv132ZTWneX4ZiA3n7CEaGN1C7BtnGb5ZqSLr6cWhelzFZKQP34EmTtBcHUR6X
GT12mc/NohYQUBIcm/YLLj7S8gmqRtCLoG6y6lQLH3saI0WSpdvLAWjMXddetPMXS27AjgSvR+4n
vEZmXCtm9KhSq4d0c7VpGhZvK0+k/FIVwjTb9C6fsi/1HG6GrTJdTY+0UVcd5ScZyI6DgDBl4ONV
NYVjtYz3utEpaO2ncm6ugHWfGjV4IPz1njl/rfz0wVPoH8xFoUBjh25Xgsdk8kJ2CYVfIFSPTevj
Fkqs2OP3lNXbPewz2Hw+2utKDqZWM9C+IbTJspB9GW2Ql1j+vur6h2Ghl3IDQoWnBE9P2l9F2VU2
gwOaFhytppmrYy3tTvN1hHPfXkKDxbTaU18FQ0X+iTZdzOX7LLKmYJ//Pztn1iOrzi7pX2SJwWB8
y5RDVWbWPKwbtEYDBmwwxsCv78hP5+Kcllrqvu+7Le2916rKBDveiCde6s5S/Rm3n1aTM6Khl7Xq
fi1rXMRUltE+Pfn78KY69qHXo/PfPUvpCR/nmHrBUFL5HnE156t82GtwAcK8e+qfrPjFzFU69qKc
5yBJq8Ce4HcWapTFmKjnmh73pr1CaL9I1742lZclvcs80pwx+qfeMh7iuUvxrew7eK1Wn3oo3EWC
Fgl9vBTeH8kCHGFfentSJjgbslySUV9E9+r3Oo2SKh1GntOhSYNuzqIAP6158YI1C114RkyXhuFv
ismQDyodvCDlVXIJ4S1AhuLL9wthJzzgc5as/rHaL84Ea3of/xGODWll/We59qXeXIppPmf2DUPZ
he9+mlj9L3JjCqX50LvxHI7VWdyHe+RpyPe8h5aMXsqXV6T3xa7MRzDZwwzvLIFGI8A8WcUGnO6h
ODUEP5rGaP7NMR0azJmkDk4tHw6V2zM/DkUW+V2fw95KwcqB38t8on4kU5iUFBbwwYxhMaw422Jw
GXr1L+0+FG7Zyo1uOa+ydVhSWJb+rWHtaY3Fb6+BvqzobwmHdlHqtVr9Q7Pii4/WlPlBkyXzfjFJ
ku5meAApl9JtK9vFTkB4Mfs3/rU26rzGwdMonqegAiAUHUID8YnxWFn+k/FhLDC1p5xJKEtz9kku
9i8Eqxcgg8UaraLgdj819d0qiqdzIHQaumqAM+PSBCDRaU6G8Oce/13V9DOEjSTUdbN+STogSkCN
00DmG0iDAf9K9bBZHMCQ2hRLI/4svYiKPdmjb8yF4an1Kfy/57nludq9A23+YIwBX2FLFnYknbp9
TbWx1zhczJlaMx+kiUiqksiYdFJgR/pFVs8dC35yw889A0Zqk2PtUfnsKo+cwzqmpzhRL1OIr2ay
z9sCItPu0W1bpnyecNglU8Zga8ltexGQ+WzDsw/J/qq7JDpu2/jPRrDrVhcCzoQ3s5bjGu6528b+
tROt/4yZ3KVEgjm+z6upEvMZXhBC2aRcwSHN0RqnC/sZTd06lWY3wI5tlfRPK+bRmxs7AbcWpmbK
KZiMdkYsmkk8hJi7II3+huxm90uYjKVfX0KcX7F/aOMtY9t52+OXYCT2pV/HJRUGR2ZV56IL0rAf
sw035hYN+eipk4/CQLNhrBAuC0HxhvprgbdZdf0pUlNae78dfECYzpnczZXrLUBIreHBt7c+WNai
AePT1fIxaT3Iue0XgsbzOLeZNiEMjuQdKXhZRXEpK+/ixj5rV8DNw7oejOYZ87hNt7h/cpFJ4Vmd
nL89V7t5mVaQ3JR8kiouu02+ItqG576ueJFlbmAqpKMh8jnRHO5F0jzi1tWXPqBBSmiVLwzvwBSm
wRi/8QaXeDg+jiG4okoFQ9YC/qoW+4rRG3fiB3j6IQ1MBRcSysCbvGcKfxC/Z3MLeKHnAAjVkAOi
d2VHcsKuQI7zOBjew63LvFDnQ0w+RwtXGRgAOa69H/1mO9GPLem3z97/BO56ok1y8HVE32aQ7Q++
Ef1PdE1oNi+fOrRfdqo/58U7MLhGQ7dgnhU9P0Xey4A3HnkJ4B1qt3K3S1rBwff/zhgWTvukn6dR
Mnymfr5XYkz5Nn1LE/SpbGZ66O/qFUhRhRH6UwAt6xN3kMlxruWz7E+jeV3tce7O+3wxS4cz127n
sIuKzl9Stq9e2SaY5SflwCawNNjF0a9ZKmnyEip+4Hy8MaPb1OtlRnb2OUaAeZONnaaw3tMYAbla
D+iWvOqEvHHR8tSNy1O18DoNA8BHjLdIKANF1lzSoUbAuh3Gij22qqVpI/D6E6revYbBKcbd5k/k
qhONNg/9DJCDVChjkFF8hsLP2IjTtYIQaO2vBO6cX215CIIYUwYDKL7ws5n6vofmf5ur4JXATANY
TrfULG0hY+9TNV3ysPjSngTj3YPvJabQbABj4prxiRlUP9I55p+yC/FfxG+9BmTRsLMBwXiqGKT5
3va/EemoL9+6U8SGc+SP2xOoetxHOCBb+u7tI6oFTQDfixWs5xjPr+sQHdiOw5CAqWZyG3PYXFu+
C/8Xnu8PK7Yb7WFbyzcG2yFe9QuzC78az8vudG5qgPjlM4AAUY8DpiS8LdEDXZ7HtsmcMScUJEo1
By88wku82WS9iI3aX2bFI7WIId/NK74FYGWDjIvJLH05xFvaG0hbLrmXunnAyFMplZtqWMp2YuOh
lzjzLKCPB3DqS2m85Pc6IYLoDPoC9V6Xk+Y5IfizQNLZst9gA8JedMDYzHqZpueuu6GrcIQb85Co
Ph+aNl3jx8CqA7f9cddB4Tl9i/+T0+hLEz0tnperMMwrzC9eJ8s1LGQgcjjgBVpK320yZ523fOwL
+jWTg0fEo5uycb7uFLCnF4A2WfCoL031aIMv85+HeV3BUA7P0wS8vOnW/tT3uHr3HqNBLfzhYd37
NjVU6mM4eUneNMgYWQ1I3a7pHV31urouFoLnBG5rdYgQXC1BnEbk1gwhIEcxPvD9ky/0XyPYoaLN
LTJdd5ljLxK4eIPDzPtioTG6ALQ+Qk2q27LFCYxfbdOEe7gyjOkOsfagdFgzpHvkP4iK5e08qWwl
skMkNCDpG1ix9uIoxfAdmzYDuP8yNJ/GVNlGg+kc6uVt21Xp1Qaa3Lxvo3d3k9ipDoK3dWnSGIcy
vf9NNvbBDWMSHZQ8elzLXFX+R7THEhdWXxXCNFGmlK4+AYA3H24NFIacoEMiYYa7+OPAYhx7CjF5
7tXiHxyCmpP0xwneWLMsb8mArIkmA66SDjSUCe0lmvsbKl0Pwqu+vXjkRzLRKUu0k5klAhYf9e9f
D9LghtTetxsmfSR69tJaht+aNrxoqoo+xEPA65xHKLMFKlTZFDaIO6MRaFVkRE5rRVJ/mPzfdYIY
F45t84w8qUqp9qefoNblrSU+6K2VQD1hlsQwT3Sb13oUhQvCdzXs/Vu1NPySODMeaz5uZzVrhI3t
JFJLR3FaBC7QOlzIk4k6miKTZr+9kCRp3DpdNBRpN/1tqhnpisRnZrT9mscYD9ZAqr8hFTyNJOZX
fKrJCaQp4IUkaVFCgUTvxwQpDd/8Q5BQDNAGLbGESXdPiXXXZFzD3Exa097GYaFNagz+WkUhHxG6
t2nT4U+jFapYleVz1iStfb2jfZ9+5+0PHnNhLpagO/YNyl6y62F268GUE/Dxa9woglOy9e3BBO18
on3QPCS9rg/G63aMkDhfECKLhx7wwLsdOvnDWJz0cra4uEYEdyOosUMfAkenuvrwZhZmVuCq2jw+
5ffWwEH0BjTu0jaFs3V7pd38BcEHOBWkwKMjPSQCrUf1MLX9fmjU0n2OI+ZioTGV2LWO8Cax6eQn
PSzoXgfvOLH7fLT1VvYrtw+d6pB3o3b3u5FVe4wa/w+f1Y9YKXXsR5q8mY7oTwvrJhMRGOA9CkpU
sHhmTTtlBvjAhc7CXVQFR7ba56AIoIEzjxlXyrV7E4hBQAfHPTR0C06BgTUvZL8JPHKeg72PT6ZG
9kyaK3CU5LQN3oaHqk2KTsYMEwk+EUZUUuA5IZ+TrOoXqSaXR+YuQ3B3oHC1JOVecf1Yd+RHK0MJ
7VyLo1i0PKjWvwqHKyRTU3BnjVf/xFcveuo7ja8Ogw8tRJDwo6L46mofty10OMm8qcfv48l2vQHU
+7MjAs51V20nxMvbObF4esY6Xn/DM3ypE5rgvtnYZeMhQ9oKWSCTwBVNDbi8j8coawLb5R3qApOA
aJY6fgSYyTPjT4/BYH51Ez4enFe0aGBsH3HULE+e5qgtMfez870bxqooHwF7XgcWPXqRoe+939tH
g3yidJ17F64LIowP1B2Yrnz8/TPKSbqDqlGxd1YilLfZq3DeD/1z7zd4lGdmyo7uLxtyPTygE3/V
nomykVvzTFXwZ6JLXHqL1x0nEOr4W9obH9Yu98Mpys3e3HqgDGUP4ZitoxOncJp+RFP4Fsn5zYX1
gNEuwTQvAXsLzr4NH5YMg93Z22qZUwkkauR+vqyDzXlL3pQBTRev2yuUhz703bKAJXHXua6H0opW
X0dzQewDBHyN/pKI+ykoeJfiF28OhFgUQvsggwxYTjVZEfTS7pvPQXUIdvVBvaCq0wTVL6T7gARD
Ee7nySMsF4TTvOqV94cPG6h+JOBdtrEeZTSmUZGzQqGIKuV7r+nUpFNtcG8ij6LogKrhHto7L19m
FRfoNtLTEtDxa1S7KWMt0wXT8mVbR/Q9bXDqKxyGeN+HG6fLN77iEWBQAHeW+1s+ru+zDXHb728Y
3chhRTdRu/o1sTRKpyUcihDF2dTs/HOXQ1UwdUfqVdXeOiq+SI+vfOTjIRnbU+iQ7JJheGiVf0vW
EXzZhDtRh7JogqGYuwAPdjP+iSN15AlGsQRhkMB7gLtS40aokcFHMAM6JKY5AmGT8mSCbFnrx6rx
Tqi9fcw4p/IYCE4M8VjE/Tinm5ovdSKWrA6G1yUeARXNIiWWcTgPlTm1Tn1K2DEQ21efViRfJD7G
robmZs1FUUVOIOWe+gb/K1gSlN9i2aRLFR5pj6p2wNavwfVnH0n70KB10NZhmLU4aqC8iU53X37G
PaxwR9sudYmc74NPfepa0EI1enlvdm0v8VpTiI0KNjBo7pzu5FlHwVs1YWqkC+uzehjABcHy7iW+
Z2jMnDK4rZOrFTwFD0UYYGy7P9UZmbrj0kdPaF7Ej9PKz9aBGaK0eQYfqYpklg/aIOZttvE4TrAA
kT8l13pY/BK+nj3gAHxF6ZwVKhCocqoj0lCVoQ0Md3LHAUIq+almWtp6uQRwlJttwqUcX5LZExgQ
+HFDBg6NtubEdJhAGpwP8dY82Hp44mP0o/PW58a6s62mH+Dm+ltIIMpVb16GRMonpONhKgPvBgxh
OTqgz3TXt8pbunzVfunuLanVq642GU6Er0u6KJ2kRDUlJQphdgxWtqv/80/bLejVo5zDB4+3L57z
f8fAOgDcbnshFxpmdR+tpxgex5tpYSjzZL+1rY8KSICcYXPDg1r7v9AHGONG2GiL1x6C0Nxoje6K
38T1NSLtiKfIvNtqP9aVOFcD6kBRXO9lxWG5Ik/+Djt3dRo6QoBZw0fh8K5x9iSH4UBm7ym2pk7n
NUnycItxEv9DDv0FFfoSxuSBVPQnn/ex4G2vM2bj5x3E75wEfr5OVU55/zHQ9tAhbMosJqRspVY3
MOHsnM1NFH16Y2OyRDUxyIV7W6QjR7yFqFdjmGh7NyE2nkTGverP5Jr7w9o9W68Oii6SY6pHNJBW
vaUAJGCyjv3fcN9B4Kwaj7B+5NFYCBq9xjX/u5D15uP0XJj3OEb1SVKcmRqyrt28xw6lKBTGy9Xt
PwfES1nNu7zxvIPcl6vBw22sKqq4OsMO7nMwqWvW7vEETaPXcx+yJ7IFNZYgAMxU5HnccGLOxC6v
nLqkZD14mE7vp4DtqFhDrKSQgEiSBjC1s5/Onf5c9LhjE8AKrdb6oKXV5hfED76t9BCZz8OrwdXf
q9u+qBl4hgxyvkMCET2VLWwJ2PVAeCScrwiUOYd7GqAzHiq4n2YUP5g3ZXjDA3gPBnO4d0FFCvyd
t/FjG88SBrzBX2dH+gfomEt3GN1AEa/9qNENMySHFLoxBmvMWgmHg0sBF6faS8GaDMrkN4JpCZoC
g8pq7J/aIiYYxglWY8veufPPexAie9mHGodW2+F7D/4BkYBJU1V/wRsGxe5kAwPcO47ozmd67v5F
0Ya1HBtWS/Qdf7NhfI5rVJdpSNIWoAhGmOGj1zgmGydohlH+nx9thfYUSChHfxHw6chjJOCVMHxn
XS/PvP4bqQbD5DzXWTvhhPTjZC6boWtxaqoOFrcKH1sPJGyqF2MAWEJEJ/CBU0I2AnNqcvtnPKHk
7LV519PMYQZMKANZlpSTZ0qfmNsYL1/MkRzdie+h4g9AkxYk+7+CCN2FjhW+iE4Tc37W4xpMe/RP
MAqGKfDzr7lPdBbPHmAlpDlqjm8afncx9FP7BNIjbul3FZqnQK3wU1p4XStEGScnQ9wPq81rDdR0
oEPm4PitZEl3r0x0jehSHmZ7krOAYJ0eZbwu12VQvzddoxe47KnHnpAgw8tCp/2d4Qda90sz62/i
TZ+dojAvE3IlSa+OzbDhqUnSifV7Ck3YHMOtIu/NMvhv/x8G+L9raCG79pBa/5/r0m+1RZokmp//
kwf4r//vv3gA7IiJQiDzCUOfKkyQ3/9XMYsDB0j8kFNQAhT7Xe5Q/X/jAWLs3kAv67+Wzvx3HiDw
AuyD4SGKrhHY9P8XHuDeDfvfkAA/8vFDxAzAHX4+MAj/M6cHIjlXvQM3mMRYJ6A2W8REbWcYlOrB
eVzM6Yr6YznNz7Z5g7Hpn8Jq1EUyRsMzNDu6mve+loie2nG7sr357JIwpW4Qaa2TrwYgS0acfG1F
i90IaqkBC+HQCeDYlA5FsLPyBhjkSiA7kwM1Rc/9qohD96/xGZIA9Z1IlKGoQ9xbJcxLg0Q9wLw1
WRtjfOkjGLXrPHzAI51P1iropriabbk7SsvYgGQU0tICxulYMpq0vwV443yoMFdOSBxTCJCnSfSq
NIB8HrdIk6fI26fLBKe/sKyHYvV+jDH9p4dP0SRXi/rlROobqUdkJYzc2mG5+C1sm2j7vfOumGbv
KLcKF0r0w1LzaC2ufU0T/xcAj+cK1VkXztjGckUp6Gvo47cFlHA2rwNQAtyh/6HWlxYH9JhMK6YA
/5UM619KvS/BYP1MQgvkHxvSDMWeICqfhxULQsYF40TDYApDX8KgwnDTLO2LH0BujwyEfBAVjfLh
augo34R88diSNIC1ut9M1gfQiJgLAgMIia0xz3yff+18ywbGr/WI0ddpcWuCGZNKB7wgGfGvBgGm
zqvvG3qiUyVCXYbIFUSNFoFYF/METBGuLcyWy0axmQIjofcSK687eVhOkvvKDwrcDX7OJBZxIGuv
jnFtgocJOFkdg47Cmg2c/w3fyN8AuuoAR8Iveh3DDou7+TTaVkGFeTtcs6rHogi/6SpsuIjjVG6L
xmYOjI0gcUwODY+VIKNmj9HOEHVE9fQoNsFgN4mmTDxT3SAa1LtWtXhowciUAdDC53rqkDs0FqoQ
zY5zLSlPtwZXnBvGFoN8m9W2BbAvAR9MMSpDQb90T6jCp0aNyVm28fS1kAgdzxiiIxqQTSOXel+E
DY6V25BUqf2ReUqXvkwiWA8BOYKO/imNfAkdNTnmVPSfJLrO0QJkEI2oqIGMF0i2P3B4PIM9gpcU
NNduSFiJrT2vMZZHPaJFp4uo3jtsECLe6yx6mm9UvE0Y0c5exH8hEdqBiLT5rPVPjyChUJUGV26S
KYWHRbAVZzkHOjkPuO9jEMMlvUsAv1f/RqQvWbMBBr3LhP4uGHRH/02LRpSJ9TZgd7ssuMsLAJxI
trvg0VUzzC1IkNliKpjb9Q8QTWyoarU4iGUGvGe73zXkC7nrGFDXAvVoPMg1neN0DvgDeo1pvYli
maTDKhuAnQH9WEHvADrniC5W41IVY4zwmua3k6SGFsS5xDCa1EPTZ5U3HpFhPhNmYFJJ9wOQZKqt
K1oUQLxKPfg4wHxT92kDo7oe3cEQPIZrNIJZ3ssaQb1ctw8d9gNstvoFNKUPexGp6TiVkgwURT0f
lH/ilzZ29FZtt4ZasD/1r/muGfcu+l7uKlIaQfLkrix3BnOpXnGpw9XKgc4/ueGfm8E4+ndhquP1
RBrep5rrpPS7qTotq5jKqPZQDAgO++DqsoPW9WaxngcdQv6uWMs1BXbIHdSFmWEotcjhoJlraGc/
6nPmWJR1bfCTQV1rM54U31EPFL+3SZewEE8WcjxGy9vDrp9k2d5ryHWNka/bpsf9ruNb1NKaRv/d
xKJSj8OG8WHIyrv6d1S25eIPFxKAD19N/ReGpMjCBZjmPYvYu5ZmNohPgmOy4PcZQxI+ZfY+d8x1
46GKgHkCKMQQZotmXrYN/cEN+mOeSG7uM8yGYQb29XNyn24QgiMWWNlPlEUew8a8IMz+Xrw/LXo5
WjY8H6cFeYn1nuQCo3qYb4lrXqqkySPU03IfV0S6i+063ydltsdHeh/DLBolWUzCUy3JMd7ER1fd
QQb8gVfhIe6ynr21iQRujL1X9X3Ua3g0Yd5zXirvs2AV8o/GwUcAJg+Y5T4xdvfZkd2nyLiFZwr+
6XdCuhevjh4s5qIo3uBA3SfQpnVHtbceAH+MNA10Z7T0Z9YgV6b99G+ealvoZsujxrG0B1DUeNVv
B2j+AIIYsjVZMA9r+zLN1mbLMPa3kS2IbTfyysX02UbV03QfrRkKPjnmogsWSPnlwiHBu4FfWJ9c
hBJFzZBMbhND2j98WqzrAeNvf+6tgqfSm9Rhxoez/ioNzEzFw0PoovXgVz6mA9ZE2EbV4McMI1Sa
yQzaRz4AsFKFiOQzkmQs5IDH4N3NBiw2Q+SGvHwjWKe2431YV7xTrI7aYp4lfMZQx4AC1u91Hb5c
gD1swTx16SwidMfrF6wstPlAwbGweXoSjTt0ouneQtr6hSU7emJ392S5+yiN9ZEiCvw6rAEVAsoe
W77UmmHdILvWav0Lmvnsi/lrVnTNJmT2NQzZBE1M2wCxoe4eS8OXSvHz4kVdySk0l/7u+bi7++Oq
muVkspdknZ+AIn1Gd6eIGcJTfXePHLygOdavYNGWbIfBtG3znDaB5sXWty/wOUOUJ9i7G+vTkABm
u/tU7O5Y9XfvirTOB55YoRJ6d7Za8T6OACzGlr7O6Kr48MDqLroPsfIDoD9kjSeSIrjbZ/fqodi+
KrLegwnxxe5OG9EoZ2ClVVXMsOHo3Y/Tfh2Ct2tFPsKs4zx56zyPHXDbLPj2g586ER6K+OO/0MIF
UEH1jUUXw63HEY40xTttOOdRsZrJBWzKFkemdHcHEaWL8OTurqJY69seejbfO/MwUoL1IFjJxpBC
xhYOjocuOHKokyDBk3UrfjncvAS9hNxSKIgpwBUv0cMHZfODNl1w5IMWhVbzzxC09H2c/TPK6Drv
YQTMCPlaz8fPoKUms6G252COkQ5UUXeMCSmjTtxpiB2Cxls3BGyaig8Y6ss1Yk5lWFoDTRuCRPLF
s9sXGCIG3Uz4nN+eX+OmYXo+QcaCToihFfB6bGT45Vb0gUxosJYshg2FebbecoPxNwVAgvYMnTMs
RkANjAws3Tq03ha8wgfHtzZH08uglYRlcW31QRIgPRFxc4YVXX/0Bt+0cX3y3ezV/N0yBFtiGaeb
9D2Mfbv3h4Q1kvMaWcsykIdZ4TMWfvON7Tg66ysUprClKG0DLB+rcDgclyqmYOiCTyhEATdMPgZN
UIES4PtpGMhe7N34sWGjwit6iEXQSpsnZCQFrHHgoLoS8AewR5IhuYsQGk+OHowjNJ8S2eFAilH4
0Svsl/t+OHzfba6aBGzXfhUdug09nX71ItY/N8SjNeCU517pR+qmz3hsogPwGUR9IlqOimB3m7Qh
fG+UmZFqoN45oxqFTYxYtkaPFs45PHO8d6MOxFEx1Gd5P7dll9Q2dz6y69myCG+jNxeGiQ7wAHYh
JtvKc68do3yAaVisy7LmO5+aojIWKbu/lHDudclJ/GMQckXCD092DlVdDuGkLsiyb1U49unk3Pe4
wYXrAvk9RHiHAzTuVqyAymHlgjaGnwdHfPPdD4eyXhYnsMtchXOHruSHqq180hEKBMC9jz4TH37t
6ZLF7m1bMA6w6A1LgR4bbI8bk/q6aWB1yfA8SyAtdd/itB14nDtsbMIXNLEjqtjVcW09O6T9yt6E
iF9azglMq0hcPGTl2ONoC4MEj6X1MmOPG50ZtoYur25v4eyQ+M01SFWKETNAroMKPR44nl+8DuA2
RosNP32rXuVK2dV68FgNcpxTNUNx6QUv7iAqVQ5T964nPdwkU+45CWX8oQAxABaN5hfTcDS+DHZ0
pKjS6QxlYNT+uh2h4zYuWezbX42/wDeuVveykA7aY4ouPfHVyfidfvNcgzOh0fRLdPfOlfFt/JlI
WIhNvPcXU4PbxiImenSodKJd1INgm0EkAAqY30Ct2VI2424ycmertn28VlMzls0oUNOZ977EE/gd
CPZka3jqCVuwKW+ciX92htWPitfNmXKyv6ww0cBrr5iUhHbkAaU7c7TQ9FjA5CoyAp8gQ66woUql
e5xYhL0yPDI6ba9eYEVZJYN3NXYIDmHPAEcChChqqPVb1FVrgacZzcMW3Xprl+hqgaRi2DOXaMDD
wVG6LXF2DM9kjlzB0O65MEvUja82SyQjB+gDmG5AgnDHguYp0HHSR4Rj4D4Tv7+gYBVcVrTF5q73
XiSax4eqRSjtY03HYVwdFDmLpZcm/t4VUGIL4lG/uYbtfXPs+iTnfcfTljwSb4hwuVw5bgkkTFoW
dFnmt94HJDIjGvw7zRy3woL4q/AXvWehjr58rGcasO8g10612AeolscwiqdsXbClKiPcYbkVsSmM
zuA4rsJHgVXVfyZc/Nhm5iigoxGjQCdzALzi9T8HbC0xkdTz2kITjS9TAsScrHzF8f2fbaQAP7Td
DyY2Oucddo6Nc6/fsJazcuni82fBZW1SZhN3W7wNILm3Y7RVy4azd9yf5ULw47fG5ESMx27Q+aY7
IsGbz1jMuO5YZBPICoW1vQHovk7tbWvqCSUnqpdDEyT1cRUMh2WjXHTdjAmwaobXT9EMUTp27Iye
QnLg+14dqG3+ofpbf/WriS5OITuG945Cmtj814pvfRoIeJyTb17q0a554GLU5y06b0Pn4q/ej71j
1CWwtclW4cvidP42IFbyjsZIrYeTDdDUzFFBh+RQmJRY57tzMofiA8/0YtO1uzO64/9i77yWKzey
bfsr5wegSLgEEHGftnf0roovCBYNvEkgYb/+DkjV3VLrtPr0e0coFCGRxSI3N4Bca845Zt3uVWY4
xyb+UjxPV1r79b7yorexLneKc/fawvG1Tr2h5IUZIIVZtlrbmXWe2amfAFaVV0WIFXQs7BXIIcCO
hnmJ0+m+1a740Vj5Pa8gI4yPMD5xqt3rPEi3rnbyh4wY8UqgVG7Kocx/WHGeH3NCIl4m9ffIluHa
9bvbeXTS2zTtePUMm9FQmrp96DMxvhrJcm1X5t5tXdzlDIBW4t+1trc36khfibmtz93iw8+H9ty4
HGnLJhmfcU6WNfogJ6GhjaJXhZ2vrZr0m1P4zlMSSb03iaHh/GA05F5a3EdECte5MUz3RYyXsSBG
ekuyncmNU6aI+/B7AQBsY85GijPN54jZA1YLnQ7bpsOSYhvLXO6zzk2RcY2xuHHqFLSvYX6vMpV/
txM1HYOq996xfoWbOeY2HfmgwLTGAcnJ8aXIB73vxrrnqtMn1lF8nRarjTumXxVi/x7NIH3NGiiw
yht59/bRkjbASLgaPLu/DtIETwUZwMchXpxyuq0A4bjlzlSkOsIgjzHXBQJbgtfch47sjy1LeeaP
YVGdQkw6IcCPwMzPblLn/100f/5fFs34eTyWwv96zfzw9gYZoPz4/Zb55x/6bcfs/bIwdbjjur8u
hC2iWL+xv+QvtgRvE5Busa0l9MXf83PF7AS/SNs2A8+D7WUt8PK/r5j5kAnmBSyYB6QMSJH1n6yY
IYn984bZ8Ty+BQ/GNm8m214+/rskWDgUswFRwOW+UGM2hsXwxGCdHBR+XnQwtgoBFNj1jGS0Kofu
vsw9e8XieU9iN9m79ohE53YWT2XoBeTFCtYD/TCQ50DwCuSEl6rMzE1i2+V1lE7hQVXWpTXr71wt
/AXm1N9WjXEqMckz8whn2095dZ93kMbNqXkL29zbNDmhkE4em6a9dqQRr0O3e2gnVCsnqBkCBHvr
tgkRsZkRnI7Td9Rj3oDe9hra1ktYFbBtw1puHd1wAaacEZNTnLoHFCpjxSMvXZEsuegivSoVIfHC
7vZQ84cVdk3WsIQrBhKpBEmRm1Sf7iIASAdHEZth6miY1+RlcSbaYfQd4yJ2MZ48y3d/YKjcVp7Y
F6Z/a1jDE2gFHzZiYOEoiNVKSBmupDedwbof7Lw5ZyWoxjyGveaeBrNgT2edxrJ+B6OxS+rMx1Uc
3GIqJjQbGuthlvtxLJ4y5V06IsyrSMevo/ReKzx0aa+/SQ+JOoPfjVspuany6jbRMIMr39rXUSlw
7ql+MyVZs81iwImGuLFCOewF24YKp9BKwpQ/hKK7zlVGGG0C3jlk59gb6o2XmhtCU/eijF660XkZ
YmjZyOnmCnfLws3BTJahbewHO9JbhwTWGm7NsF5SNgkPw21hhtk+bIZrFfunotBPyVSdS3Oqt1qg
JiTav0U3D3d5i9AXG+yzmmjAK9c72ww+pwyrU5sP32Tf/mgzY10JIPR+OmAN5Qut3Wq47ZdvpinO
AavtxS8KaP5bKPDfzbJKNpnnRXh2+0PJXXmFc2graqE3PEMjsM3OwRp8JNJvtWTlAZoku4Lw0B0L
VRpHp8uJtnc+Vn1McqNG6+VNRaQrIbNJiF+wkgyvItkEq6Tw9EnEQXwSeYrk6I4z423OM0tC5BQM
1xELVCNzDl4v+k1XDtM2dG2xgOk/OwNvNHOKdZsM8cdg8i7XKj1HihOk0t0pyVkPtR2M69AQ48Ex
Bpd9rDEffB5C6wnqyrr1U66yakHZdNISJO1y+3oslARghxXMj4PkWxhO/KVp1m+s3G9ftRy6w9xB
k67SONiFLeNrRajkqHzfOFkerkwz4sVOFdYkXFtIx31n7h3DaLe8jPm9yszsLqryd8L+6SYq42yX
lbwdgAA6jyi5E3q4XV8J7m4H0cz2RvVlC4CJJ3Lk2htclvFDnZXTuh6DAUet9wPn5bLk8cOz648S
41znsLWGWEtwLMPhVhlXlo8Ds00q58yrlp8MEeCm0Uqf4kRma8Lqtx4HmYc2ucEfpk9+NGWXNMua
nS05s2HrJpyeFfHGJ+dwk7UIAJ5hHh0XI9PU5Z/u7L6RjCv2nTWcYJMfw6blLtP4NmjVsNnXYV2g
mI8lgYrCXU0AMq47y/RXk0cvgg8hXAg2xKO6S4TBQrgJNIJ1WJGQA18Pjd5eyx4S+TQ7rK4lVId5
qmCF1iUki6jeuH38EA3FV5tAn7EwhhTtcM+NGS98TLrTtLHzTHU9bWozeFZqegzFcDAqOz/MU6ee
gDENb/UwudfoeRhM0vzLstx4qyW5BUJVlBowZOLYjwrmFInZscIcgnxO8UDUucHZD7BhJ5zeZYC4
0oFNz0N4EYZvkvUq5+u8SG8nmb0wTCBw8RrCyvc22jbtG1oNjKNybM0wq6KzaSIMRvNkrnAHG4fF
aafKaV55ZS83WTdkp6koGrQW7tnaGuKD1wRvkFtg8UutfktC/zdL/2+y9JYnXQTtf32quY+T8nM5
1hi3b/mbTso3/fmHE85vX+C3E47/i4tyDT0QtPiiVv+DPC45q/hMm4joqOs2gNG/H3Fc8UvgwH8Q
HG/AMpnL6ecn3tTxgZLT6BLwJwLfsb3/qJ9FLiesP+TqAWMAe3Z9CSeUYL23ABB/d8RZ2MGEx1nM
a3OezlVQhF+EEnGZzvYSpwVukQx1nCIdOuIw1L5/bFUg8XL63VUPc//C/hJuCSkgsXUbmT7rWMBO
4c25FWXgnqNCWZfGdtmDgUwCnEliwDxBPck2+ID6DUAUd4e2hsGxzNBXlHMIYboBsSgTnLbjEB5z
jL+rxhbhEcuI/e7nLi6zKakRhfDBb3QypPBR6+ey8MadkxCWqFn93MO5Nu6R7+JnGnDSlyqooq9m
QnMsopvRz+rbOGJUnstTObN4wXMJknCB+4S32oNSqHTSQyYrR+52o8s2XHmFdUdey1nFSZp8qhxY
YOx3BELTOjkGeSSIrrUVQU1fLs5AhyCRz/0M4dx8DgzHPrL7AyFj1tUNZCKkL7+pkbuMkZGamz52
GHCP30wm9RczENH3MSAgyCa6+xFWTngix4AKp3lyo3O6rUmTzhC61dZU8XgxEWt2VKeAdMqq4TjN
XVLg5fa/0PDNTWmlpAL9guwzL0wX9uGabLG7jvDyTZAKuDt+tWF1r4U61mn8vXJYSNQmd+dQi/Zs
83h/LexBXmrNQl42ibh2p66k7iM0NxZnvWOY4LAVyajeZYRtt/ejhoyVfPJiab6G1vzuxrpcsf5H
AQJiujfHNtgMmfzsghjVhsjCowtFdktLxdEl8PKW2k51W8xkTq0gusP8ESEs5hy05mmb9ILzYcNa
RkE5uVhZX57LIfSvIcOjOjZWutMYiS/VXODQ4nf0zNLcXrmlmZ0AqXqvIDKju7jwhnMkzfzF9Cp5
U2V5fCV6jFEN6ffjMNXipmNNAAXdpWiE7elhdCN/15aeujan3Nzm46ILRZn291wSoJNCW28nAR6+
pjPjOOvRuaiFwlvn052lE/W9qUEU0mSyrYYweiKnO2PxM/JnO42j+0GEJuQ8480pnPnKs2oJe83G
hoFed9UG06eWGIqNrP8xQJeAFCyzaz/OkovU+LCnumlZa9vuu6YvS2M7EcwlA6Jv0ARPrWycTyjs
DQm9rpV3FNboXV9DOreGlAQwSrV3LVFvPzKTHIVAivgGma96b+ew3eZVEXwBYaw+BlJZbxXHqJt+
UNOGI4nxvc4D0KOlbQFJiMvq0y5Fse+HONj2mFyPWVJScOJEcmPq4ULE1Q4EsCdpqQfJks5ZReCQ
tqmo1DnMBnfnRxFasWejWDih75NZNcMXlFgscqhnXKE1FOIl9OhuOIGT8spnfTOZuvkkErKwh83q
2XZFzNMe9csyFVsTMVlk1waDOh7WbPK4rKGOgoUZR5DEuBeGwGxJPC3Aqt1b7DIr56PlKPEypT1r
M3qKpoc2JvxfZR7Rh8aeP912jCdkNm9gE8YR1rKs4sFiLrlphj6/WH1gnKpB2bgIYrL0Pk/shkz+
xiixgTjTkO/ZmVCVNDDqlGmTb6JKcTaKI+O+yyb73m8mfszIVtHH1FfON8tom89eTum1Mipk5K5r
712j6h5y2ELr0WNOGVjEQ5AfAMoNLjsu0Q6a7IxR3wxcInJL5ZZ4jNk6XinDxizVEIxgyRZtfWse
ttgeqqu8HcxDZLf5hf4Yn3S1IntrNR628w5Dz8oaPf3S9cl8B7SiufBbNb53tt0esK0HJMNFe12Y
c/19VrxnubuwCJYc3RM3K14MJ2k3Njb2jRc6KXcsHAdi6p/jxM3fgMi8G2yDtxR5pRuZL2K6M1SM
HK6xokdrXE9hge9Ds0hOZazJ4XU5gAsNBgH/yRu8W+Pdi/0vLDIclfOuvpqdvtz0puuseNDgLWZ+
BG7XVNdACDtqkGYgFKSTt3Vh3k5WWWylhYgq+AZI6DWQXWLxBgrJR+EKTvGYSVpu5nQN93zepPX8
wzBGDfoBJJIoMPTGnXAPjCAt5FHpbvWU0K3Vh8F94udvoSGrdWGTCfdbSBz+lLOq6nzrSrgsFB0r
DXeku30S5eg2QsksXZlWoXe+n0+PnTkS1o8m6Cc2i9RkKKfbwKieLX+JXZgwO7F/yuwcAmPf4Atw
2JVW6XiClB/sRee3J1ep4LUu6nwfyb7hE1N5KEU6FmQpuh6ihsYFntQh6HJcq+YJqCCeqCRGKW0i
4CuR264dXKj7PADRwHAKjs6OF0FHEEZLE0+ue9foXWzMcrqkShPXrZnLeAJiE7pKa/KvXWF1WzwR
3h11FwGHYUQUwOoji1+vVitDMvaEsBl3TQsvbBWJMtsZkiEpITT+vVmGJzyH6VnkjtiX6Tgd6iWk
XnhodbRz4UC2EMigWjj6HVKRXhGkzEbQDAxwPhc9AiiAsg/dEgLzMYTRFgCse+0t42DrlOIQss39
LIiybIzO/JjC/lQpvDbk/OiMaPRiGVPRNxmXr2FWfnqxAioQKcbaRS1hXI2rBjsb8KTqiUeLPhEl
DLBXldm1GwNuzCUyVxe390XlkTPWAvd06MTlNqu8dFOUg3dTGHOw6hUk5EkiaQfLPG4EFoA2JvWB
iV0yuStJ4CcKA+fgMt53jQkvm+F/LKDxWstSIGY7EM/s/Ge3rZFpqnMYqCdn2fJbAh8vlkAWynRu
MPq6yLnLDiJdthFxPvRsVEz/PM2eXiOZC8KmM2QXoDO4o3HQl2QAx2UnohBaNkLZwwvbKLHNfILf
qNBEI+LmW1UgZFt9i2LNDsepXQR5Y20NngK567FnIU2clPQ1YCc/JY1zX3XROuVG5LDm6frhw1TS
3GrHym+KgY96yKXNZMynIdUmBRWdsTIKtkx6TNJdGw7OQUSw5vxo6PYFO6qWXZVDmFiVxHvssJg3
DSZQDoCvKa7VJ8AmE75q9PcYJBvMVNvcNKF37PR83QfT5G5LEd3wdI+AnTlY6muMAIkzIfgAVL6I
dmRf42XmjjFP8uCV3SktrPOEoP0SDAknnMouv2cGQAQ0WBrrUgu/FMzFY8RTMcVbFpn7Pg3qlswU
YFujx8DPESt5maAQbc1GZptQeCMuOK5Fb8AzzxwLk6lBampHjEq8Ecr2Ylujecnytj0FRcqvjwTs
bTNNsIwyTS1YFxGCkBnboLTdLNw/1HYvJqCi8hxaaBk8NJx5eOHrYtw0Frt3ID8dsFt0DpUxZQ+4
xLfK0z9kJPINWAvnN7D9fyfMfzNh+qbnQkb7qxnz6vM9yz9Lrt/IePls9f9Qb/nZvJX/7Nj++YV+
OrYd1uksvSHz+650HJdh7rd1uil+kYJlPR8RktnR5yN/c2w7ENwc2/csAereXAbEn6OmazOhLq1Y
ggEUyBuL9r81fN3+hmb7qyrQP5PYWaP7MDoE+AJhMWr+cdKcc7av/WDN6zxM7p06mq6afmK7SIR7
1STEGup84JaQEhNtGDvzpL/+3Sv48zv6fXGBxdT8x1nXE64nodZzxMSy/M/FTjnJFTfHDsdC1McT
FQb+Loiy21ZY7dYwGD+haBabSOCyqfCBr50qbA9mp9iPl+4JmIf6aqf5oRqr23noHyfp3Jouboje
yMqbnPuZsqyXsTGPosDEQk3jiFl1psvQL1PjB84Q1uEClFSYk53965/tT2M8v1cBy04QpaRHBW/9
H8b4fsTdEtcZXrTJ7Nb57L7kpgGQ3EWH/eu/6Z9BfAtZHv4eZDxPsjqw/qkda7YMMff1gnoxBT1R
6IZrwGHpehwQO4pGOeveF3vDX97Jf9+x/C+/Pbpi//RD+rwXUXeWvQnrf8GW5ve7CrNrHG04JgHe
UDdQ+eLxaIuqhwDRc/SynGkXyKIFIJy7ahP64lU32jur9hx5RABX01w/z8v8rma34PUZ55VfoVME
mamRBBBdRfhl2+OnSRkUVaVZv5V9ON7WsO5Tv8WotPiAA7z3Z8euL0VddStlCHNj+zzHUiLnJ4/W
2scEfilTOUah8sJTTm5dt3B3bp8TRqdYspaLXxP+i8vAeAWKgFxuY7qMX219XU3Lk8RhXVGi6wMP
stt1jzdq52VEZiXAkLWszZust+1boklQb6Yz13txzv35OGROvsU3A1cg5XQVVt5TxUmThJBON6Uq
390hAxwi/MsUFenFsnGqssdOjzIcK6JfSLXphLmR3e+W7rHkunLyG8L21ktPH8RVwOtyG47dy7DI
VLG0NxTQ2muGzGY7O834I+p8hUwD1yuQ1wLcM+MthsgP+k3ncxfqB1xC2cEw5anGb/Jgl3UV7UVp
zat5Xob5wQcmkfvkEDHgfQMKEl156WAfiZN7+xaMMI/AlLoLICJjR/TAEqTV8BA91kVbPRmEyXdm
oKCM5p5Z76y+2LZk5zaDB9VDmtJ+CIXlE31GA7PRvmix4SjxIyn0AkBkhnM9Bnx2K+nwbewY2PxQ
wsFz50GeNFPOve+WMKI4NEXbjjljGzey4rbQmEuVQ/2YDl5yhuZWuUhRpnGmRta+F34toAuDuQXb
z9nAT+HC8vkldBajH/ZR7rpn5TVyO6fZvI+CMfrI3f660NJ/qovlxcGLLa+KNuEcqsyaLjAF53ey
6+otzhtOdf5U39YYk49jLXJvlTNIboowYnPH8LOXsuKt2BrwMgk4Eq5wu3aPVVhs7HDqD4GCibMK
WnPYKc8KnsPZgUxPQ9CJWtB27+RZfPANbtFVDP9NFPiMhUFAhemr7ajY7cavGhcbRSy5Nl+baBIv
rsAmNrXg9Aah+qMacZ0rK23fWtuS4MgJHxAroRXXGgZgfakrHkrFFUchK5icOnwlAbP8riOGAys2
fniuGDfCEpxYBzn6HxE2tA2Scr5TBai2Ko3sXe6NHwmH0JCRGa53ocXBWE54EEML3DqESKP5DvyO
VQAUJMuceJQq2RWGn8bzJFUu+ZAhPBL0uzB7Mii2vc3pTM5sNqf5iMxJ/2jjhR+9l3Wr0IhJYuJm
Q32zY/0YjBX11USnt5mkLsKbJwCE1hju27hKIRXnALRtA4Q68DU/3c9GjZgS2tVjrWqOxG36paMI
sTTtmaL7aExtTIbRD+m42aFV81WBAxsfqDDND187+pY4ULvtCH4sz3hgbv28H4wH5B+I+bxhoq5M
t60BzD1Qk8JT0jeLDTVfB5EnQScOZrPC+GccZWM/xzOp98H/Bhkbgxy3hPPgmcNHUuvgh4e2+RSU
DU9Am9pVo7D4XIeiYupOql2uk/h72abuuIInUpMjyuOznQcsHittvEPAbGB26fGD7e7wyY7DwqRT
arGZOiM6FTgZQc/VHvu/yoM5KEdhbFmJrgsX5kSfiBc7DNJdOQGnAqze4l315TNgPnx0ho6s67AY
LUao5qXHDrK2In0PvoYxxMii7dQExdrsjcvQpg9m0kbrCML8fsqCj24Kn8uQ9zEr7h6TUltsvVG8
OJ5/G1FjtK7w6HGE5y4KoYayv057OyyD2WHKkvaMNZTWHaWyGwEEH3CjUewUFvoznKDswVL+fRuE
t/ZieG4lNmGlJ/OiozZeA/PneDOWzww2X76J/JaH3Y00vKua63/dNvm+xny7dQzJtgMU/Rlk9W3J
o3gdz9rYlLwsx8GQuMdwP2XhUsvbpR/RHD/ZXkXvHQ61sRncvZUF+Sk0QwppG1NPOyuE2WTUVnWw
PAO6aYzAmyU8pyOWuZ7l5Y+Cgp593LrXcY4AVck2uzbt6Y3acQMCSBatrJrnetWrxwm3Izvo6CqM
/O4+yzJ1dNr4HmcRmQ1ddxdM6OZLDzLudoY4zW1C2scm5b6+vO+D2gPhUMynfOksn6b+hvMDYoJP
zGZlNYp3aEXuJBnNd0yz9kukbARggKmrvOGc1VWhfVfUXUyUWz/GoNLXaJM2IBMM5LlDH7I24n1Y
BIxO5Eu2Afw/pYnKVRHdivg83GPiGMXK87kZjhowATsoaqSq6RDYsTglqeNvQsMeznnj3ltpOu/m
CjgRbxZ7M0/ck4o6KHAwZMMh4XXE+M+eoWPQx0+GQc6x++Kzj1rrKeyXCDmAst2ytrEm8gcj3qYT
RuQbtxioE+2Q2Xl5uaXBX3JiTL1V3s2w/IYLtg3qvtssQNqgcmXVyXnckDAvLy6LC1gNYb/JJxhj
UeugW0j1lOXm28RNsbDt5qrvehQD5AiKKVUr7rGJgXnhAjLfgdu3V0EayJt5wou2TfC4EvOB2/3d
01kQbMsuQ/kMWwnzq6h9FUOWomuhIDgJ9YkEN501SMJZ4lq43JIwvwE4hTsY/6F1N9jSXY+UaJDJ
7ugfw6nYrdJa7oYKATgxsblpHPyKVCCiMmT1vC4W5q57NtzZeV4qwL9p1+jumKFp3XByX76psKpZ
f7gdksak1oUfPCGxbitQ6904fnmYdikX8bYag+JjOXHnLmP/2jBxqRJQqrZFauJBVMFXM6rqwJMj
2ehhvvcjtsKqm21cLxlty/O1QdHHt4jVkm8X31iH7WO5pFUsyWPATr6c2saLU7r6kacfXm85yRdX
cs6L0IfXZDxClHo0hTZ/TsQ0bwKpTrkCYETBNO3VTdVZvD2mdjN03lM+Utc+OHDsJGtMvAnkhzzX
vDYa9G6AqIA3HX9nsO9fDzr8Urb5Yc3FZxgPj10evFBiRENnx141ypJx7+fDVVBGN10I68rMXGyj
5ivVGXBrQ/h/GVCkXcvd9nUOOPAatKPXlJ2fosiBsdlY/XgoI4cywoDMojEE5XHqqEAa3Kj+SroZ
53QqmpswbvQFUt+Si4x7/xntvxtY4uiqWtFhyqWR+V58xRGiXjxN8daTrbiwVtLHUpr9UQSxOFtd
+sBZMFxlXhp4K7PiuTxaSkDDMKxgpSu4msDdqmNfTsM9GY38GX5KjZ5iKEnS0tL6g+dWTvatm7dG
OeQvXZCQRzOUv7bhWeN+6S2cr646u0EevMoAQ3zmSA7KuiISsTKnAj6Mo5190AvghUFYqaPH0+oy
EMq9iVsBbUpH8yHLBuds0Nz6nQhOunHTHnKa4YttXQKdGEsOrm4/e0wZdfqs8iLhVJYk29Zs2Qnn
s/3NagRWsHFQJ6/223NlJuNtkPbJt7jKrP1Qh963yBbjLsLMfApmVkdFloGTc8iLBq3LOjOp+6U8
dqGSKQGrdUNDbHo0CcHsRQTdqMJMsbb9xFn1gngtkRsy+jZUXdOlG2tTu42YNxrl56azHAe8nFSP
KR0HG7Ol9aKcrZ4iqjRt9yy/MzKqnr7kVUa/4IjreNJxrlazjdzBqOG9Z02SbCyJF4H8jb8GADBf
gDFOjyC44l1g8bTtYMf16yQrLcQzYe7ZlKqHOoiqw1xxANF+4j0bOn0G52o8QeR7NinMtTahtKCQ
DgNAFxQ0qW4BLHgbV3Uv4aRG8NpGeq9BiewzV7bs/h37EsHB3naUw2+J25QYVJP+4FiN3udz5//o
q+DDFn380pSLyOzIFuikb+5DBIy9UZg5V8P8rLFnX1dd0xy021o/pml8a2lm4zHkDyRkvImmr1VY
5PiKii6x79Mx1LdRRsx4MGBJOT1n/bkaXquCm0BvB+i8Lq7XMhqsXa1IHsIXM8pDaFTFvm4d3HFN
1umPOfJBSdIRQwEMIGaYDdjNHVdMt0qwpiuiIeGsJiufnVACl7HwOMTl2YNpLRDXsRD5yzBRe5H3
kK0ZzRRMluBF8TCirsKYEYVnE03DylKQ7w2ot71MFI9YFU4+NSBZdD+xguCHaHtxjCueH41tyz2l
QNmt3RYssOdqap5E1eDk7iwGCuReCbcvqaNHD9bRcQwTuYGXab8mhd/dsNpGuLaxP19jxS9Q1+MW
M0Fb5fUGstv4HdO6DTnfQOBPQ6B1PFC/Ih04X6GyoSEXyzC5cwcapB3gzachoEiH807HINOH87Nb
pckVaJH8mHo51zoYH+sYUQy14SKwzZs+oBlzNzdRdyiroTp1fsVOuEqZ1Ll3569Y0utb30jH+6kt
88uY6u7JAb7ySpKnwagYe8S6a9vlfRO5VNS0oim5rIJ5cTgOBR7iwE4iAOt0pHFzmgyOG5Rj7iyj
8UnMc96o3KK+9v0qmzYJwcivzJ3yTwxpNm0co+G8euDJz1OfWijnuN5HHpZjXW0x4HrExFy2DJ4v
EpC0EuIVfn66dUew+JzYeTcmaV9+xpEHKI9fbE6xNbRnYdpFcod7nYaNKKTls0kNJBOOocmLVRBE
XGUyiGDcj+E5j3PzvScPdWuNZXkduszbLIKJ1y6X+IXO0PLRpfDoyJGYYMMUAGhrukJdCc8A14mD
/Fix0zs5s55vCpIxu6hAAOtGCj9L0VUov80srwdpctatC24NosqvRvSHiwPVvc24WMo5bbG1chRV
PjkZdsv1hcDfuFfC8O4xgDjknwwbeDp7i5MmpX0ZmzHDhUqk2IMFdGDtJfbk29lyy9D9HvtxdRgX
lKLftNOh1HK+psht3faRPHL362CDszhhSwPapvEKOFtRco7GDE6cRU7K9ed+/+svzzEzeZwH7Tym
IgyOlbbn49Q34bqrpv7Y5U5xvez1tzDFKLpMnO5FaQC2lKMSOxnmkEjRfDvVgU2cpub4VlQ+05Cy
46PuW19fkFMcg5aDuE537tKcpzPNK/Nrmx5Ip3qTLGV72VK7lyRpfAdOP72lzoiFT19CISa1DG6w
YxidWHSsR564j7ZPWoYSHReCs2taZy61+cONsvY5/bUfEEHE4tk8l3Kjoy5Y0YErfwBBXpYlkWgb
7P9jwCYsB/OjPZERxS8H88pdagz55bW7yEjbnbZIX+gkUFsT7zL+wbGaz60LfmqDLobCHaIhk+R1
aYEXyfzYWuH4wFE4fiSZybwrgN+9h92vVYwYB+8shbIukmmZreoZec6AuZ1MiTo3s8Np22K3h8Xa
0qfEGRQCYGo2O4pihj2HSeMAUYCRs49otCBulD2KsgBLnyYKuhg+xyEMEFOlZFRwqVa+g0WTvaRd
Tw2xVXGGtlvxVlE9e4XYmMKmCPpdR7MYWKKwbeeNoTpJNJRUxQy0cguqUxFJlMOV3TtMf0FivU66
f2hZ5G49177Jo8LaG0Sn7uduLF4KlfRwi3ALkFGUnnr+dfX5H+kkV8l7QzL4S/+/5Y+9V/XUUDip
f13I/+O/OKryz19+yr/8Qn/4umz2f357S5HMH/5juTPp6a77bKb7z5a1zt9EgeUz/68f/NkX/m+E
EgtIMK64v6+J/1Rqc6mGz+Z/Hv5UbfPzD/6UReioEZhpKAak2kWSC/ibLCJ/QQzB4u+zMMcEZvm/
s+DZv2CIk5SM+xYOPax2/9BFzF/4XyahAP7NGtr8j0A21p8rhi2+JYcAhI9PkLH2j1ttA5+5FeSU
mQZzmRykU7jHpcTytVXwlKiFC49QxaOI07yHE7ot5XcMp7dR7+kPQlrZQ0RzgT3iIBiR+9yVGlQS
3IA8Lu86Fsdgo5P2mvNkfEpoQ7zu4yG8k8oc3n/3uv8v63nrz023aEuB51DXir3Gd5G3fr+cb4cS
NIFJR4ipAmtdBglKbR3HO7euMbrDBz05nqPh6nEI65V9wzIfkDh7lTs95+yuLRdLOB0DHlzbbLoF
Tmo+G5Zls2OvS6gFhCnc/YQwvJGmU+4j3SR7k2nmejJGQu2qN3/0UOfJqDanv/7RzEVX+H33ED+R
5BnnSW9p00Vy++OPpklqTLKjpEBETnNbVEa8IQPfHfHoGCsbnwm9tHGrJ9w8Zbsm62/uA88wxMWb
lgj8/2fvTJYjt9Is/SpttS6kYby4WFQv3OHucCedg3MMbmARQRLzPOPp+7tMdaUUqmpVWm16UblI
M5kkiuED7v3/c853TItsXGx47zq+or/ox/2zqoY/FImOyiI+jrgulWby8/sFuFP3b/9i/GtRWOYK
sD3b8gwC1GZZ4TZqJiglsfPEyotkumdH2yVd4nOYJHgbtbT4K/GJD/yfXiD2RJwDHoXC0vkiNf3u
l+gAMUYs47NtUmXYME37BGq5O4xF2b2qcmFiBatnXSMcaWzOTahpemd/in5g199XJFPwXTnEx/nT
fPaNlQW8D8FfvInq8/fLm+jaAoUMAADeWveXN1EuoJFTTrttyDTyUBYa81nhLHEO/oHnPoUUzcFu
WjDRGGVG+ltM+dPozXGXZjksNCzgf/Gx+pOQxqWFRa3j8G2RgmfNH985FwrsuAiu8fHSpWdgEhlx
5yK6WSTRT1dvqpe0M7wf8zg5u3/+tUAD5s1C3oXi9asUy61+Sgnw5ywbMOkn9Uw03Inc6KchE+28
lmvt43QgLtDT47qx7KJxaX6gG9qKdNKuVJ78xWth8KD95d2x2S8LpjcJiMdShufff4z5cFWNAYJ8
2/dOuxf99NDWAwS8xNF29GR8L8gr7WM3A/IeQTVIvNU9OHl7/osXRhd/0ogZRzxs2qiosBJ09dj/
/S+iM9cNOB1S/GZeh07BTHXj5Pl7MfQwhPr5lUl84pdoo5emGKNjswxEFutCe4vc2PqZ09377oQ8
BkK+AkSwMM0BLcovnVsu+GHgjmdTFbQ9spaQ+X0T9Y7PRWK8B2m0/fLTssN2NyIBqod9F1tUFpA5
G3l/LKDBXdudNIsAfWq3LRdwPiqLtz5jPA+RJzGJiC6ROJJq7ifeBGeinszliFVRv7COOpE0MM+c
QUTPVcDay2QdLC0up+orf92pKLanQtlxSwto1lCvGWn9mZgD0W29qO6linOjZmEPs6kzqhtja4YO
4uWasAw3E5U5zvgZDHi3uLjz3RDjDp9oiDxQhr3ewCqI9uieywMZH4uRLVIY8J4tHnMPm+WvNDoW
cpLpS4n6rlXE1S3wWlDhh8G9sVScvVTB9lFF3JOyMk/eV+59Nsx8L42ZWGj8bShFuZepUZ+WyDCD
QgW72VQiR3jhmS3G6KA8pPNVHHfmtk2Khm3LIK6xsDo3+HvIpuCiHu+VSenTVj3ODYLgc4WL89za
K/ykKsbPlGAvyw3vrHU6zpzJE90TZwGeq1G6l9IuhpuCEkrA/KPc4P/VXiKiPrgKzOk20url6PZm
e9Bd4l9omyhj3kqLJuaMm17Yk49qVR662Z6eIqTDJ9mZlzJqnZ2VMehvybNkVDFPcj5ip6R2nIdY
DO91MqA95l1+UyXzvMsU46Fz9E9eUJAEy7wee4B1xV4WlK9lbhcmm87uMaWZbqEqXaBGSzzX2D4j
EuxIKduWcqljP9PRMnRLfmtNmRu4KZqBZk+7aWYjNGBJpwZZgU0sO4YBZWp3hZN8qz0TzjW5nhM0
yR4rLpFek5dCX/gNsDQ1YQAOn4aCrGV5sbpsqWHMrxuj1Q1VtRK/JEPnnMParvLD4EbGC5WjPI5q
a/5MC0se3TYkgQnzb9wSkvNqOP5D+FANTr6r1rAGAZOUzQGskdy64LNAtWpWFLjrKi/1mPFkyyaO
x42+1oSGQmMZ3peZ93nTJOXod3jHdzZXmHviUwUFdGMaGPqS+TPmbkC+S+hHS9EjN1GEtWoCRwT+
PdzCrstbGyI5+FFbMTeUYOX6BTc7ZtC029IrUjwRNR39Sl0Gt6Bw+oeG55/vVJzUk5lH+IqJAhJj
KikZMeWbOUWjZL9GAa45jNq57Qp3Pwy6HaTkBHB6VdVe4EgJRvYub+x3mg6YLaUVtbB75uThBska
tmjUFsOLyZP2dom8Etp32IudCTZmZ6569Tpo6lGWvOqifyYXcj9H5pjj4KxRaMAXAorL9rWM6eQp
KHfRKGbgyCBt6fBrklh8cZ3GuUU0HinLbqvkhjaEeQ9+fD5OQ9I9Mr9lDx17HtdaR8h6qhYiWc0i
4FaJrMYYFc0MVLHJDXGUeBxyOkJF1T+w4zXfbDWIOVU2n3ncNFe6GtMYx5gTW0a35WuKG78mukQN
d44a82o18LWa+Z3yZjUDeg2CshoMe29WI6KaFnlTzLMBoW2bzIRJkEF0Fk9e+piWwt1WX1OnpgbQ
RI2isRpK06/5NPf6/oSJgKl1NDrnkuqrvluIAW3i3BK3/OP8+m5rOsWOPz2mBLPzEAHqiEZUvXVP
uEp06LWRS83O1AxHvU+BWcfTAeav8Rx7bNr7ToqHpCSIi4wy1kRD8BgBKMlocO3b7MdQ46RqDbhk
SRk3h8Ua86OwmzgQ1nBZJkc7LKGLqJbFAmrZ5IbfRW0vn+Zi5DiVYSJoU/MCWuCtLKLx2WHnQlAO
IALuxkrjLlend/OysNSkBRJEGP3QTwPVyldCRUlHff4sq1g/CwA1ZxHj8OR+124ZZ4665iA80HUV
+umcuXvX7Y0f7ZJmus/enQJfIUF4bOy+SMi/8kRNt3YhLOAjEc1pjT45d9KaUCa8xe06gGUaAGEC
0qjEXA/BPrDucxMKh1AYWy+uUH/nTP8ogazsjdSmxGLK6lvZrZKYXOHcQ9SanrrVaE+5tupHdoL9
2RF0ZqHJzTiXeuzKxpzcxi27Hduoh71XD7Dz2c4hba8n7CjrYdVz6Ht9ld2PWktdA5bkbZ5YZVCV
s3UzGiHfSyf5YenOBelGv7N0tiZTy2J2NYaNsLNrwI75xYhYuzUhy8Al0gNjEuMFuKfHTLZI0tWa
+S4qe2h83pMmYN+IB7eMjBvReegXkN7ZjyBHblj5p1dGKu9IPY0JvDqd9dkEkCuXdbKv+uTZ6aln
B43yWFB8PJE53UUt2dwkofpILyK6iDueeDrQUvqKiTE2GLhJjfaG56dNNy/+ILpzVnJFr2lU2EnX
eDR0Ud+NTDU75pG12abRvPA7h+mr29Xdfe8s8ns1C8qXY0/mgSxSjqu2woMAkEtsBnBeF9ObokcR
OefezD8HGbODMjK2OF5KjWdZO98NZBE0YMDvLGZz6QF5g0GOcvNgcCxtG6PFlCNg/LyHQ1PdMx5h
c3OzGwhKy3FyJvFN12flRfMgLhrMJjuEm/UQj611W+o4rjfpwlXBYaGuuDLLlY1/vyHpJR+NEOMh
ix5+p0X7oevjjQnujuuDRbUBPJj7ZslU53HaWFgER50a8JXuiS6qk+s5TwQonAVbtEEOpZd5QoLX
ik95qwGXdhLqeyxtTTg/umtTjmF0rVdLvWkdzcZenLG/w1o9A6A0UaGg+NFRiMnOo/KZPMMIF9Kj
//Zbp9kO59JKrymKzsq+ScfDG2cG1he7nqnEXWX4vPJdFVQN2AegO96+CeWe+Vn7kREWDdDkW6Rv
XE5rFpmPDRvbtwmL0q5bRuvU6TEnW5FTZ7NMjbldEi3+mXFE0iy2ToHXLs6dxy3+RxUld2U8jdc0
cuv0demxcZ0seTT6kFImVW2dbqpSOMSmxGPGqvdswq57MmVv/nSaHAUEGWQHwRa+i71QtGK3BlDM
cnodayBQY6MIj6XobjFu0HwnHVduSzHWlm/VdTQ9Dx7KC3kSzm6uT11QYHHY5iQ/wrtMr9ugIyFN
YcP0PLK1+A7pUhzCmtTZoNVYgvL4bqLXc6sIENRrdoeaY4X0oPj03PVFOrMOwrPFmtVayy2ZpP5q
Ds35CmqbOKx4guh2nPl95kRu+UUVZ4W1xwGm5nSMETs2bWfKW+C0nI0y7quPFT1wn3tx+EpdjUnn
Yd2m6ohPgAt00IjLnQOUDZFIc9NDx6oaW2nbL9ccovGOksrq1c1pCCi1EneB6Auaba3mimmcPikt
trGCCe+mIBERgJDpwBJ60L1XB0TMDJJxm/OhUpfcyD4BhBleRJgbBGOkp+5fkOuppp2r/B2D20wm
zky/F148H5Kkgd+S0ebyFsK92ANoy/x6ZpFPgonXPfNii5xJQVBgnYbiuk8c5PhyHEnDyABjfLjp
J27YFOk4VyYOW9wkKtxBhzjqNR6GKD7xEianHsDaR5l6VNhNdkIyTLTcqua4xowGQqx91UcPPdLg
NbpCUozo5smSZWubkoWBYXY/omQed7lnxLfGDLpcX6ePdaDHBAigsl6tZsCDmIsoSeotIQxsFzyM
tuPcV4dqSHSQDSVZiLrkrk7yhgO3BI9+B6jXOi9OUyKPGtV3jBn625LPOjwoO6RKoUAkZB1dLq3P
Tsrmaj4ViS/N0r4GtuM8jon7EkqONNx89BHZWHIPcySyCZ4CnVYJoKq9VYfmPk4ziAukhPWjsGxi
WWtevTnZYO6ojhKPs4V4FE3W2m1kAumiseBJJqCrkQGGktuejBks9HT9Hto1KaIwIo/S2XJEk1uj
96yQrKeFDKPHEP24pLJiBcVcm71JkJdPA2RAbsdd1h6XOvL2aWz8yKNpOmnhdKgqy7wLO2pvUg1x
HSmethqeVk+1CHHFhHUa6MY6MGiqY3OFcd33TXPfMaZ8iCnhUAvDFVRia9BLfUR/tZ8QYlFUYPw+
z/Ysg9LDPpW4dgcdMRV7+H3I7K2OYaLIqCGi44lxBa2nbix3W8Qz0jKLje0gqTlFjemhlFJ2zK0F
JyEDmOU9Vn1Ns83iIhK1Zr0fjIiAiUxGANJxc5IwDn/YIf0QJo1M3BKNBB6gBsPEhtqAql2gVgPi
vBkSJ6JiCSR+Wupa4JKx+cmVmm4UuAaXkRX9NjTmcheNXnK02yL8uVgSYWEow2Pfh4ix3moVQeG2
2jHpc5y4TVMb0AJN44wVlXxrLxStwHqNKVHtgyGV+JLcjoe4GaZXop05M2UAvA1YFWVOAFYIFYcd
8L9Cj5YAnHK9MauuvIPMkl+4axIbE9QwVxzt+7EyB+6z2Pucal5ghGXNY+FW4+s8En5yhvl2stx7
S0AtaftU+Yrr7rmci2Y/Ju10gZPB0kfm5P/IVG2HaTpKbNebSdffc1xgZ0TU/G1yYUO68bpLhyW5
RAnYRdYXEYBjkZ2dLDZOogW1GGnO4mPfo/TbBYoB2Mu55iZ2MmT5SDHCZ28L2jzpGQN3OkoWJR7d
R2k8XKwFyMyko2tO5YszV9AgbZYrI2DrB3xqy7EEo/g8SlO8RJMkM5oAOf7ZsuZwt24/2t9azAC0
sm5N2GIV1zeLWlgtnx/4HNc2T+nxChD3eBSMqO9WRp1N5uT1vq+jV2qAlmNTUczOmlBsDBs6Sza2
yb7L+IDoKEr3OCXNLfZgvhupXXGfdrnqOOsc7Wd9dh5Co1we1AtUDzMxqrEjBEalLRNAIEzOAP52
tHPtZT03S6z7kMhvvREcpzsRLbd5w8B58JoQZk4tQHo8ZQ3LHI4r6FtSc4kR1Ew5+BX5PMxF6QYj
176PaYQBlJhJgoFobAK6MDueVpTH2BQbsdEzMbXNCdl+vei3JnF3cBYtQ6ug2qVRLFCsds8Kt5pU
tHhTZJp51xTNwz5uGkWotOki7EfQ6CTPjouzNmB/W3fnJF1CNx9XbEGM8NjjvvVt5V6wMlvu6AWB
t5cT3Apbz7vJamn5Trhkx5oYf6DXjtis+jTcrGtmQ+UZy5IOwdh8o2cU909Tt1eRJaOAyYqFu932
e5EW5zon2bVIzuJprlHY++rd0bgXb/4VdxvmeAjmQPzo/yXAr8PtXBJ8VnNCZU9v9eEeU/O6ax07
3NUDp2hEYh8TB5QXvocE2ZoQqaHG7X9P02Z7Zwxz+ML985XULpvqkejekff7ehjdl2VU/Xizx1nQ
cHXFXRhf5Th7eeCJq4JGu4s3LcxWnQOs208BmJIl1cPlei2j5oaIvHcClGNSKq/Hj9SmLsdCDN0T
9hrt0LCG+FgcxXMyIu91WUOBRcWbL2EKI6jNI/Oup14JF5YZ7pfIxh7gTlN/btex+4Y72350TDQB
2j0LQobd/B34PjWrlhnSpoJbiMyX0T7Oc+3rwJR3+tQPfmpN3X5e5Xc9cj9YwfJqJFbTHdLEwqs3
wE+2YyK1W8IJmf+1gf1NS/xNR/p7bOjfVctf/vJ//3dEzD9oo4eP6uZ78dH9qof+f6h0ShPpRiIB
/OdaZ/DRdR+/54z8+7/zm8yp/82kWYP/CQSrr36N39Jf7t/4+rqGR+7KALYGSv8f6S+0UceyBfkN
B6yI5bAPZ8PYx//2L8DUkExdcjjoFK4B3/SfiX8hRv264kcXcpGJlFxl2ygef9ys89iLM2yi7NvU
IJ1R9bUbYSl0m2HRvEuDOXjL5uMDcHe+M+TO4WHqJ2FLprdQZb7zErcn2JdHwBBMb/1QYUrKuv1S
1bO/lPG4Q3Ncz/iWaUsYs5zpdBy4fKe9daKf+rlngXhqktC64APSHrBO/hggLDGyed+XTJQfXdME
bk5cp9bTkSIFE8uRp8+dgjdHO25LvmdSQyv0ZfjZm5pzzNDe/FFbibyYy6EbphziRKZjyW3Mj9Ws
f4KCuB8claCvBqa7mn7Lo0746Ibn7wyquaiOWTtZ11XH0taWkzxzTwP5H+f80xgVaCdRFRxaZvYU
pbsuqEkCEyY2QtqUMpaG8yPo8AXxLK0C9Btob4nbB1i7pg9TdXMsAOJRSk15Za8k0pJIX4kbxPpL
FOuZLyZinbKlCpMn3Iis2o9biy0fNiXMq6033loclzsupeKaWRqMqm4sn6JpQG5336Jw+TnJvATn
SZnrilBEVWqq7QDbTM+EFDHn0oG8W5M6iIzUC1y0NwrO1uxz8XhcuexxMAu3GXStfNxCx93X2tJ8
X63Eu8/I6ARJbPa3AlfKNbi2vqfAnSQNxKjSdyKnuiO3Yu0nJRlR+BIGYW2tr0U5S8q/2Qixr8uH
+QB2KX+PnLbe8TjHUISfyR/ZAG4a143vIl5z39AyWBGxosnImK2M56gjdXYp6eug1EXW0t7rVuju
waTBmuLq+a2E4UG8b67f89qZv6N80+7OxkEU8q73mmKvS539Gda1TdOnI159fTkDEzRdZroKmaFw
rkYV4ya+YVxkLpoHiAjrDVc8bx/FCuil1eIO8F20rwqreXA70zqIak2uS1kK7GyMCPATm6tkpQIl
nKwXIGf5cWwmN+Dz+ZLV7JP53HKR20jTim+9uiRTrJnNnpbIJwJU0EsyR79Np2UEQV84QQv28wr6
CdGJLK7AoinQKNlpKr46sBJkH5dnt2ro4o69gwGlNPUMsmzQJTYs0Q5RbXRbuCTzm2tAN/W+QKda
ATE2Rlm4Sycqj10jBKEreuyYyAqrwUUiyosfmcYPmuaSK49Wxg+FiY+3GVtaSFGXdgvtAjhaIazF
aUPZipbfkJmmrMtONnXBMibTMd0UoBjyKgkPWedmMBPT6zqWzRYDWYrZmOGaEAeme3rnt/lQ7Wvw
sHpatoc0JnWTwbs+ErwbD5NCykYk7wDiKtCsVMhZYVewA2zWFEW5QAyPhiYobPHYK1htXE3folXx
a1niwrJl2a8HqeaJV6QIevRWTMYGlAMfZ/AlYeni06qH+AEj1/2i5U6mCwVyRuegxyF+ZU33yZ4l
PHgKtMs4ceq5G5KI8OK7MK8oiiRfui16qmIJDgDqjRWzV9jQe0WjEwbL07Y6u/jpN3KqP80oa3b0
K1fb5QsAvIKyhdPIgiAk0FKDGvD59oBBIpd7b5OL3+Cxo7zN5KYkFWM4/sINZ4tznzrkRbhAQyN2
yhTnuEB7rEAVxx3M4lmmNLcmPIxwvRl7L+suFUUbzB9x5S/E2DYe/OUnLn9MT7OVPUfaQjF7AlXq
qCt6coyCtsoCCv8XWtlUlOXFmsfrZiLX0k5F47cjLSp28m4qOrMcJ4+agmnVOTatZTfTTbjH+JDt
WDPzUPmiPDspF+C+vLZl5i8h/YsJy3WaDAeCMjCidUWLlkouYmcWbvDHP1dKUc2UthrZqKzSTLpT
TriW/xJf5IgetKCSn8nUrqw0bYJzioBUk54MlYYLmsPxXWTdTum7OUKvUIov0JJlbygVuKqAwkFv
mzY5nkg+n73zHpmL+TORVvhWKy25VqoyjtPoxVZK89KTVgvL6dNGhDammpSAJlBH3ZZkwKruvOnY
HooByyI29JVFRnFOC/bgiborR1jxA4ZO7s8GMa1F3akhepbcB9VFW1d3bi74pPvUPTxHYD92dmxT
CsEtHXcFRXnllO0o2qIzQ0Kg6NS9nmElPwIPak8gXdTeYXF3IrQbf1UzQbE48jyrOQGX6eBT5Qn6
Rk0R6ddAUTNa9GrGyF26mLDcrIFqZjKh9O61iDibrqYTTEzrvnasldIFNbuoKSYamGcEAJv9BFET
utGwvpc2pCUbwqPfqFmIInMjYFfEZKMmpVDNTIOanvCuRFTo9qnYSjVd8b1fthoDV6smr9Gq1jPp
cLjXPb0vtprQXBolSKODMOMAPISjO4PayZ0HLvXJqwz5S0qXEqJgggZvKgU+Fs5qEF7G5Ppg9O2E
CEQuz4nLdCndtnqCvSivqhoT8hd3Q4RSwP/TyqOOpG4mvfkYYaqlxHk2mODjut8Sqor5ilHQFEku
8nNHaZFjk1GJOvinttb1b93aztddKBLMSApStNKEnpEC2M6N/FyTpOp9EJ51vgM6X2yzVNJ2lvFY
tarc3aJFrZuJVeBz2zLC4xz22GMBZTMyHM9cJadkw3YZP3fVRyUF1JHCCDWG2151sl6+zRHNBgMF
Ey9dXtWEcgjghuFYnCFm2Zx9kw3qvO8BaWkToCC4UHLXKMTLZJQlrb8h1cQ6S7GrQubVE9ib+1Un
xEBqqQkyk6F6rOUFn1fyE3tbYJUG7YHQ4w41rhpWXrHxrbOS1NiuISMJzieNJX1h+FNvUTA+DmGw
6DbPmLXNLtmam+dporaUhgpW7EVNuUEXVd8zek0p8/hCaElQpvR6GPr2i0pqjOOmzsuZhQ5AprbU
mbyqpYRTMD+VGGufwxb32kCmgpG1b8f7AhA5/FsayzsKvtkuKl2jKKJDAau0qif7zCLqmba2IRAs
YtAttMa7DgtK6qqWQzbOSnicXjvWP/DXTbtiNtrZD81uHX3bHnmk2hoacGoAfsJbbk7Fhvg9CvDQ
C8Kc8JQxjihumKUIYgUosVExxdbB0KhvW32jsYoHPSb+XLlz9JQRPNoNbUZc03ZfwyZ5FF0I6ybX
xPVsFSHqrM3eiKN813rwzZCm5aGeM6BnhcnjnuIp/LIQlgLCQnIfpWkRdI6lQKzZsmUGj24L/u84
ouRtSoVXqzXPue1MkT2s6IA3UmHY8O+7bJdhW+Zcs7CKCEIedYkvQSHcYjCve56XF7OKkWMV5K1I
i5JlylJd071uQTBi6+WU1mGo9ZBDL8+Cvk+/hTZoPWctxltH6OuPqPL2dpEU6NFCPHXqkCvzhdXS
4KDGj+TmPTwtNO3i0A7n/r6sWYjZ/anA+4T1BqTdquB2XjKYxwFZ/9DaRiB1HicjAtcuTmPzplFw
vFArxHVVju5liMQjaYbk5Ez81GVh315205vXJcFqOhdnyIll68mldOVVgoEf9w8PcQdAX6NIfW1v
iQfO75V7Orvh+Yvolyu4n2ev7a2uqH8TvoNqVzUrFZ32WBQXTgX9Tl8aErA98YZTbhXjj3zB8sn4
EH0jC5lch81KW5eZvfXxSJ9foYs03JVGDZAwNmATus1q3nDFtChqh1wIZaqF3mpwjxkN3Qf+B+EQ
guBFRGH72Cj2IVFQ68TNgsTZsiQfMvK4R2tDfBkH1a46jL29Sdx6oDeBIMgla5vwLnEUbtGctJ7m
P6M5sfjaW4OR3bH04BbiwaD23OHemPRyr2GR2cGnNG7jHLTvaqg1oTHyvV1DDbGOkeNAHg7ocosd
hjRQ/dHzsPDN3AA63NjF6K+YDvzIgsFIO889XrPlw+OcW3O7umkaQeQ9J41RZOEPb4YlkVSov1Ne
3OFSobzBiZ3rPgVn4IDG38TgorYrOqaPrgEXfPXcNEiiSX1IZnd489KhOa2W6mVnQ3KARfdcxzxK
ZW5drEgCOSwjsYsdB3ZeTbEGPj2V/a7x63SJIR+MztL3qVtZoAaWgicmHQaWZ5QPeTOur1pdIeRY
LpUvJKP9ukKLt+fcukJBoFCeRkJKGOg+L4sf1WL39/+zn/mvoO5tw1W4mP98O7OBDfZR/n4989u/
8vflDNRWPoWQdIRuGi56OvbUv6N55N9UwyruR4+dr9RNRWD9v2geC+O6g0NdGUTV1gTP6m/LGdg8
eH4tG2yPTazWtP6p5Yz1J9cjLjM2PJ7Hz+J5aP3iRQ3B1GSrxg0hKbTitqBPgavUOFw3Lk45DVvY
tlJNQDbEhn0yiceQ4frvhq4qN8XGKYqM44CDb8m1+G52F+4PlK7cGcql0LDY5jIQjrsWt0MgnMal
Cd1BipXGp4w1vyhs6M6muNPm5SrS9R+OYQOJz0VpP/C1ewat71DRXX6PxuIHGDGYp8qwAAmSrokS
RNzv3rjfVpD/qxyKu4q0jHJJ23/yM5MH8AwWZhY4cdZpv3jZ/7E+di06vdg3pQ9Rz26W+kAJWqCn
SZKDgMvrTPlIb1OGMnndidWOoF2QiqHE8K7trlx82ntGVCaWON3KOidEiNnrbgqvOW6iJyOGhmSq
fayNuZYDu0XAnip6v2UU+mIYLJbwaA1OFLEPijC7jFjeALNrzpaez5fCJalIR9Upt7mPcXCnN64z
fOD4tLCqM6oC6aWllBQjF9lIBEVBDpOwlHX6MjyBIpEHApVcubESphKJlX0FCPLVrUvmtXX1zYw/
azRQENipuvElNilmUgtqvarix8KiH6Z24vEjrw0SxJG9XunzpG2dGHccIhFYXIfTuf3ae/dEBI5z
aZ+0smh9baZblP6kniZX04BE0cDNLorrUMNQkSgciLAorm64iOyTFPsbwI7Y750x4d9aeSdw64TM
ydSIPdhQcSzcPXiS2HpEmY1HUDxNRXRn2zaFoiVVZU3xWbf9yYzXy6JhSeXt2eFlnDa4Xw+zS5AH
B6K/cmVDZXN2tp1TPNlINd3wg8OaXreWRzR+BfrRlhDEbCjhijsuVMkZTu2hJPK2n5USMMzst7oq
hg03Ow2IpDxwbIIZM3Yzg+TQOQXuV0dGeGg1vHgewtTFTOr1HkyF6WPbjLCVIkOYnKbou5+kuF3e
YnM8tlxj2GGm9UUJzbT4ku6adbyA3Pg3jICs6IyhI5ygRI//efD/7sGfVz+/58Safv8AZ1tOwofN
t6D61jQYrNib/z9OgI82T/5wAvyHP+C3Zb31Nw4U1Ybt8N4Lx+ap/xuqjSc7K3rc+aZOQpXEwj/O
Axq5Xez66m9zusAB/8d5YP7NsjyW+0L3/lkm+K97elb3pBFgxQnLJdv9y56+KOKhiRJ2wZlu01Ln
BIZ346aU0Bv73708/8Fz1v4Kzvwhk0GthDrb6HnhiSvFL5kM+IYrgVBYIEu8zrt8vfEs57HO2vex
s7aRyvLFLtlepFhy2QhoWl0H8+r4yllXsI1iZwDTkocTdY/2/EVzca5W6UHTBzBrrHv4TIIqOHvw
bYTstHgkYF350FIPdSpxg/RPYbqg4YVPxFuv4ip/dCdxTA2gGREGoAwwo9vA2xaivkizfvSM+Spl
OZAb1ZmiSBS+IliZpBGXN1oHeEqsrBX66X0c4J9H09aws2MqjE0ykisxn+tEu29ldJVX+p6d04M1
lzeDXG+SKPFTEvHOrd10rPLtktUNzUwM8k1X72f1nM8NEoZ4+3GAfHKBfSMLDjhvvalFcpj0c+5Z
p4U6iRkjlzWEzDO09erj/Vhrd3WJwEoq4dTP7Zvm8NxCffRdLwmKMjnXmXvuC/eUJg68Lo1ya7X6
7AEyuPm5R9OnVg3Ywzh8elSipGSFoVtkaOTMx2U0clQs0027Dj+5YuR4fbxoj+Pu3RAtgc0i/bAT
GlrQahpqKkSkHnoHmNyPetveGIQeolLcWJZ2aKOeLtdupig1o+JXYyis8VoK89NrMws9iFtE10l7
b+C6OcVT/JR6pv7gmCWX5wYfgZe/g/CND4DjtZ+YJAyQJTInM+EWCmESkFC6lFb1FIn8BKOBblem
9oB3y75PYxLZ8+w1J3OofPa/dlBp+p67yHeva8ydiRAEk4D0fwO925vjUxix7aXGanyIa/b6S7h6
KChht3dr88AY/RHH4+1Ib95+ZBG7qVmL7IpQq/eLF/JRoENj8uQbrK5sRyn7WypYWWH63dESegsY
7GcrnO+Orj06TvaSMI8EBLvf5WhgGOg+C3QWC+Goab6l3iufadbLLA5UwGGle3m4xm6IIPwMkeWq
1e9Dcu0wTN+4zHyvGzw8cRv5q2WeewIS1cACIXYNRX351pumP4kq6DN5yp3hpwGmvPFsOh4N9j8t
Xqqm9X66ZBLRCxrwt+7jQq2eErxl8SL1sAng4g8+bR/+NMj3Tn+WTVYEo2fzbti4CVnpAO1J1p2u
dR9xSJdlVB1GLw6UsYgqOArWNq1MvpE2KzEWzWQC1BKoAmGQjO91VD1rNTcFlCucN0x8JeIGK+xt
RkZAccKSjjtAk79DwgkIcm2mQvusXXzHXhjuTR1Ew1yBCMxJi/hilI0vYoiM6SQLH9ECaFjyzfbe
aVC/Ty1yRoW4s6qFJ09rgXguDP7MEV7v+HVt15dV197IYdyOOiimcX2Aq+JPqGOlcYjdkdBb82At
zkNO2+CBHcjIUm65FBP8An3S/bZI38aemHutXhtQQe6K+TR3wvM4290R01I/ghCEkzMb+kNbRhTN
pq/Z8DmyoYPfd1fyNZCudlvyUSatf28TvBlFGdiuWW/dxrkI722uoYOzFudFzYh79URzEI4IO7BS
MET9WNFkRPTno13rEMoJdYDZDLoHWMx6gTTGi95dYeois53vudB/i8z5dlmmq9Wa7tsYV/B6I02f
M+tuKMtN5ZnDxl7cYxOp+mGuzBvTrC9aZF+0JIHy+X/YO48dyZE0Wz8RB9Ri63TtHuEeWmyIkNQ0
kkajevr5WLjdXV09cxuzGdzFBWqRhcyMdEEaf3HOd4bbGj35ZHy4hbZpkvIG/9GccYz5qWDJoV2b
qN0AjMHh76zNBRrsE3lguRhh6hCwA1pzVLQ142/d/0jK6M2LSUOUMaIHYA8bw/UubMJ2hca0AcMC
kEUmx8GhmIvo5BUCQbmVHzQCp1dBPuLA6HNmDYPZXDLXO+ZRMG+zMZahIQgzMPRsB165PhroZmLL
UBsE28lib7W2oya+ITF0W/S+75QZD30GyyJTZFgmPVdi0KAmZHD2qs0JwXsRGngbaVufjhSnMYtD
p43r+6ku72JCG85zSnqQmlEUAk7BxtL0pxHp96ru5R0+lPzekqO56FjRgznChONmvtVGvkksHp1k
MyPyty9VTGItat0mZJfOQDJ6tmJvZTaYNcoWcdj3aHnEHVafmpA3oo7fMkt8IhAljtcuAKlBEESI
S+LoHHxJlsF/pNT8/yLy3xeRqCdM06Jww1gI/5ZK778vIvcf5cL8/UsZ+q8/4e+SjyUkDwu6E+AB
9hw0F3+fKpi6SxHpg2hdvMv/KCItAmRAxPJ7MKVocSlq/zFUQPFB9QdABL0ITuf/ieLD/BdcK5Z7
fgyCExAyvEje+J+tlLEGFi9mgBo2TmuvE8uF+afQFbVn3/KeayUuCEK49hXLiQgxcj18u7hvMABt
XdotlatdOiU7Q/hHG7bVGFhvToRDqul+RyfaKjIepNa92gWV4Z8+8/+iMjX/ZQCwfOLgOZms4EZ1
F1zyn1+6UThFVdZeGUY89moBfaVxLGbfPAmSfLjvvGDjJ/XBRSOiYmEyIQxWkzduUuQIIDAY0BGC
CxEe4VQM4tRgYO3ZD5RRK+nP4fIHZPbmZZ9+TOU6Zdq/q6z/WsLrvkXX7FgmLx1xD1/xn1++RmU/
EswuwmBA5iFxmo7h//0TMv7VE88/AZrJ5UNaYAh/Kd1p68dWzyJUuWhJVmNfk9UdfyRIPr69EQg9
O3XcFTj6O9xZzYgTqpbIYTndHPuu8Nt/8425f/yD/9RL0LIgWHMNy1k0Tn91EMu+R9/UgCQW9kQ2
Q92EXmK/qxrb3jKFgfX+7XgKaLqsz5pNOFypYdGb4DxR3W8N9ZLgjxWuvtX88RiBszcL/IfgAc0i
pM6jxqFgqHIXk/hosNsp7sqxZbcdtU8LvSjM/fyO4T2GtJo8QkivnsashoWBtfYFliBZrxItfsh7
nAUs7feFNR24G+8cFEdI0MPAqbeDOvdLkq/ZU9hX+05J4grL76pK35vJ+kqn+Fr3bES7naMxnigY
yenOvMNuBIfPfksMUlCbaNdHN2Z2mIbskLv4/bY6gcpj8KZIVYoMf63j0ZzsXS7S8yDuHWGswEtS
2dY+ewBrvG+6/qnQocpnvHbKPDJu0F6t4s6DD9htHAV+iujp9hvpEE0bxUjQL3zRVWAjBLH6Exbg
t0n/5WvfWW0MNgfhDxcJYhGSlXcJjDWCHVaNHodUzHQ5BZxim5iIoTh2RByNRamFpSNe2DeGRisv
JaFQ7sAqMTNvS8KUrfqx0LM9jBSeWszWYoGTUEK77qtjjO4D3f2OPelFS9vrlNFDmYeEcEGiFfwQ
BAHK0y3/xcyoQM88mmYUDvyhdsqPOGB35A3deiOTlcW/hjyyO5XmmwKm7QXdyra6u35IsX2aAIsL
a6O76Kca0hlppiDMlUAdHRC5ssHPUr5hXblHs32b99mhnQgcEFHoTdURnvimiR/c4eDqF8EiQ8QP
pVXnoUOeoT76K1mNx7Esntluxkm6qWLAXJgKWPyTabCb7JxjsTkyQvhuPe3UGR0JLOQzZNWpx30x
NToZgLTMa1+yGPOeGvvHk0RS5M2DDPq1Y6W34OO2qq+PMZs+Pu2trLWdxfFrVI8KbZ1svzQkNqRD
74wIcVRGEGRiP4tkvHgF09gSYUlREjKDdWSWD0a2ndPGRNmNsG3WXrHsAOPu7BN7Rr2pkQ7hAsRx
qpvbjoAF/FknL/N2FTxMZVkska1im2vj7TQFbLxpwaaOMeISy9W21GPJ/NwaDdt5tkWJYgeDfIV8
70ruB7u9LdDO68xBVylO0spWFxLErkNQqrW/aIDb0b5At+R1RtN9b8tNF0TPtltQwckxtKviwRmc
cCj1U2IMZ8FR5tV0A66DRLi4waxEjIrS0kct105jTcTOdJBECtsGopaGCaLptTitneS5dZJ840XJ
tRTDS5nlHVUXrCiQW6FBm9C29ktR+msIHJdRgfj01Q/LQyADdbe3zO6eYJSTX4xHyQIO7eB24muj
RaPF0njtJKDySc1xu+kDBC6WEdpKPeREOrDEOqH0OxtNFzZc3yn51AQv30mM5hq6+q4ZVzkey2qG
joWBUKuDsIlmDhkZrYe0fKZyvLCbvRk5h7imtkZHvqBdnEg3WRkdDyxZXuZsPDSpd0dICND+ONjU
5vA0Su2pMKyDHcR7cl13HbqREMj3Uy6wCjixu53c8skAV4Ubgc4gvyCY2g5+hKH+VOPBggm3bjkM
/CQ9exF0kJkILaU94PLgoxzgypsZH/8EbDX2mRgX7nORgV3W5HirugEflVYAvvEfra7E3TeePbvu
Tk6FDl/Y+bOvB++plWzQRh0DDI4r0jPmVW1BPc3NlAn+aMpVNVtOaJrVsNKK+pZ19HcxyRvTMG6T
cqKpzA9VEh8hTL9pi+AzJSbcUsmaC875tLOcGNtgbKujWQYXxYKaFrRBNme35nVoSdp0huxhtOMj
JDCHQzTZjUr75tiId4OvP5BbFA528pzYwl+XDSat2GVfSafxO6O3PuVTMu1TrHQEExmHZu6Q30zQ
wmj2zV0qHlKfgbLuIY1qSWLdRJG27VvqixKSYz7x5wZx5WckTLXdfl0JArFri681q8Z+6ykZOhoE
aRh7GlFykUfO8NSvrF5wi6sZDYPu7rV22NZz/ESTzl25caaPHLGDlvWhaIY3i5twZj5TThLZ3njr
itfcH269Luhfe5sWvY3saNsWWFCybqadny5TdbUF+G844AZKgZoQnNlFG0n4gopeE3kzZQZPZAMB
CFM0CepTyHUWzO8dqry9qSasOMFadrKntIzPhbw0Q4xaSFt74iF2h02L02Nqb8wY/am92IPU6xgt
nI3mfQwAifouhdgiYK+CnQVRDj2EezGDpym2QkOxStG65Cpm57HtDV5flY9rF/MSCUGYu+HpK8tY
AW/e1z4m+I5c5tpy9iomfEfUpMJn5l3XUSpW0fCcaYv2IdjnRvfLRw7Cg9VyEt3piUnwMFFT7dUf
VegbTGRs51xqQboakaForfEsTWDLdfWZGc3d0JXHBt/vXCAAMLkKzAl/IVTwQfjtZmEgrRJHw5Uo
2blsiQrOcWNI2AAtidP2phdoK9rM+4LHjcG9cZ4pGA4Waga7r9eGILnYeK6EdsiLgB9iEWja5BIP
52UuSxXOpLceiMR4HVR8mrj3yqpZqRkVs5rUU6vh8xeUPrJOjPXYSLHLxubBEMVr6VlPvsatXFRw
v43mBUh7uoG2drBiPruSMO3JT977aKmk/GHTI3OB+Kw9/FGu/q/ZCv6fdAw4NCf0XP99M7n66D/a
vyTGmP/nb/19DeHbSP8Zv1nsOYKlOf1bA0nwOVvQhUu2rKZ91gB/W0vr/+G4luX7dJb28jv/6CBt
7z9MDyOux+J0cSDQE/6NDvdP3g84XP9FG/bXLowjFm8C7lwLjsLyEv+5jSGIpHXQepXhoNqDXjz1
4y73v7RW/zfNDCkpf21naJYC1vKeb0CSZBvD0uXPHVM2kvAVtInPctHFpeQT8YXSkuS3pe6t7WsH
D+pl9vHhrswlSK6vjHQz61lNKnZnXXMjdQ61yoOTJA0RJ5eDvw20xK1bxXW1di3D2FRV4ayr1gZE
USc/fmMx23Q97VulNrW8bkb3c15ipyKPKeFohVLy7kb1uPfwT7bbqNZfMiumyDNys2Ntm3KfmDxY
bQMvp4+j40ar03HrjB1u2RYB36qzjf7asa3eQDiPrxmHJ/Y99G43bd6pVZWShwjiVk4MRxd5Sg1G
fqN3lJoIYvT7hln7uZcQ2Y8cnDorb57GtS/cFqyESwplMzRrr1caziRLp/9LzflITIm3hs8TLUQg
sleYXCsYxo7cRnPiXd0eYIAM5PQS9wW85b5ioEZ5c9Q8R98OdevcaKgmN7UBv8gvzeDT7XrzQvYg
wFfCr2FpsAL97o1hOSbIVtklyTRubc/hyC8SC2f8kPg7HFagUw1DnHN3ku7JBnoHK95Hh8SVS+Ek
afzXGanxQwjmMt5EbmbdGsPc7Iw4q27QZBCEqkfmm5M65sVvBn7lY4af9bgImTmT4MF+bhXNPEAl
+xMUeFN2Z2BOZ3nvVWSUjhIl9trnUfvjSFXSEM/vejmTaEgaxB2GgJrGwMsfTDMpf2yp4OsESYPU
ktmDpOiHTgRtREykVsYAwAwYZJau9TuZ4zTEmiCD37Y2WvpvQsleZ4mQlxvcWXHY6wct6llgGLO/
GLdGhJ4BM0kbR/faKeKGfqr9cSvhHHVC7u+G4bnX7eps5bSctpuoM5YYcSi5+ylGMmsfYKIg9mba
giQGm651dv7TxEKcajlYH6U7OOe4oillXO8w0p/etYz0CnhNQ/CK1AQqE1IWxFc0L705axuQ7uqC
0ZRvDGDFW56wHnLqaM9CBOZVET2jpjWvrW6Qjzab36YRjJsB1EGPBUQzBtyt/bStYk4P9vJaczMR
j3HKVJFuNLbkkHCslus6ntVPn1k5XbfT/hIro7EDXFSMKLYJM2nb3zo1LZIqJzsIRd6TDCyS/hc3
3kOaLWysYkz2DD6Mbds3xIN6Zjrd9az6mSkDLIRPNbndPjAHPHClzeS/7TrawUTvHswMbXWmO+M6
7xq66zT5aYcefyjJpRtMMm+EFqh7vEYdLoyg2SVD7V+GGhUakgmxLBrvVTKKHbNz8lA1LYpCTtwJ
kqAT0Wmo0VqWkC4RH1p37N1iYzkAvGdoSDDSdQhtqbb0YlzKjzUeJcAsPb3GOgdBgMatSiU9bu1k
m7mbihc5djN2D2yv27KK4TuLhdGkKf00FkJdy3mZp4/sKxoVJOccRFWs3PGI1cdduQmMpUC/FaZ+
bmRy0LyG4h7BRtQeJHK9rhhWjbK2SE6f24yaw8XPP0buloHlB/r9vdO+TCPvabApuvAzvTjEm2t+
U69drcy3RaMMB6hVGZ9S1iG73iJICJFf8AVII3qpeGqAyOAK3LN/W4jJPtSxJJ5WY27hFNadD6KC
2VwmDaqR9MJ4loGFse3t2L5LmsR98hMf6b5J2Qf75KlyHOMg9e5Jt7TgKqIYXJBHcK1P5ghpv+oc
T4U8+DpXYqXspSZk3dE6H5orCWIqPoGBpAflaO4+GSf9I5tnjAAELjXElyLuRF1j1h15vjj4K+Vc
OjU17AQbLRxn4hRKFZyr7CHQ7ZsMJA2II1t7ySKoy6l4GovXgo5qhNTeop7qfPbb87cmh4PsqB7j
4NuMiQ3J2/HIo47dX7GdpP+VlDtPAZju5I7YjXsHDZJIxE/gNhXIkXptZ5+GBX8DJI+eipshYdij
mz0lOcErFjIWwyS3m3Q0992ce6ahjzNzBcY8DjJY/bVCnmykb9zdmkcK5TEgs0ZkcmVN8IKN3xEX
iWG8Gbp2nKItVXiCQBKRKK4kkCqhpCGZxQ9Bunudpry3b0vn04uAzhAE07sYpM3RP49Jhvss/4oy
55Hrkz32iH8rLrRdD0jHWixA5E6eQWZ8oL2ipagc+ywF2s7Bug+kfUbOs2LdErHWpvJmLqgmkxkQ
0ks0trm58dXVRdrZltPRIKJzbHnbUXIcrW7fBLI69kF5qhgoAie1QSWDSkzcdK2KHa17vCbf+tI2
xqH35lUgC5MIVJETtGLSFSHvWnXG2IZKgpBIR2cdDRqLZV7/SBNTBw0Ypn4DG+JjrghWMIonzfgk
m5w+VR+vEWAWph3RviWZK1DRZYziramw+Q0xu9HM2dqShEy3nAD4DItatNomcfFZVAiq1VjTcZI2
6TXRQAwlZv6iTl4agXQimb27priFirXuvCdK+xkIk9NACiENsg2wYXDhFfrWKnnFpAREOXYDr/wV
I/HVE3rbbqAmI6zXz6cdOrtAXx5WwYMscEe1vOg86ONdprP64iRtNeJFnW8ip/272lLD1nX5rJZ0
ItWPY5jpcbkubOc4cAzuu2VFaeRSkPFG64KIFuWbksVKTQxwHNt/gsl3Z5MNm6U2UQ+iqLZV4x20
ur/k0tCA5Gih4LcJVdJubA0/iYKz4nTVLVnDp8nACpWo4JS58abyGdCyeF11bRLqjtyRF8AOE9J4
YujHHPsMeYYPrOgRjgRrcyjWFtHxZD0U69wSv8LSOFrog2R0nyLxkLGxAWK3N63HILjT0qfERiPZ
E8aVlAmL3J50DqgdsfcCZirUbLXhUbQuiMxjKgGDizPScUYE7Q7gbofn3a3ZEEsiHjhC0NiZZxQU
ais8LG0lPCvW/dOhB2dY6QkJywFQJE3zj65LglSi3YqMaxnDLzRyZ7gDQ1OueidLQnfwv2F73OaF
ePFiSsdS9+TGS3d9ZeIpPLEYOrE7/tGT+LaLo2szvIyJp+8tRQCP7eCy9d3XsnG2pijQ3KR36OOy
PctDn/V0+2Vi0gUg6R2d3j74vOhausfanA+jT7lLrtcmTWr3wx3TBGtuz903iQQLk1dfcLozgMDZ
ETHCvAOcEbaJmzwmOd6FS7y22nrlO2SkpMeZmb2E3SNw/Y0DaODmjjiHVRLw7ZWrm8dUkL9MkJH2
IKxtrCCJIIKZ0RKC+kd+bYL74lx+luXLMIMQitkQxPnWMM0dY8gF8kdlUu8z64z56QDxh8VPuR75
gSZGs26+Js5HX70P6mLFINCZpPA1f5btUyN6+md3NcQwSQrS7O1seGjhEB0QsVdYH+aUi95lGjj0
D2hL4N02m07V9/jys9dmnO6FEdz35RnuCeYsUmlMEjUC37yYtQ95hHWSLt1fK0D4rrORSOyjPqZ7
OT9aKC6xYrTmUQVcKGQcRrNAYkIcHMsP4mTIghh2RtNudGVsAhqpMZ7WSZfezlrm3rdNf687CE+D
YdxFeCNGNdyQQLSyGsK2am/fwD3Q2OGcTPctGo+ZfrWjnyyG3cJImDW456AwcLRTNe1zcGmItyxB
yasf+iXIpqcaGsZT1R0NyaGOhTFMfHfDlPWWCVYB4aMJmMzPD8pG4t/P3FLWa92l15g3E6udOfgk
BP6UZvWZ8M3C/MG4hMqjns720O4XkouX+Nu2qs69SfJQpKaPycXHpem/ZqkTAuxpDkxS752yj97O
h6FmVYg3zeGUC4n7rTRZEhTD2ZfxjuEdsRSuxih91E+5Sjdt7ffddsbKgNj3pxBQo8oO6UEv1zmf
cM941epkeuisxUpJEEto641xGvIE0lo8lCsc1CszqKqnoCu/8OIDcRkj79k1Eu/U5e61cLJTDROH
MctKKnEA+vibjxCdV+2AzCYziGnT4a8gahhcG72NCt6oyRzECNXGHbRjZzcBSdWRF1Kl9VRQ89GP
7n2SOvTgPBjdqc6DS+mBhn41owpXDQEw5IChNIja3VgVYdPpbw33pfflVM2v4Q0tpB3ymqOhPpvO
/C4FXE6Xod3kbUU2LULhb2STO9Ayqxy9rEDbOwTdjUjuMT21S15ZE33P7bQHOXNGQnTWolOcIoEI
yKywvtCSrOTwmPrXof5pne5ku4DYmvheuuWaaRxaaT0g1xjRGFPtG4/4H6M9FEZ9MGV208bFlUVa
2GbusUqutuv3FAFvorxvOAAqvLDJtR6qY26+So3BF37slZ1rj6J+N4h5bczkoSUgcyzmdeWdJHBB
skbOCg3WLO1PohLvKheSQLHJOD89H+5jdDKd4mJI6n7hWiHsEOx/pNtDnSIB6kaRJ9G4U7PDz7L2
E+/OdeZ7svke6NEAjr5FiDYaComwgtQa+EoPVddd0FCT3jRuNMAG4gczj0FU5/xhFkm8KkqEMlhT
L04Qs3Zqnkg0Q0Kc3xOhgPkF9GCJV9PArgW9ahheqPjWiKs2WXIeh349lCAk91bEBDd/z7xnw99W
HXiDYFH9GDxv6cD85K7T4m+l7X0SqzyBd1s3UZYbDwRHbfqiYQ6ef44EjdXQAvr2orGsA+pKTaMf
/eSb0Dd6VlLpM0YGeLE0BpPYtirjvRVEiaUmcFbpcDiY8bdfOt8uvd8UVOfWNXZI5Xd1kpKhUGTb
xPsdBnHy8Rg5+oMdPOc+YqK50b88A6VOTHB5cMY4GM5e8gSWBPfnasDEy6aib9ybeEa3pffHaMAQ
jNxgjplxiyoEWhiTSNZNboiPYTW7Hz1B4hD0t5H4mFC9RcDAErcJJ9LzOo5LHWTC3LXAU9l7IyrF
zJfDUSIYcBrNc5ZwRqnhs8YL6yXFxjOuTudsAELxvyXGreMwsSukdbRldrbLXexeOwnGKNu70Xxw
E3FSjbbWyTdOkvtAm54WeXk6CtQDFdZhC4O663+kGQuhPjU2uQEOtpsYHWvFxoync55yMIlaXqVS
H1O8GKQTh+WjxSMnqtIIVZe4Tevh5NhfrOzXRKSmZ/zbPD1IwpzK2COOiEquocKxok9/Lh5Bn6+l
GG5F9+XRWgDPD3072c9zEQ7AEFDcB1B6cU+n2tYebxra/y6Fs8abnMt6B4Y2ml7VuKk0d+1SX64s
42Fs4rAJ6s8IzvzYDjNlRhSxKvMRZJbK9ddNL+UOVADH4NBOFlFjothnVZGR2ON3W5gQCH/B3oUF
yDtK8R92ugC1cEWtY9dT63jAZ6BKfWQHOusPQQxKjWVPuuzHQL9F1V3Cxmk3mult7joYZX3rLoGV
9UxMjFobVNpuP/0kKZELEfS5o9Wn59RsWUTlGW0Y6oxNmXQGA5GUqJiRHRa4q7AtSnNftOaTPvRz
BRx7mH45xftzBDmYiUtEqLpxskGHX9NpOTmD5DcnL+2sNLR2qsjVwe2pKXWfbNUmVeJMR+iQxaLk
HeCHfAtTOj7FsymeIFtEF1o0jM4EQBFYW06nIsDO3xgBjXY2RDuWi0WYZUXHPoGllbvAuhj6gyGS
KBuZ7SFgWXB/YsV8oDsoYcYwkGtjY8TxsKODzck/aYtz3xTEMbldtPHL946a+RTpdrQHpyLWrTQN
AmF4LrUu4VxTQ4c3i4zJYKvybRz4N3lcgqmNgZtch3J02Y7XXA0BxDXTOaR60hxERRPd0VsxtUGm
a5KqNNbxxSDRgqVLcKvTwDPgeSW7NGAXAo46zUk+wSmZ4rkWX4bX+0vvXt6njCzWdA5s2e1N41Yb
08yYLozFvasRawvnpWRa5ZWryYS+0rF4LYv+Dq4HEZpTHvZFuchcCUqL2+kVY/pP4MwP7rLVHDKg
m1ytqB3hzIY8+dfDQk8RpUv16b+O5UUUx4xOuPLsu8b2DWJk44b5qjwTs/CeTdGtJHBWD4rNkA08
2wyQMCCOHcSZLqPTlYJLGLg/izHRVvp775UbiFAzaohS3JAxHV0Bcef0sKXYzj04N8aqKxFFOrSK
5F5jDoN41s++CLGtVqoauhUGD3vJJ9VX+kAa79SirCorKy2wzebdoevnEup7C8FlYovjmVdZ0KmQ
Bk0HUpkAmm33ITE8ktt6YkbxXM99tJE1O7wqjobHSq/4Ohn0WEfcbGorfXPVJMlD1SfQG+OMOEgc
u2xpWzou13mNTb7P3LdWlohfqn64xfJ19ZfEYMGSjrju6s6OmpoSZaBVZpWe3AXB5IJJW55uSWeK
E57m6VhNaiNzAnzdtC4ep8BgB93Z2Uah9F8TnMnpgywezCXENum197kKmHkFBTEjbQ/MBlDItu/o
Hkd81zwjRPYYZal/igXS0yHvHBOMIhjyNLUgXwAuQU2WZu+13pY7d8x+874F4oXcZ+X03TEaM/qd
Yuh2uuheFCv1VeKDR9YTZMQyJr0wEj0rtbSZDiKxC1QixpvD5PY90LhoCpzJjIOB/O2cOSo3tHyD
WA3W+AL1cMk2pvZeV77XrI2kj94wtxUrc8p+ldPE19Jk/FnyiL3HWkZStROX96VHVpOp2FJM7tTt
RNPbT9II0tepFueYKPM3wTL+OJCcnMNFkcMT6/RGX9uzJsnPtDJzHZsJHPi+NG+zBR1jLxCZYMHJ
iAUsg1A5pQYGNmOynrvWs5us4bA1nNMNt29uwJEFTALGP1XNg9dq+n3Lvx2Wk4XOPHLOpjEYtBzE
DhNoAdEjWRg480LDkQsXxwGQI1GVxOmMhMlsxg8wPPW3WHg6y9j7DSgM28iFtpMs3J3catr9aJTq
YPXWlwWS7KZcID3EEjt8TXGy1iwQPvUC81EL1icoZ/bjEiWPZgP9GRf8D4MDksYsvSRE6g8+kPYH
KmiBBgldcK5l0toCJBYwp4ELyQpKdf4HcShtKmpXbGOXbAESMU32savnzUct8Iov2CLDh45RGRz3
8wI10ha8ESOB/LJgXfY9EnZ/gSCNbjn+LllWz6mHyAoC0XzBYxeFthuVu0EMX3X06ixgJUVN+usv
sCUixSEFsbLZ6HWkEJKRQg60BHLSwmlqFmKTZNMPsJsLX4up0NoUshP7khkXALQnTcJ9Snvp7ozl
NGuZhP5UHgp9yFYKygDMqLoPxrD2xscBnJQi9mQ9L4QpR7BI8EG8QsHinLM77uOiIc8zmlOsf2k+
vOki/hDgUKlSSusMOKFCJGGrENhOfBEK0JXqPSaBKD7nkCfm3QQPi6H0D0fYjBh9gWVlFdgsBT/L
t0aTgZzFM2PK1FfSmGhGSbir7aHfNmqwf6tZxrdSy/OvwklnZNLdSGKeXUY1ahMMPqWKO8hHaXoV
pXCv0hVfPC64EkVBfp0cSEQU8LNSjrU34U/6A+u1MKj8/GJVlQ932hjp0b3gRoeuGVqR/162enUd
EYHSB1H15ErWt6UePZvC3QsRoa/qeR7585LzO6j+KImUBQgYWNeFa2nHHpgKtzYRtDfIA6YmOyOD
QM+O05M+Zf6amc2hfq/AVDaFfx/PQfNY6uKZoFQCykHJezbUMOoGRCO1oXEvDHhuWMpma9fU8puB
x1nVMQSB3BqFmd2QTkC4BS+ByXecmlxlDpjbeIKxMUcptqWYB2TNhceZ0L3OCIMpNqzxXRlDd2/Z
oDs6oRjCK4ZTdtxb/MzB23V6jis9JwWU+DcAtTgjXR/9pPGbRtmtZWZ6aI6s1VzXZZal+empkF53
xL8KFst2D5JMhBugJPUm1RUk+p4Dfm7EFbEQw/EgwFOs5biLuZaocwR8hty21lzE7QnGs7OtDI0q
HKxO2EL1XoFGB+psG0G+LGmq0HFlt0ty7zFoqCmzyD4hOHR3mRah98nG7FMARaLkIrelVkzPyhaJ
JOo4MzSs+JV86HIPuoEDDEXvJw6zKEz1IH+CWgtcyHRgti/n+qZiSXoIKofECE0QNsEJu+l7ZkUA
+d2zpThw+QRSCA/1aPqPPsRrgkGlUa0iSEov0tOji5zwtDGUIcU5VcYOa1K2FgbUj6qDoIKGsZNM
gSfOS9knYis9zlpMzG2o+d2wtpXIbgmc0W6guzAcIu5CO8ZOKa95zaDJIljkiEw0PcaZP238Yu7C
qq7Nm9yR3gGJUkL/yqlYE5jHUMfV0OQi8ksM3lKJqeJoVk280SdfR/bDii3An7Ft4tpF7qU72xYH
17qYFh8xcl/6G1hCY59278Q+RSwtUrEOupH6qsKoRLvirFO3ywhKyM88lzPURmDS6Q75FQYs4zW1
W7rUiRVugjyGk55Bx5RWK8AKzLsw+4C56YxdazZfZOBp0KSxp0WlG32CMem5eDL68NzrJ4IREojX
xuTtR7M0nltElDeJjbW275CsdmXbnyxHm8Kqz5sdBW37OmdJelTewCQPYNJtrAayerSuvcm1kiUe
khsQPARd7bxCJndMLcXW1vguIJ3q58IJ5B6AknmjQ+QKM8AQ+1lC3a9HEonZcN52xejtzUyma3sy
1FtsWwgQCz60XDBlXvTqWlvpr7aBQQQJjnlXMhUOmLxKHbNOZ+/JQYDyVY4cNw0HKKcDn7rZiWNi
NNpj3slmT/I8YzmyUCqyS+bkEgPpIUi4IKXUVkBFLGo3CjxYZ4EDygyozMssZx1gRNsfgyrqQqkH
2Xr0xiEOexJ2CMVKl4Pe0DiQveItX+7J2QV0Jpm13hgpj6rKxzlZa5V2jzxUO6DGd159JnOPg/6s
9KkLMy9ecwe1a2Vw8MCN9TxeT148VlXNwKjKEq4mH9OkJUsSkFI63hWoi2wXT5O1tusS2JvrfNlO
ma3ZGOvQBb1qZ9S6+YJIJMBx1T6gp5PXwqeimlTN+wNU8IUAzRcsqXowVhED+M9ZyGJv9Y59wyqQ
OBfCJogKVs04ck6VkpUlqerbzMh96IfdFIX/yd6Z7EauZVn2h5IP7Hk5LOtNZpKpMTWuCSGX3Nl3
l7zsvi1n9WO1rl5G1ItEIZAxSaCAnAQSiHQPl2Qiz9ln77VrWXcH2vM4h6g2PsslsK5BXDkHdwEQ
vcI40Wxp4TgCXAt23FkBQ+U2BoK0Mzo+Fxy7JoOlV5ZBuatgGe2Iqdcr3DXXscIPCVTcXyeEB5hg
Y/FmJST6ZoaKXlL6DDZRAe5Y2Wyc+3nOzAv773xjGBZnhnKq5UnMU8cTvRwOZLvBKuE5I1vgGilU
Mv7QkSdzix20Hu5Sk6NK5Cz5Q2vOxcb0m+6jXNggcAA1jAw8cQRb+DoNDONzJMnIvzmx/Q5C3Uy2
MkTYIsdR7d2ZlTKhp2HVgaWQHOyTfJ27NE13DXTpWbb+il83+70Y9LcikV9hFMMvxmsHGHfJP1IN
/KaTeC/cOtgWTvRZ2BwqujC4GJbXsV5nDx06yqodZuxoYZ66wBpYc/aCk/IDYPHlhScXy43ZWds4
RZJJ62y6eq40j2pKux37LTekNp72thVtLWqhHgcTT4jVVPNzMdv5JZ78ZNfQRv+Wh3i4DTtirZ1Y
AJaazjPL7nmd9dV0P9RVe0lH73XIA/emTXgvTA1ycB8Bje8Dp9iLIOU/lkAdImnXTzjxJ+hBABHe
KHlo98Q/yzvyVL+jUaQPAarfI2B2cYhzaWFfZ4XoI/Rdv4nnPeO9eAjs2oCxKzYZt4lhA8Hmnm60
+iypLUYiYbU70m6i/oes++sv2auPrzKt+I0DB/bZ/zU+ZXsO2ZR/ZpL7+lUZr//73/Fn/Cp//vrH
8NWff/rvaSvPdAlx2cTsuaILTGJ/muWCPzzLdizTBOAS+BaZp7+b5aDoBiIErRK4/xHN/1vaCq+c
5+DbMPm7iNlrG92/4JUjIvWfQz808uGwAQ8gfAjyAlzNXy1sQTI7c1fQFGw4ZvTaL65U6EcqeinH
ybtZ6LVeVxj+NnxyOSxEbE6XtkngnIqiNB9qjnWXMKa9bu6d4ORFHuGSshybHU326XNB2GVT2R4A
jM6TB05NEoZGYtBINTXNG3otVchz2ZxEZYxPyguKV5l6E0dghShO8eQRf/W8sg1xJXmNxMninH+4
TWM9idkt6QIZAC2adXLGugS7t1f5uSwINA5DLh6SLuSyPCXJRTp19AjuDe5nb7vHRISMMTHobaZi
/i8DEseT1G/fBgLbxqyUeDV7pu0xiHcqSh+xkCXrpZAn+g+HYxVzzS7Idd91KMS71vKJkg099MQm
7D/DfqFUz5lPws6uUKR+E6HwicvCJ6QcCetLnXq6nyCY390paq64wPG4OzEhFIOc9kw5xZtCXG2X
JTiNsrYO9A24YMFj2W1FZ9DEkts4tdF4zipy5luVNx/KyRCkU+y8duarNbdgKgKqrDHOqVMEr2U0
0C2SOg4mhOroLz2gs+qzoUdkJ/EYzDg8tgKy2e2UxvyAWr4xaqDNcCQkiGcNv0omvZDYqiyPdtt3
a8wGnyWgnc0YwunH9sOlysUDlvElHEM8MB2B8IjvZJ3tcVK1KyHJuyUjP/4qHAXDr7/jJ5tdE9f2
T0FqvHCqLrZ5C6Rz03lowEVl4AgJCKnPS3iTJxpnak8Ul+egNjHUQRCObaoafA+btBnwnauKauy2
S9yNdPMp55N6kv7ipYHzVEWxTay+5eToN3X9bMy8YVZBTL6QZpTbiPT0qqexaQOYXn18/2WCFMVq
comYr6cSywiqkCnVbSoNzNNQWsItlEmkMSjp+5JFls9o5Zd3SReZ/TaCmv1hR9oI6WLjOwDo44zS
YWS/Cww1/vKqZfiyK49xVFKhCNC6t37xfoJSA5T9QSeUVVI8RPqlJ5taXHLegznvw/D7xcgb0hO0
vQ0BR8IiA2QLSnPZyDL+zPWrtU8s+90vFAFp/eLtYPFhxONljL/FldtUv6JdMTSaH1Hvu8Vw1olD
VQhEmQDz3Pcbfk6H+CvQr/02SGCZ6Z05qn2GAul2H40eFOzM4N+qhwfgj/ZL1jCnx0wWrm0zY4jI
Z96wv2eP0euHQ6AHEmVOQEVjW5shsn4Gs6HMi6WHGFvTq1WGa5P5hhW4v9hMPL4efVI9BLGI++ux
w3UXMSE1Btd2njDQ35BodqFBUwcQjRyiAr+GhR6zhBHwvUj08IX6fKTwtoHspyezAfDcwchr+4pf
giBAAPStTkZGdEEB4DrXI57ZePYOrsSg77RMgExBTIPp92To6iHR8JfiYOjBcf6eIemXYJ7UDKxP
5gh/XepxExtsd4/w+rRgs3vj7OK8Qh7le+7l1qenR9aF2ZUdjnElYYM19WDrgBnElRYrliI9+JZ6
BM7Q7oDrIvlf/cFgRrbV6K1mPTgbdrJRCUw+N3k1OYlfRz1kA5ozjq0evAODry+JoATyDDaoO2dA
z0t8TGVb/6ijctnbbYZY9z3RE0dlugcwCPhZj/xzw4mMMAXgkaJ6zb83g0EvCXw0KPhbWN8QUlk3
F5YJZI3k4ugFI28gDWIiMNsDiEDjWuhVZOgwfxR6PYlF2dwVemXp+4I+wiIw36FcwS/M9XJTG1Dd
446FR3TjW6FXoKGB+8e3CBqBXpBUOmkzFUsTubg7azFRvvRCpZl7B3OB82rS8XJb6sXL1yuYyxFz
1yVUHgq9oJVFwU/ne2sz+YhuysiRt7Fv8gnV610Z2vPW1Ctfp5c/Av/t3tULIZv1cAIFik9Yr4ud
XhxnvUJGThscKms4FN/7pfm9a5Z2NNxDdox+wuCDaa2X0iqpP4FnWftIL6yCTxhvQJZY6CG8XvVi
2wdouKnqz8tgW28tWhQxLBZh/3snBl16nvsq2xXfC7NenSO9RNd6nfb1Yk0XHyu2XrbLAiXZSPmu
d3oVp3DJ282L6T/wu2nsoqnCQilCPKlY6Wll65tzqld7eqvrtavX/VYv/koGUDa1GIDYGhxrLRBw
a+rpFwPIUWv5wNVCgpTCvymiLCS0HauTPXW3PU51kkmG9SS1COFpOYIf50hYD4kimLL8nAgrBLfB
TyxvLCgrXtB9CJ9gFDvEtI1sbl+1YWhoIo8hX2sgplZDqHfCChgSBAy1VoIdg0+dKKT/jiXfeWIS
Xs5YRpqn3qsDvglNEJ0Aj1WUQbYFDbTFW9iat4tHB1NRcQ/h2FFuuDiqg9nw3YTE18WsffwXjs1d
gUT0s6OFnkpLPpQfJQ/jxE8Nsre9Hoz5gXgD4PCaErRpKW5GKI5j7JoPsYl53uuXPTD3A3/gJStj
e+153k9WZw7UJQEm+ntgAWsBqnO9U9QiSelWOR471Cj5CJa5atKn4FvD6rSclWhha3FcY0cP7s5I
lvxnbrEMp9jsd2r2uw0cIrnF/7ZfCtOHAB4eHaYjU4phi0c1x/rkNtjwrOVWtio6FrH1zqJd3nh5
JhF/SdNGDQ89TqpqzdnyDgn9F8HXMxnmLYK9LjCq2l1EmgOXNnIjef41xHV7rbQY6GpZEGXKeyjF
3HwY5uicei0fFliyDNGUcISQFhMtMo5abhxdzki5liCx5kbHXMuSQSGnI8eV/i5AYN8UWseEqSQf
Bq1tVlOGzJma2cbJM/+sWtKIbip2qu4UZv7K4jiaamQIcqk7jp+OFlBDLaVSKwjmXcurtRZagV2g
GKXLDTZP5x7IUnaMgnm4EaVDRS0VnoTfkG0t9NsCHTfTgm4UGNUKOErD9zGZ7xfDvR9MZaxpoQ9v
nagDJtoKkCJaKPYc8KVl7z5N8K5/9OhsnJLadktgqjiSkA1WXVF+Vlp+ni0HWrtDodWoxek61Ns3
r9yMnK1WrzvDyti/82UPOL44trpvQujmCdTFw6S7KAZKKXrdTmFk6U+p+yrSAgYxSoF1E9flS5jR
apEP9Fv0wPQpL9StF7Xuv1h0E0YbgeddxlDurKLFdy5TTPhze4RRSbODbtPwZ48Hgq87NmzBs6Mv
EDStX37DP5UZOnwMyMd1q7wim2f6CcWXmiWamdlPH32CCGG1KQJ4o54mjwKknVaeppG2IF52cQuh
tNSsUslY8jRL/Fm1JpnCANbFldBNhcQummviKQ9ynsFFoCFYHkRUJE9/u5Qpfi1wqa3mpvbSeLba
kT75gVtT2grrhhhD9yP7Rq5i+s0OLGyAWE3NZLUWAfPVwHneNMuw8smk3RJzyDcjl/D7ZIL40vCm
sofgJwN1skltfUTVHNgIICzM9fmXa/XuM0NttGlcspigHMDIehn60DAa9S8cNxO2wMHaRIBnzUgj
aBlLSXGbmkybakYtyETrksX8ck6JqnbcR1d97YUrMav4oQE6/uKitj1CqXYenXSiCqEMpl2bVy+e
WWbnCQQyiESg7GvS1hy8DMMEHjh17h2kHFT+yXXPCkhguRY16fgWV1OXTcmOrkFv1+cQggpl54SY
UyDAy2LN3K5rnKPjGNvnPFq8kx/LZIumGJ9D6r/AcRTmlncxj/llitpzRx3yrTnADaNCThzrfqSR
Q85xxmPEplFqmGwktQA6Juvy72Ro55Pnz69ONeWUd3pSvtL0xNghgZTIDfWFKex7ekGVRbCARkys
gFa/GYpBfY5j0WFpa4PnmJalH36CQ1bgexmFY5/mJm3XTZ52zm1ZVfzSEfChI9A1nisQnLeyCuTN
0i+vUFThiuRG9eRknryheal+NEoA6jTulnStBxw2NoRyjFcrkdHdCKhx41QDUAFzmqmSogQAtmRE
PGGkliV1aYXsnCVzQbpVPOcIyaU72zXzX8BWQjaQoOFu3pZv5GnEm91TwWVj/Hss3ZzAZWVGXInD
3thlIAOPccKSlBUqmvHzxQTj7SV6Tto+/+3AHNJ1X+6DqQLqvVzUw1WRSsyJaZGTLUtt74cZTBKT
wjj94EnVHZs6za52M3vwpCVmENhihnikrYvrdJUzhMiaVmko43ts7RRTQhyZcD3m6bhJVRIcLYGD
jLYYaxcwy+zDsMyu9dI8Ye+bONUBYRij6DPh7Xr/F13l/xHn+8am/gOiwzcB1oYInwFYW2FqYMzn
x2NaxZrC+m8qoI5jwb/Iv9sy7keOjze0D1sc9SPjjjdUtKY/8y6GO3+X8BDhC2u4P9MbuDI8b//9
j/lvS4T+/1s0xY/AgRP0TxQx+VGhif1nDhF5rz//5H+oYS4ES5tHqu8Gwtb9UH9TwyzrD4xaiGB+
4Fj8rPX/2t+io84fnhfwJ/gAmIQtNTOo+7NuyrP+cHTZauAAsAzJlop/RQ6DiKkjm//waRO+iajG
XyRAWfrffVR/+bS1/kSej2Vv7WLJWFWclpCvs3CV4ncg7cjt8hJRTsFroilSIqb5dHUVtfeQs7AC
ZPbvMpUZF37XPimKLfZFK7qXritj6n2YYCfD/TG1UCgCFtDd4i1E1t0yecsi7CfQxteyUW9mjhbi
ag+MiZKyV9VXhkYeZCM88570pYN/+8KNVq1bfAxxX4RPCoMW09McH2GuLQ8keoqzKFi/SqsLb2PT
KK+Sau1D5i79eTSE0I7ylgtSY8kPk+KfDw6/tA80RIc2OBhoWTKc/NKH8+Lt88RZDmHvUaPccJ5d
LbPh7RNfyl+oXs02gFe/n0WQrcOc6ma3Kj9Co1baN9pfm4ro76bu2/5aFPqUXTTuE68BOOuem74M
GOETiuJhwjRjA14lo70UoWp6LtUkryU3tDUJoABoGSrRfoxlfjBwcu4ZuPhCMrt78H3pE0RyuMCl
TDknCH/AcwpIGkRWKBUskkj8oN96JLTQT4B2Z795b6qBjliEqndYbMZLO+g4WzYTOKKhiv5uVcjf
nD5oXocQuh7oh8gcDvd1tQC3K8bboZpLJvcgX9u5eU9ydN6XoLPwE0clgEcwRihy9wTz4PzKPOJH
RqzDkvKjk9M9UginIRYnXG3qvdKmipUI65yLP8UoLg8+Ol78e8uw3+uixweY+EFMJKus8DUEr4LD
4LEj6EJ4th125POLLVpefFaTOx0R476CQM03wRK+8mUfjcK4TRfrZnbddB2gNa3hXq7tEENQIYfp
xDpVbyV/Wz/58e1CYqjVXmW/tFZjgn2jnrrk5PV584489+Q03WuYj4/ZWJ2sSLkHGn1PBsxOAmrJ
Np9trM9dti0xWnP2Du6yyd8CA7pUkX/vcP3EY1sT2kkrVBr7g8/1e2w77b432tMcAFhaIdhQNAC8
kh8pvRYcxUcsRWHymccFNAF7rPdFIH/3HjEcOUbJrvDjDzUo4hQVbbl2J4BMmApCmC52sNJjI2xM
mnH5m9gnwxaNB5teLphffjA87f20vpf5JPYMNjoSTfp6xN2XZiYJTPvgpuVTVXPk7tzVDEhhKtS+
kOm7N4SnMR6eBJKjmVj90UibPfbMxzKr9nHM4DgY09luOG4aiF0k0h+Q829NDC1c5SGScHqyIzqa
veTkC+PgwLhYwh9N4iio28g/zs8SsCgN7Slg9AtJzIhZzPzy7YwqEU61m3jpzim1OsNCs1DoPNh9
CNPQyuB0ZltWUonwVx2sMjyhUtHrQNyggUbBAjmykVq/UqSGSTg7e1a/beVehF+Ue+GJD4YEiisl
QU0IjDu/MDcVPvApDPh2zvUHfUdXFToIEKWI1pNvKhCo7n3njYLjnXVr9c3XGJAcXAh/WglhGuWu
LLjnkJtWWZ40e3N235LB3av4d0evWRL6X6qR+jcaJ5HTl5vO4UIwRmZ0q2akuHl5GopEwxIvS5Ev
69RY8OlzFs4kIdGkPSEc3VieeyQEvUF829pNcxYJUPihfUOQZc1etsr3tn6ZEhGtcqCnU3HT4Mdl
6j4b7Twe6nBC2ZgvqbQfGUeQw8oy/O36bkVYqO5wlQ6nLOBUeszrJsSrlKq7IGd3DdMyPTFUEkIr
g5MYFu+2rtvXfqJ6mC0b5dsGt5W1HLhj9oEJzG1tsZ5EGUGDon4ol/gtD7BhFz01OM05Hp1tXmbu
No8dMMPI5EF0b6uwfAwcPDY89K9+Ee59waHFHePpbWRlzV1sNuS4rROgDzrR8cqvKchV66RX97Pj
k0zyfJre8qjih5kLAu6gxmLVcqoHQTDNNF5BNU3InJHDUeUzHXBwOTpza1KI94NI8DGqSutLUR6h
27izu2Fif1ra5iNMYXjQvZqEO95BLGUItRlVVwP+BXe4hg65lmjMCKAauNH3c+DpjadbsocU2X1v
kLZ5MYo0euLwau2g7vRXx6o0qwdh48h7AZApibsvYrniS6p5OcqFgCTJfgebmEP9devQhViMuQ16
MvcTCnwxOc1ojWdBCSkYM9ljHbQeehhHi5Il/TkY29vMOkBHSbcZyZ5oxaPgyw1KZyf5VK8Q8As+
WYr3tT/BJLa5oK2G3J82TmJQYc/Ia8Q1fe0IUO+lA3CMEh8+MxlBBGvEC1e7hA06NUIM6qHPXSTe
jg859die+3Q4AvcKHywzy3kk5uZr5Efme58XvDpUU129uH3uxfAeSn9vcxA5lXwNGMZ4FO44G2fb
HCDoGuIUo4lr8kPuhLFFPRXbdCxxHC3EpRHe6s1IY1jNLL9AlzrPPMe57HXFXY3V4maY2vZCeSSZ
+NB08FBAkMsGw1xPrUeEkTygdhjtg5QNWqrmddbwN1411Y7aR1y7cXmNHVnc11Ya7ohAiDXxy5In
hCSMhAkOcGn04dmRv25caeFErId7W1RboHcAEUJyG7P2NFYYjXM8jNueW4bR5cs2TfFu+aoYjm5c
rn1nIVpV8RMv8UpPxfjbq3P8ZqE6DEkKs4c4HscC41yVHtf3TGzgEVwnjjU7gqp3uRe8ydw+oeJm
3NwMmqoGtkEYM6gHRfRWBd1m8ObsVAmDOsnBpQRAWRcj4wwV+lOyVqn/IvLyy7TaY5f2uzYzt55F
8DdZPMoDW+lsaKxLVnEUY+6BpNHW+iyU8SxtpbaFk3zKbWmcTLqeT1Zd+ZfFHm3txKancykQz+BV
r1rOwPs6lNbKSsrfMVdPnssUi/EZA7aNBloo4a8xMD/NHf62RZZER1pSVNCpAtT8AZUUf8zOGfGb
9wqalMJbA+Up3S1GdC5684nLxBasOnoH2dRNPnbDvjS86da0ahAJAg9rjGsI1DI2c9Pk/BQ0PkFe
0iNPvPttvAsNJQGhnM/4GS40ptEWoVI60mZ33epyi5HuoAckWLGJFGsxp7wdQIw+3sQeoy5Bn+q5
D4KrahPKUUmZrHOIBJQuIo7GfAdHz/P3IqMBL/ImvpnKE29lgcUXile3MRfZbkxeBSu3aup4bwVL
RReidzOHc34os/GJ0mddVI11l6ccPyAn9O/0gSiWS3syXTn9tJagRa+OqMsI8DRbkXUuy+41spYc
7pspbkEf2a+VW1w6J0nJjEa8SP0yvC9JUs9cMNaIpNkRxHS5TxeRnovQP3Ptldu6rT5toIIbVxML
KaN4jqFN4HxGoiCsUmw5ER4htpen3BhPE6g/Lu7OvddYtJ92AaQ0tdxkVq92AZblbu06IJ8mN3tl
yrRPXoPoaHjOHWIz1Htu+M6twp276s15x/164w9FvSOz4u343fC3KWZBysWynmZm4WfN1fBkceOK
2b7xJ/QnJXLFE7E+N3mrQGBUZIAX3lT4o1d+uzCfMthtMSW3K2moX0C2fqes/OjFPbuQMvi6wCL6
fOBeZx0atVT94qIJBZDhTsjvwSmS87uDh3UT4Zxa1qRGaW+LBu8gmQv1D3QC9JCB4ENgeelbxYRQ
AepudSnSKVns8sAkW8YHfvuHW3Aj5AfN/CkOVXcVMWVNEg0PYFmd3pWyG9q177UesMjkDT+Au8Y9
xjFcGpCiTKc8KkwJiDaBuUsTMVxG3yP4Gs+3TiyH9VLm9jqxW9jOBr5/PoVcm83Rju9i8mXBBPoi
mTu5HiX0O2xz5hlXW/zAXG8cQC+TzCV8Gz/ItM0I2/ck6yIZVIc2hgy3qoH1f1LMEZ9qR8jXJm6t
+xo3EdZcLiUjAjU0heKr7cJ79EhWMA4O1CR2KXOSkZKM5B8YSpR2ArbDM/xpwfe5d455EhQsXGp8
tKe6bVeNcvMbK5nI8nXNzWDE3mGueLTIQehEsTcctYLyDuy62xK5uFMwXlOLX8PIs/C8F1W8mxXs
Nq9s6InRnMoi4MBrJN4jvVHQ4CIXzdZEUemgVz/AnoZ8Fyoe+bUothEUnuNsB4/YGfJHyarO3Tn4
gQ45/rAoMDt6COP3uTvlq2Jmk1adNa4UTxxq56K52I2OJ+8olGM4j+sgvhql1zONdHeDG7av3IPS
x7gpot95y82pa7i6iGQQ+8UIh9s0x9g7ukRJ45YOAFnP5q61ZfIjI1aCLW30bgdhFwS55itnLHc/
qnFYoTe3e9gl2ZZIK75n4S5o0D4JJ0E+xmpUurF7t36sQ3d4WYIAf68VzttGJ9CwYoCNH5N4R98j
hnZTnurFDQ6mHVtPRHOp8SV0UW7mBqM3qqxcEzMl0WRGP9OMGVwUA0cHFFhaw6oV8AVKo2mw21eT
ER5mKzcvI2fnnZktzk2GIovw4I77IHCLfRGHvIsdomm2ym4hC6mz6+Mkd6DsvDaULN5kQdOkyF5F
BOKw7MbHYa4Ic1qFsJ5sf8w2c6xY9Gxhcd6swnuIl/GNl9UWCnCzqizoDRCOvROKgvhtZU55W1XS
iXd8homx99GM7ViZh1gCqwWeRAFhj/cMKiVVBQw3+2wektfCS+qPwrfw7CSFvHEaARmkiB47O2eF
YHhnCHLyak876LjHMtofoaBPP92OfTjDb33jD7Fau0WdfIwdHsd5SceVk3O1Rp3NDpLR984bA30n
4nesj6A/YYIgWOXlr9JHNIlTxcUmJNHDiZIzztwr4+c4zs+Zn/VHESt6pTqJYQBf985OmacCOzkQ
Y6JkiM3wpmujayvLh4jUzq7j1tYGwQfvQAipBoXIwJNL7FCcsTOi4Osx64uVs1i/k5zYrx+yyOAg
OUCqsvf9UBm7ZFo4q0xjs3JoQYaZs6h90objvjFsZgulvdT4ip0YpM4+K2ccOP5SjnhHa2cT5sNL
NsZEJPkcHhyf4r5cZtcl6MZdNOg4wgKpqzaIQYJwe6VrMeFgG6qP0oFBPcgAv0S72LsoQWGWhdG8
Fq0rrgZr0s6kHGrFi/xrnu2Mum0z+aSAE+2jM9WpUcnMR5w+o8mKjKNKYuigUboXFDU8em6zssL0
Qx8l8XVnu35KPMCUqUUQdCjitZNSzITN5kDsp8bF5If09CYQHcOs+2zafNoFAhYB37GGGy84rGDI
Unwztq54t3EXkDvaE/OSm1KjehcclWvXjF8LZ5rBO8F84PfrzhdEYdHZ+501INisw8b5sJwsPvF0
6TmLhfOhK0bySm0hn6cgkCtaXZdVDPV15aU1D5wOKeyOTE2H0F6SPpk6cJ7KLg5ma2PHKMzlhKnb
fjUpBr7SSQpWxPSo3CyYrP+Nr5fnl+KVvIRDuK8yw16LMj7jfIpJVbf+1vRQ4znUaXazbK6NsKhD
hdp/SajB/Sxi/rlenD/7sGI3ktf6iQ8tIayh9o2fAzZ0qgEX1d8EvRpeAlu7RAqnfePNnEI1puwL
qw2XI8OCj1CzHtIApRz5wiF1urhlHXDEoHtKiT7f0fgo9rXR97dph6V0Q3zhZyYSTDQTNG6/xFsX
9Zyw+yC39invJ9LG/U0SRR9UmcISCA34FFmGVa5cz0vPxE/dbB5atyBkkts84itWi6O2lIRAmBav
7DrzYfBnsBFJlsJwTNXVFJDSusD4MVYcbzPiPo8c27xLOijCbEZjb63IdW8CEzRm3vUzcVniZkfp
UZTRGE1Fah2P+C6gkHHlpHX6CJJ+PizOWKy8BktMOrecSoi7HQHtMsBYZYqWIpK1u+S6y3q0OviR
tntPQymOZ0OQKPJJ9bPDyyPEK/Q9MkXknrvjnEMbqgvDW6VtbN72qQ33SwW0kymU4WAB7ORa9a+Z
iJA3JPEPZt+rTPzwh90AbCqXZlzTcROvgrpxIHQq6D8YvP1oIgqPizzEoihqXmcmEGr0pMq7MRKB
ZqG/VWXYgz3jh+14JQN+35LCGJ2H1pMvC7v82mdow87iAOd4FZM73rcwSFaDGM5s2GIf1JXchqLv
LnysH+Kq8Q++dJ0H/OTZLxla7Z0qyK4kHK+2TPK/Usv37hurS/G9V69Bm6YvLbZivlDj3Dl+dj8W
5JjxKzJnyLxhZPY6Uj4+viNK2kp+Rb1c3EapfTGXOYDWoMxrQbcJ6y7zFJKTw4rDkNVHVbO3TGN8
cPI5vfed8s5LMA9g+PzwW3mszAw+C86xxl1e+3x6z5Qi0IERksMoD4pJLzd07HbmqXHEjwn8fcoU
TiMmP+vOSI4zKnHbpeWeRBoecSIIW3afL6fIrHMytyD3uiTd0E/eg8Zooj2OQ1qds03ZUQ+Adeft
f05F/xXntLBcUPr/1Dz99DHVlN7/ryr5KP7Bdf33P/t3zqgFwZFQk0Obounr09+f1mnL/MMLQo7A
GjdKYYEN5PP/HotM17FA/ni0GFAg8Ze6M/MP/r9tk9ZMz9FXpH/BOR2EmiP6j5ciy7XICFCiGpAd
8zSH9C+XojjDeW/YWKWKYHRIoFfJnsnrEEHIR97j1XCKmGLXFUMsjGWxSqQgj5Z7d/ZSfXHzQYOq
+w9+K1jzi8TWJdXvRkY4KRi9ikgvFYrjlGx03D8aucqPkXvvljd5GOvCTLRoK83AVjSm2FRoLDzr
wuR5iOvsOLDXI4FlrAY5dci0clazONmLY37FQ4alJfWDDQaaBaJAhQsJFM4NAbZi5bttecd56yXq
7QgXUv0DlTg+YBgYjmPJP4i08QqATbqftbYU+yFkItf+FXa8wlv7doiz5g6ECkQxNd8h3g6vo+M2
ey6CT3j3aG3MjOs4VWqT0v+DOtasSY8xlrK2CDa5NaYhMIc6fEggjb+/hIKa99dwBqos+vcZYvNR
GZOm77FSdk58IWmCSlGx+4xNcuniPN/lqSgOnTv4O1qXvrgOdQ+t2XlrYH/hk++PEmrx9MhhpduV
OenwoCofpoLztovsATU0s266RjMSxiXaiAbwYyQNRlUmOqKRan7uGtPcEahXZwI97nMdeOemTpa7
sus9cA7mxcZE9iECiUhP/L0tRmoHJAOFz8XAqrqfrOmnltsejQZ5j7DIf7TOUuAaaL21n7NhZIIm
79nkMNTanbfpwyl8Eo73mBbN/CkEzRRVVs2g58rl6JhGsBlC8YU3d7zgluG5O0SCjL2RzxvXMdJT
bOXklltF5g90yLDBGr+CAsbmD0pueI0gbGwYjg/W6L8SFaCXskziA+mlfGXZyccchc05SGFQIy9f
mgWQgymADcilHjdtHiWPcaXsnQwrY4MzcCdgxG4DxdBW5jjcJgaUneGy9GDvE8dFGukdH9vkvuZD
wbsjwG0Z6kGY9O1LqkfjSg/Jrh6XZz048ws44UjXw7Qeq+kVgY/DpB2aPuem3v2NT4xonx7Haz2Y
UyRHpQJy4qZhdIJBGX3kqU8mkoFeMtkL+gVixajf66E/HhbYGtEEs1OvBZBjELT1qhDX47OvjOhn
PLNm2X9uFB4/e6OehrWXV+D6WTyUXkG6BciCr9eSTi8oLF/ZwdVLy5zyEZv0IuPplQa/U792zIIa
Br3w5Hr14bDF7KnXIcQEtCX44Rh0FITxlr3J1QtUqVepUi9VpV6vcr1oUQ1K+EsvX8J23HUCJYj5
BlZFtpTmoRcQewL+LZoj0dLDVWEkdWfUWqW3O6H3vFpvfAarXxMoa1f2Mr4R7Op+MM8Y6fWq6Oit
ka3Cehq/V0nAv+MjVXgsmPn3stnqvdPVG6jbs2v531sp0tVt44wZN8v+zWLr2NMtDoZZ77N5FAAb
yNtu5w+DeXGgUWz9/8PemS1HiqzZ+lXOC7DNAQeH25gVodAQmlK6wZRSJjM48/D0/VG123ZlZnXW
OXZu+7asUiER4Livf61vAUVcytXIhVTVtdejdfYMSorliCyXwzLG5zu6BRtww933OJYVDRjL0drB
oCcan/M2YwiO3n6zHHTDjFNeHp0w/bwJWMq7brHnSQPJlaY4G7ptMm97OzRA3HLCD7JUX6zl1I+b
BD7GFI37pmj0tuyZ2IQeMqDbaRSDpVqtWVQEPzYf5zLO72M3d87pojVMrh++Nov+QA6Av9IH2qrq
glnHolOgiHv7etEuUh9hdtCm/91dlI06xfOU2N1NWKLhBYM7flij5GRS5J28bgeTeSgaCVFJcMHC
wLeTg2ZcJYuaIhddRfuueQXSxdk5RTGdq0V+cRYhJo7jB+Ey3ckWkcZe5JrRxBnWsi27t02KZYJF
1sExAyAndi75IvkMinXPXWQg+C8OgVIuHlAg/L+xfItHD7t9SVdapHFHoyjli7bULCpTJdjSAx12
DiNrOQJfxlOHKsXOD2URE+NwSQmc7suW3gd/UbK0nfZPwaJuhT353XRRvBArYTQtKlhateb71Ki7
Sjnp54iYu25zYjRGk6gL+7+FAIuupheFrf5DbDMW3W2sAyS4PmLuwiVGp/tDohsWtS5ZdDtzUfDC
MaUmmu0ExIMp2shcfjcXxS+fM2vN5R737exQhi4WbVD+oRK6oClk5D1Cc+pv54EloEYK3rmS6kx8
6pxtc3fVWmmfrWZjvhddfZSNkDtnENnFnoZhG8vC3bqcYtoVhOnqtgxk+2Kmamp2ftvcVC4k5Clh
HJq6M8dMwu/Fm5qHnmA0WWJ7QSPTlSAP/Wi4VN7jpu5d5iM2Q2gAU5n7FpixxITJoWOwRma7hN5D
RqUg0KLabx5kuyj2c0d0sCjs7ElRT43bfZLlXczgnyoZ13yzYt5ZntLTVVAn+NH7MrIm+mHw3g95
0nJT4m40yRattWhTXtvoMaaXk8IodXSPuBtvucf7zTiOHHl8zICf87xIUkgYBtJHn+KoRrLyLqVh
h4eeNQKOy0DBTh0XWOzTmpkWBOpsSwNS8MCRnKg/L5OpX/e2S44+t72rmvzldyNtmeuSS3jxNU3b
+6hrkPrMiQhELZYHImdiNKssWiUBR9agAkfrsyk7EP0CCWpyQjBNtL9+XKaDY3UsoZANjEnjV/pB
jLvSltGVs+zN2j4wN0wX2ZMYctjyDT7WXaMObTMxKBghcBudMSFGRQSiSeiG9J10xZYYDWZXS+W3
5PqbC2uEv8DSu3pxsgA7bqdxZhjvF8v59ntSOMmliHG2Ki/KbkjImmJrjAm4xgS/HUEqzKOVnmjc
rgsypus8rB0QH+Ii42J8aux6eJr6oNiPwzywIpbdTaoHHC5G5N6m5LvWbmvVeyPgq5VRBBmTxvV1
AGHgpTfgXmdDQY5J5qxDvacuoRB6y9ureZrDCCDLGNY+vRgG4ggbnbXhkMcJvOpMfj1/xqIMjLpI
9fekHEBwNqPJxc2EcxPpzr3uXSzDbQMntIVxc3KmmXL43M3m96oaup3IUAa8dqLYMWXg1eduf0M8
hlEBkKRDhBJ2VinGKS/z3Be+dWIlk7LkFzGQRa/NTD8GblteJUVyqksnf66SfLhEC3qrE0lHJn/E
GDIzjJl5X2/KnGRJ3bJBqmOfcauVOu1lqCL/VdkpJTEil/cBDBrmCtlTPYCjpDQRYKxLI0ngzjSR
c2wnitepG9HBWDWU/RLB6iFolPbyS2WRx4lR0DdkMESAvOw+9jOjtVy2D4YN/ycJx/62y7LxVDV2
+6VXPdNcYKRkvcIzOFZjC5j9gjH8kdHXUpIrIal1oHcPfT4yji98nB/5As6lL4NUUnE/6v48xeHN
ZNZbVdrXtbAfx94FxoTiEglNc3z4PFXiUDoEIYbISe/K0H8Ls5m4vWWQXGQ/tu4nc3gTAWUGKz0T
XJ8qe8m1hx2+J+CMFtVchuVtmmF4DQTUznAqbmvgdGfdxFhwhEf9ka2GKz36b2qcNNT3rt9xLlih
GMF+y6pxw3IqtnMC2hYDFD7aNCy2TZhlzBHddtt0yrkLpRtuUi/qiFHMwKRVVRHK68KD0QPhsyLL
X4WOdXBm6PSIjYXEnMwvbRwov0VDN9JgHVGOd4iGjIReFS+iZPuSlfra51x278Kay0JXvwd193WA
zsOIxLwppbeqxZxsqJXBQ6YxRFcdzV2Vl2a7GpvtpiLkCFdhQN7L1nYY0/TGo9lqM94oA8Qp4h6A
OQpLRvqXH6ases4L0LG68ecrawwCSGrpte9CWQBe+9IFvMigiHQHqpUQMA2qVQLyjbOz8HdE/Eqx
VAdMzDjFGvEzsCNrU83iMzEpqwpzs76NFTjYaWq612jIvddywh2bV8anNIZ2HXgQX3sJvZGOnr4F
4lRi12EKSz0LTHO89G7NXkLYgsAJxA8Joo/3Cf/JjaZNLzKcFDVSNWa7eFrXaN5fpyiBuw/Gi0Zp
DkntlUhxyg+zX72qsqnwINEmasb3zRicoxgSiKuGEiuz0d8YvIaegZJn22gG4fa/Gsv/ncbiwq74
ba/8DcSA6P9cMNJ9M16+Na1Ga/mp1MX89w/5U2zx/wW2y1vEVcJNlo8B/7/FFudfdK27WHZJnQsQ
I4IalP8WW6x/YcmW/GfLNKXF6e0/zlzxL9t2BJxhKD74Y1zr/0Vu8eRSIP+D3EKGXuG4tBbtZinZ
/FFuERmR1ABhetUzW3hwvMC+q+1Jn+FExC/I2famhaGPJXbKvnlzkl03WM3Gkfy0UZAEHDUEM9sZ
eFbbEPxyT1VV4HfbkKTAWUVqYs8QO+ssnAi1DRnmmMDyXgqjfCM27+M3SL96RBNeLKhcZ0yIRACy
WkArdmrkgVFeW8p6GWcO4jY+NZQdvTZJ7K0wELVbWH97n9qFVzbbzeuQIoyQGGDJGMkVafoVtlYU
2ORWGuMSLZZ83xhR+Idk7Wrxhlc52zkRCDtzdCgxxrW6Lkr9YeN22CIIYCwlvP0Y4Hs6NUOfXQdZ
WNwiCucPDIbiYxurYZ+1i8KR+x6DatwNGVCZePnF4ukBXh17Pa4Z09aklJ8YTqxDjbgDeIltwqpS
nXEh0YhlprGSq4YeFyQm5gmpM9M8YwWCOYIoW368oSWhllg/M1gRpJf8+htqFh5c5uqrio3Qji4D
Z4M+njN6ktlij5WdOsRJYrxIN/F3siMMRDY7FJeaXcPK9mKLU3JZnaRuIPzY4G+InMb1A97reGuF
OKiTuDCJnDbzlTc7BgZkke91Xn1WCDKICkW3TPfRQV5r4okbQ3v6zlOu+9aSsf0cC5IozZi2BFMA
gM2W630BTt5e4SWg0psQDBUvSaIXa5Z5BLDX4mVp3PvCyzkOzl1jfxPJwDGabNB7GTBVB/PKlKCy
nY9R16TR06AqnyozrM4c76vrIO2/Bng97lUUj89gH6NHJo3hsYsaM1xZo4UTKjUBG4JQs0HElpNq
LlT8sHMPBLurjULn2Hp1r7+GJMtxgpnkI60oVIzShX89ZUsSDxmkOzjV8Kz1IM9Wn25Jf4XAkXQF
v2aiGA++xKYragMpx+rvc5zFfLpNprsMO/+5ysanrmt4QxdLuL9ebk9GQTur53A7cVc5ZHIox5lp
HXNaxECBu4CESBOW70HMcZtxZkSvDE41YfbW2eW8d6kcLwWqRDlBibkaNz2+amkHVI0AZ9ginFBc
2SS9+cqM0mGWOplMvr0SWQq3Bewf8u3UuqeturaMGaKRUDRaVst3kZVPommMk6UYH6zCGeqHnjmm
ZWQNtkBdjFd0EnE7aXMu8IjOEHFy5TDfdvEmMRLW0GUQaqfQMxlr2dOrNuGWI8wM7rZoQ2apKWM2
3pHETGJIu0xTLWLvm7wr6JTDOgytL8ieTVzHxOEzxXm2MrdZ4jl3sHRxs2ZpxSlcGGW74bzznSQe
3aGc8hAJeAQ9I6bqc67H64EA4Rs1bmg1Uor9wMZ5O3SBfCwtYmw90aRN2LXt2poodRqqhZSIWdp6
JFi/C52ivJpUoW7lxD5XMhm7zrnmp2aW5ZMbe+hDRu+dqc1x4q2JMx9DZFLhqWptdPfSCIkns7vx
aJt7SJ06+eIS8N71AyS61dIgRNDHda6HwWVyUhJvbdOcRQH65W7EuXG0eHjwYMiEbXKB4UmHX0hI
6R0nCZ5+gn+fwlMLP2M8sVYBWOiyaXyoWhtpC0cFhla370j1fkIolK/sjy0inJw7P4gxsSgMvGpe
Sm2FzyV5vKshbYIHK20a+hjLmMC9foEK96IGMm8IJRfXXxTgxeEoJT87ykpKLTkdfB+t7HGJfJZa
OgTD0b0Hzy33Q2VMG8ykcu+mEU+6ctOz6alwC/2426BFxRcgj9uRt+RezEb2lnPKOI9CfGaa8EBf
ldeyZiLfddW8TttWrYa4Hi4YM6tdRWvEc9Mmag0oJgPLGylYAdiH7VSNYPXCAuIoHF5Msj76v+LV
UM7TLrQLzvA20UlsPtnFLJviTmVEbPO2nA6BFbpbSq2gWHiNeerSqyrn/VhYQXJqVIwX2gNDT6kw
wm4ObtWqOYLSHKXvEhkkazsS5rYiWrN1XYd+Qlz1xlVUGPlhZmNLmHSpUuRW2xnB6F/M1DWuBpex
qIWstQ3ECH8PN/eD2fpibZC3+ug1ZT52xwsRUGq4htHo3MjM4RbJjWg6GIOMETjN5auiKWrIe5eH
qo6+ukN5lEQiUL7nAUS5wjnoGz4du6PdPOdlI548V0Hujg0FDS+SWh4cwzHWHemVfVXZCrYekUcW
8W225GhkV3lbnJFyFSeACIMCG3U1hrAeFZovYAF1VVND/WK4VEmENGw+Fa5IA3DMC4GK9MvorT3i
m98cDsz3zoiFoRo0Hfdp1r2HUV9jB2/BPXdz8lQZVX2i6cza+A1zANla3V3b9Idg6psbbkPOZ6G/
Q+a7cnWL2qEIj78U2mqtVdAQOPBN7UEomqbwMck91GSYnOFnDZ/jBjwWRwMf/XeNf+vdM7DyWD3h
/3Ws+/A5DEy1GeZ0bjjTzPYqIWrx6KbkZ8JRhG+yGfy1EZNGhu3p4Nh1BmuHjkFbalCUe6bIQb+d
6FAH/+J6NJYiW4DTdD503HgPCRL6kXhSBKQO48Y2VgVR+TzFAlDJIFc4aDqz2shKmE9+IdT32QEk
02NZOROUSe6Ix9J+zswZbynihl4jr4oNggBQGWmEB8tFBcCzBTbTxPIjDbBZDoFwcoh2cK0TWe8A
UcS3MrKBsJlW89UGjPPdM2FCV34YEg6lS/xk9n5WAQkv6i/ZwIlmRVA6WPYUcfVQJn5mbKxYzAtq
1g2j40I57Teqk9hXOrCgGJVH5+QotInMEAoHkXtVBPh8MGqU7JKy/FoATdiKbjBH6JzsFdnEtDyX
5Mo3OPfjnYhmMAkjqDQ46u6wB9iTvLtUvZ1yjXBZZlBoVlblWc2WE7aQZJDs/uC0UOZ7vHTPjLRr
TmC5dbGM0cOL53bPOqRreyhI7Re2V3yMnJa35IquYd8A1p9kdY/bPrjPVUajWRXr6txlVPC25fw4
pM6I/0vExJgUIEl7Cj6rTPHYZ00Ai9tvdkbYWUe6OnuqfcqOmrfRmIy91WXfshCysENlKelmF0Np
DZkyybT60s5JeVS8j651kVt3neNFRxhzbz6wzYeIKrC3NC6QnSC8b1oiczzCDvCXOoKhQJpXqU1n
VcM6Z8tYTEPwONdCAkC0gU+aAXZTdLU7cgHZ2rdsxk82nI1pTE9RpvUFRit7CS+dHnXuN0TWZ29v
humVpmPuJB3fuiK/YT7TzYW/i2tLDtnKLv1Q9i8gpoJtaKqerTRNHhmE2E3IS2NgqEQjY9zE4yVV
3lvqTXcG0vieYVX3mpqdv67L1rudpiw4a6GfJqf02EJ1Ex4Yja0+K9tsU7rVH8AXRG3PTf2vQ5e1
e80HX5tD0dzYAd6GoKNsvO3jc26CkHMjA05QFT2bIrBPSndfsabTFjExBQ0rrPbBeD2NlbvphN3e
pHOdXPl194g7rNrkRa3fVZzS/WNWjMuqGE5A5cHt4CH9o6kp3svE7pkhdKG9dXDOeAjYrPCOsuVX
RpTlgVJfgVVGhCSTM8yM+DFtP7ytMrffw2qfjxZc7aNZzAz9csqTWjfwl3y/fWX4RbBNAsM6tm0S
3xl+6Ny4Vl6u26jSX4bM6+nAEfdQeOwzM55xk6jlS+e4RZVVZJlHjXXZx9oypzeDxonbMIv5lE7V
3Bdz1JCf67A/K5Z0OsCG64kvd9UC0gJNkpjulykjOmQmjoxwnM72a1Txx7WTB0ah1nikPMdHygjF
oS4D54HxO1gKTnAzDWdLr1FND9vQmB7v9Xk6CvAwb+y3sE87fkGEDi7UyiE4wkob+XfCopxjqvru
RXpMJHONXXeILFJAdQK3Xco9CVYLC2rOsDFsVXfTjCW1EcUACMlDBseQUk0PtkAxJOEw7auFXr5x
M/nE9z/vJ7vLecuydQHOaK7LhGTfnGq2kwheR9OSh9Do66+KXqiNU1tL0LEBhihdWp0gQtzlbv7O
4Vmwo8TZ1KHI0LreuyeTqThT2xKZGGDnyhiC7tT2t2bMlx3MAjApXHPmjYtMiGdd3o+WWrQ8f341
CzAGsuMB4LxSX+aOBsBJUzEGvu3g1zrbVmbbbGYDyFRHDx9Q0uDQO/MhhOy8wyxIGlaMFy8B9FPQ
HnboywWX4GSQsPoEJnlc7ibI7Gv8WsnOo8TuK6uC3pUVOJgOCzl18E5OvEKhUtFa81hp9zZUORwv
PLvbIKYL1SNSQbkkpV+xiYypKcI5eCLQb1Wgb+oyKo4yiYa1qXzu3gQK1s5RozgbMmg2Skcer0dO
ZkXnJhdr4m0RmuG7qQ0CCNV8m9AzQsNmmr8QNeK3ycdjlxnfQ+n3pzhna9QwLL7xZ4VoCU1Vjdkb
1Un+jtxJc0iId66BvEf7BMMYaMz029h2nwzxd/8rdv1F7Poou6Ktp8s3kgfFX1GMPnLT/xw733+r
8/di+vkf/NtA5PxL2JAVMBB5FruYRTT600D0O02Lf+SaNJYJ7EOmZf7FQPT/V1T8C3pRoCUgZfmm
qxzPsfk7/2ogYqdCn2G79IlMQcjhu3FZROiHCMDaxHJ06rPrO+MHeebm6i+X6G+YCqhyP2ppwuKq
LCwFQjUuI/YfP1nRPpoYIcwlgul5gGAhxNeKOg9FyZKeOurf3YXFjnH0W5N3SL+//3hzgUr+oOUJ
Qm/SsW2fShziZT9BJ1vZEGlxk3KN4lcyPU0y+tY9lwbwkt6zp3Yys2+S55TJS4pdPEZpL/ctA9U/
cQ5QFv6+KnpBR/z0eyiYl9iP+GW4PZbr9BcLVy9KXhOTgWMigW0i7DT6IukaRIoZjfgf/uhFn/zp
s1wKXVFWXQf10vrpmutBD3PP+HoNS0/2j7waPJyTGKLOSAFc8750xn9AZ/x6g9nKwoHkgxgxbUf9
dIM148BKRMpwzZt0US0akkdXWdszAG0xdu3rMRb6Rs2N+Pr7L/jvrisQOGEK0KA+MvCP17UpcJBY
2kwhcwS1S89MEiRHezRI3Rkh+47ff9qvdzMCNCZA8A/cTPKXbxGHTTemdM2kWeacmrwBl9CRpZpH
NsC9ifl5mjn5M+Ms/uE5+psLjCrOk4sBiT/U+en+0V1r0xJj50TZXOfUJxxAw94UmyxMPgkX+Ffp
cl/9/q9dvrSf7iNMjxbivcc3Cjfmx2s7zkzLcIHnjOAd8dUxS+7UxMXM8/uP+fUrlIKJnYC7wT92
FcOGvz4ahU0PhKVHGp0YG4qVkS5xIWoZPkFFcaL//Yf9yngRXD4+xnEka6/384IAojAtKstC4Epk
8qyYAoc0ioluj1zQNdtRuzJFcI8iXu6djT1maNvWW0MrZG5cLoj9PCqG6h9+rV+vAdVlrJLMNgQv
EPOn5yf1sGcTemGUzNhsOgnafgDA+elwjmP6HX9/Df7uw2zspKxFS3n9zx82T0JGY5ixJuqBBE4l
4r0T2lG0auSgX3//Wb/eQ8vLzZQouyxJtuP/+OVyxJPEUSHfDnHn7+1k4B7KNWmB9e8/59cnU5ms
8thATb5V4fx0AdvARJmj5mBdDzQbJZMBkW4YnE020yOwch0//BB03jzm0LCSf/jsX9dbZXL7StzD
rO14kn/8G9uiCdtRL3UFyuLt1sUzIGHmreR+rMSifE9bvHp+//f+zXXFeyAtrMn4j395aCqTAweg
i5xEITFKmJjZMyuvt/n9p/yy6vwJROJNwrK34HV+/Mt+AiJ5MgnOQeXJ4x8spFF6aHI8vH+OWv/H
V6X5i92ZtRWx3V1I1sunLtf7L+/KsjZ6w+5Hqt5QL/1TQOT7wAFBr9Immr2Dkc1TuMfYlZFcKjtu
qAkwx2dc5MWhEf3sk/JSqX1Iu8Sc/+Gr/uPZ+GFN5It2ffKL8HeYYv68n6E72W8nmBcchnW599Ce
+n3iOsSmTAunD4p4cqKwGLxeHvpU92DkYMyA4SKe02+x8ivcnCN56q1nd/E/Pde/PARKeB7jdMta
1jhX/nTh+pGUAlG6eU06lGBM2+dvs++RsIHoGt/jDjHEOc4Mbkz2iWwDTcYA1naaLYXfStsvjhqK
g0WBs9r4YW8dySPiJ5M185pNAyVxQqHTLMnYX11A20mHiNj5AxMOvkaQBZMuEKJqbqZ1j0Nt3k0j
3SC7ASkHWc6gDmclAc80K4FueMaB6H2Dd1OMhyZwkwRlH/8y3AGP/w9TOnKxxfT/GE5+h8q0PFtI
qZzXdTTyS/hdexlrM74j01jsrDxOI7rGxuxDgchbOGEYKLwRc/EatYKfGBv9eEckbml9Gm1M6qGs
ihVoA3ZE7Zx76SuhvZGOApsx6u8fo5+/F1Z1xdKn+HJMgE/ezy/SLKXuC47/2sBvtcPpSXOnRNbp
/mFRWN4WPBt/uT+ZVvPzGQATWGDe5Mmf1sFkJBWNtcYDkh270bthGX7NMHcqEbRETOvDXEN87Asz
3s4i0RDcWvsuiAl0AUGhnwB+vX3tjovqUoSchpE1ojvKOXZZGl1TgwSzmyl8uhqGRK55pwWXOWVi
uLF58BAkclwec5Fne0aLFobSYK53Qxu/zVZvGNjkYDs3Q+xuSz1k0Py0IHg5HcqxSr6IGu44VJx0
eIhlD/iBDQ+DO64mjCJt4YedTJwzblXdL0tiDP8gkIcgUPqO2CGZpDhOk7X2SrfeJ1iiwNvi7imx
0Qf2kfVAbaJCgowIlCpmUkYpciuNCOp+0Jiq0wzFOzWEC13IEPUm8I1KkxnV7j6KpnEnlVPTNg82
8QVXzpWWdHS986Wba9m4Dq4ZfKjN3mCmQwkFbx5c6FnePwpkAkQRMguNxlbbtVNyb2JGBJ3Nb0GT
eOUa7sGfPeNInXKJNJA194GY9KViXPTACCX/Jok8YHGMKoaCcGcaQq3Y2/aob7edryt7X2ce3dMM
Jf3vtTbrkkfNcL4EfTHSaghuMsSGjPra2g3In1qN3R1B9+redPrsyuU+uS6qgFhYS8tY7VNTbENL
4OKLm2KSNVANI9nHHtPntWEyf2WMUeEgxYfxLQomciSLYbTtBv9LzR11gcGuVyWTKSZJMXVy2WDa
r62oYKD43rwqsuDZKQbrDu8kBPDZ+jQTzFl04HmQvGcDRw8ezGnn15kvVqFU1nnK3eREFsy5aN8c
agbhoUuUIbGhbsEb+D5OqvTWJT3R1h7gtpneZIH+UJG7VDBBH6utYdr3Y87gQs4ZSp9nm896SItw
D63d2ulEi3srkVimhDNCa9L2UgD3UQ+Ltc+hcx5c+rzSqd1dVKbbbUZ/3D6gyi2Fho0WJssEdBg3
Ysu8l0ZZMLpcwcQwXNJiRnukEKEFLhqQXaTYr1aPUG4eIytowyOHluwqxUgXobvG4HjJJSTbuZ0o
ZSKky5VM4cPgjQ55jRgyW48o6Xf5bIg9/cpi05lyPlODOB45ZoNLq+PX3o7gAST1Q7DEYFrcU1UH
vIj29jpxnhNOjiuuqsMAsLiaxgAwM+/x1cDCRcfLALXIyNNdVnVMs+fedz6txJ9Bg2OnzsAlFeOt
Lps+wIccUp+aLmVeaK+YQ8huzulYb3sE8vt+NI1b0vF3UMXAuVshZDMneiocx7xSfvigCRved1MV
f0agCK4KEDpJ2zz6sRNu3JwWgNp51+P8nqqavDGVd/0bu51PX/JyG43+az1W8gstdIAgOLlcjbNF
g2afX4Ae3QJsL074wIwXCHO3zqjwRYTxqzl/1kX85IVYLRiyrGdvOk4iPLNIkZ7s+q1qm301M2ry
qTbdgjJ9DUMfVItj3ZoGtLTW0bukmJ9s1Y7rXIyn0B3PtFFmvE3BSRumvafC6ns3OUx1rFck1K8i
ip98PHaUb5WA2hkWgsoa30EwdAk2kumD/d1ltOdHT6T4OuCqrCzTwOaggaaXRU4cFtia5h4DLbfq
a/NSBfBvIl681yW+ltrU7crqR5cxQhJuIte8zeTENzRTPh0l4TXbz2wVZPBCYu2Sg6KD8QZGMFSE
nCyrSfMsnyCcI0gkAWh3gHSUUzTMbHZdUZF+g8ZKSqxikNHamjFza+NxSqlWsJPHcHD3bHVmNghO
tR15Trp4Ge7q8MGyeYa8osQQLOjLGqDrWPE3D1EbRtzseJu6siSpdtP5hA9vw8PLjfGzzZz2i9Oa
xTHgObuGNIWzoKD4Xsf86gu1wND9bdqYmEgNa3yQRt2uzbx4ElN/mlVdb4mjc8ggGLq2nArk3XzF
buI8N7hy/Aq5bjY1fGdfbjMrP/Vm84VZ+7HBq7OPRxqdKcDc0uaJ+cAmze44o70JKS0ExwAjgrLf
J4WiSLm6KfhicvVIcQaY9aZ7SlpzZzjhfcb+a4VKMWLvHu7TxPsIXRzlrLEh8C+n3Woj+misENeu
xYpYFGpaKYBxODOJXvkQM86J1h9WVFP0k3pHv7VpjsqK757R0UpR5vF3jofEjLNAbEGkRZ84tIsT
wb18h1SfPUinzZ5mcvhbaRFp6jXeUKELzQJtRps0THdzKvbsmvd6sFDOXeubBc2Guw5Ro2um+Bzn
BcZ3PeFslrhh+oe80Ndtpy9FMyZfxrG6p8vBWRv42NaW9j7MKSNVGGX21dzXFnrWRIYFBvzKrChm
yiC7Rm18M7M6X+qqvwinZPwxQMNzp7Usx7Nd4bN2NNm2lMOFh//fo10UetuxMpzreezvrYiK0K7r
byyZ3hAFegzmnh0nqsUhHfrv5dyWK4Bq11Fosm4UxXVvdUxSQqxi0hDfXdjt9IDbln2Kbbi1WJpO
KRT3VZnTomRlA4WiIeQnuqvZZairoBnvbdrm4A1xIZlc8oXn7asijLhRIxUkLDjVyiii9EaEGKjs
xbTkF8WT3+YfnGwoPsOKBbqGesRNjfDHvThLMDhquqma6djWPk1snf/KAu7gLZ7fgj6OaYaCdbEi
Bc0+xQivzdgSZzlmmnnqUn46d/dDzk2JdEGDcJpNqygOFqNs0JONWyroSorCiiDZLQX2lUj3EUMb
W1JegTKOrdrnTU5GZF3r/H0wfGxDZENFbLQr1AB/53UtjZoAMnMJWa3p7duCffR6YIYKvfPaJcJB
VyB4N2zt74yZTvCJx9s0SLF+hXJhVmLOZbz70ms3Pv9ZDq+Dm7LEd2QiMCxt8ALnoAoPwTD90QQv
K/NEBzOWyGQrvJq3cVF0wPhwIoA4wxP+75L3uI8+XBVfhcu1xab/6FAVBKtDqqvBqeFKU4W5qnJk
uNrKzA1OkSWT/Zf6doZbd575R3d75UCGGKtm79rGc8CpbcDswSgMO7gi0wWPW6Z6g6LxaWV0Zsbl
aRbGvhZE940u9aHS/KdzHVX5SeTBZ1KQvvl30brEBlOW6mFw8tu5wUIJQOIVKwhun+GphCERdbxh
m9LcSghgO5ISS2dmdod+mu3Gri+3Vk5XxX8q082Or4Nc1KYskuYmSQY27C7jpYj13Q6Ggw9UgUCw
vY8ckgfhUD9UFVUuhqF3HnoaNcHLhsegt7P13BWDqmv8BxcrVDcyR25yRwNUWAuxTKTt0Z1sevB6
CRI+C09QaIt96cxcoNbAiG+4/luM2rMNaMBeXgXOZvSnOzrhTiDNSRON/U1flB9qYrrKDDC5Lj12
5OymX7y8ulPeUNDt6UYHx4p5anDCK6IztWXEB8wDxlPMqeQx9PyvROCQi9RVL6qL5xqPDra9tkEg
HF35PVYeronZ5uim1Jvw8YrGLpPHQVUkhO35TN4X5igvAbbY/Svy+nvXemqBJemtS9uBO5jWit6a
XblAPCGmJEcQ/I9p6D1EEQjBEdcDnuR7hWX2RlhUEMzl/CYH41i3GoITjNhNZqvLmC3UhSYItnmo
74x0Mbou1IXEVQThwNQmeFCpXHIYejjZBtH8Ng56epkZ5+8Yt9yXVfI1rTuXaofotlwgCXM7ZnB7
muq7NLN7+jlZ/NGRMDxicxVkFquJMmJ7uDdJE0Ibnewnw6Q11RpI0GVBiJvBbMZjP8y3rXJauAm0
NjhhAkS4mnDSeFH1nuTdNWTcM4ludazAFmxsTj0b3lf4CdEC03NQxPNpjPvXtsjcNUEs1jm2IzNL
6LXyobsTPHaLQ0C9iAE9gUG9365xmN5WbXBLL/px6LsOHEPi73XZ8taZFFkTOaSUzYHGNb3Iws9F
eE5Yc71NbNqbmGyaKz8hUzM3B+WNLGesLCtRqe2UGwW1lsBU0D0wERZPZW58wwPk3Ymwic7Cq6Zj
qSprl8d8zbiwjW3mDuHZ7qvdYrWKBov0LpbcvuCD3czY+7niCfJoqae44C7x/ou789iNI0m38Ks0
Zp9AegPc6UU5lqF3orRJFKnq9C7S57PN7r7Y/bKKlEg1SfW0BsLobhpoksqqSBMZ8f/nfCdd2GV/
6zXVLQkF5bQFbQzB5YjZbCZXCNnKDuxjVV5k4FomqFqPtcGdOwbuyqhPDV5eLHKixL+sHeuaFEB9
agzivJCNuz51zuCkLGvUESthc5rAIXeQ79t56JU3xF7fKEEhb5B3XLS2d1koUF1pU5PCEnyUm+KI
8F+YioZ+DHatw3CsrgnHWg9DN7eLHEGgYFvCDoZX9cIHjDMhVmmUNR+12LuoY6yIWYXzhwzt1DYy
VZmadtofq8IggaFxVkHiXigwgKeNNWpnW3fl5BjskvY2gbg682Jljp/6SOoim52y8keVd+OzmysT
n5S5uRVb6AhjhcbaRLgY0S+LrNFGQ5YaZTM8LK25kFohCF02WueGDWN15ciuH2PhlKKE+IAcYqQU
hm4O1gjHyakRs4C+RPnHa7qvnLhcGuA+TwqClS86LyuAuDZMfpIoWTIWWqCdqrHIqGYFlS6Rhk7N
Z+plhvqZSo5xK+FjWkqy355WmulVRwp5orc54sezPKChj1g4kGKCGmv1HF6vy8taadCbZ1oczwli
J5qJR8qGBVi20GZq5TrbCxVro7KuUdj55ypVZVirPZxF99qx+wsg4PI9jkRsPPaW+Y4E1f5eEwOg
LRiipEuHa9PrY971Pj7ahSzL1ceOE8QdVhKcReoVO16/uTDUBD4f9SypZLMQ+ieu5F13ujIZAPdP
uy6+dNk8x0N9rnrOBYVgLDqiradwoc86n+wT4prCE7yZ6AU8t3TvDT+MzvwQn/HIkQ4zGUIBAEuS
x+4LYVtz4oPaFVBQEElR1iKsJ4BhKkvcu1Pgx+1StN6aeHaSzxDAnoF92TR184HQg2xSFnIN8Ez9
mNr5rWUFFOEwvFKx8a37sDMk9hxgDWhTDZvAwUAeWv4HHw4n1UchN8uEuQSxv3Eb93Z8RXrvnZrw
wHJvZAZYBOhcEn4LvMKAiptRQOxmaUXq3oC4E/gxokFEku0sAUBslc1K0orLoNbOKjzTM79T3Q3J
MUAQwuwIi1F35edS0kCvrtMt+zLvvkiFfR5DJ1x0oBygv2FCHYIOd2UlgdBo20sKlLDM7LXfmsN5
16D5lITXH+GZZz4LR74c9txjOfWMKx7w7QjdDljNnz1jbYcQ124OeG2Xxs5VD/prxWtRTAQvVtRm
7PHIwAjPrSeY9iCn0tpWrHNPC5EaO/UBne2jObnd47IHFm3lvCxt+SZGHj3ZI7Fb/IE3zkABwQwS
40qBSUG8heKjusbM2lWFM+u+MK5tfAkPRmM0t/U+wKPSbwtFtjc+MhSCQSTW4UYXnsS2i0bWpouO
wlWehAUmR6dXN5gC6mmXG+SwP3Gp67J7CK3yZM+kxtq6pbN94FG3RdZu98BpnpjFnjat4mLd7BHT
osiTFazwemUTQLUcrTfLLDeaG63r0Q4Lx7zDCaHOCxbRU5ZSykJ3EgUpgVrP8b5HcwId5gGlIdIE
e3WppaaN1xbKLNK+A9LZbAJ/mqlaRMhk2Sx4ACMSQJxmYhHKNBF2edf27R+hli56W3PnIAj8Kekk
0OF9TZvFWV+GRyNkK7vyhJxIs0Q1xUmFIRxYnNbIN7rh8l5Qc0DGnhOiJk97Ciqm3E33oGQ16OQj
zEvUz94AJVeYm+JJIbpm0ch5uexzw5p1SasIpvdYWmW9GZ6KxMzXgYfxDtJuny0yE+Vzb3veFcRK
4yQN62MpIVrK1Iz4Y1wF/kfIcWg0lZJcywQp3FaFzLZwKBzvkEcpNAm0DjKsF4it44S+fhyWrj6n
jz5amUWpPORjpZn9UkEQuFuzUOHZ8fRpp/ohN2RvODYheFHPchEbpqktoHUg4MfVXY05YLAFrItM
DtIUECNwc0iRQlCpkKha83xjPETUFjrbQW56k83J4Dv7lPrcBTAZiGzVuBXhPoNMbXetVHjOd1XV
Njy9VQ2Q3UyGVHwKOWZ7pzmCd4FC8rh376iYm4/loTLBWiY1Rl8cPfFtCdR37EqQCzGvYSRIk1C1
c+TkDas3WNcRhRSllkeRt6sZK94VJiR5y/SCKznRzXsv8cxzhH6Dt7T27QSBiThcsTwFVuwkabms
5SC3L2IyWhooFY2lLdyqjOB9Y9r9kJkxN1UamfygazoNhzvG1H0hxJLCta92vZj6fa1pZHCrIEnX
I8w1OdUKvTuP+zoUOPFlbek3DWYpYfiuNa2pO1LPFkkv3ydFIk/JarazXaVKpX7WN6aezEMjIQGo
iVBizgqvlboFqCxIIZTlYcl1vilLc5qXiQOoEeTDBD28E621wK3seUhVdYZLYMZ2+0gZpIte76jI
2sV9YllHmtoeOW1+2bVRe5eFlJ8d5UHCRoaI/gx4F1rIEjJslYPUhwS2RPpoXAyUW2d26SvQFPyP
Pqtav6l3dkWmXmS1w8cyJpXcphrZlwheo4HaHTsu6g3zHl/GrOpac9aHFFzGTby/0LPcYqv5SZD2
6U1lU6Jt5JWAFhv0TpOGnOmpJz4Hjr1spPaT4lXmaWY2ePudDhKEV5zxT/QrSubRNdAK41ZW8nBZ
G929XZGCGo5W6ILV9pwtFGzwuFCtdcZ3BZlq2VxiypRzNORYgYGS47U40uUqMy/aOLZhHjkNs0En
zB69aAMqkYzxjkfELBLtmCid9N6DqV5MI1Sh+roocalRaxjzZxYQIsJ2SUYsG3rdiKAcpz6p7SN3
j+0J+0ZoZboKmZ3Aol4/hgfbZ/MiR5o69QVQhLnWFqYFKV5CWZulaposuGHscqE1TSdvYH5KIGzJ
9DSXaobRYa5LSAzcFNv6idJ4srlpMQpmKy5vMCxxVKnDzO0qvrdlQUWaoBmhC4uaw2sRVoKiuGDF
3HnXVdzH2nHUYc8CuCLx355ZCG2wnMGZ0/ISae2QuseC5LVq0aVO6S98+I7y6PD37Ekm4LsfJwro
uSuCKYWyIQiEpHTA8EO7RDgZ5YDh9tNEY4d18qkxzSI410myTE4iyJnpTG7rkiwVLffKYeJA95BO
HDNXgyVHdilgCD/eKBUKeoxAxZmnC3ZYqkWcuZEl/oOtR+UZ9zDQQdFolTTXECq0t7UD3VgTHZJ8
R/LLJdZDVPx4Y9zzSM7FEh1ZO/Z8bgvSNe2Jixd7Jlq6lx7rztPBS4MVvbg/HGv4wCuVTRYL8E2B
o/SMybvaBLq5SRs4UtjCzCPkCqPyo6WWoxnVUaJmA3ZmKHrE8epTpXBYG6V6u8K/6U/E2HzvO/pa
U8Ostc+1DaqOnrl756YquUWU1fw7onf9dlG2iJLY5QsRLilBs7ZsiJY/Ruvts6jD5b00Sq3YxJZG
IciPTec06fpuqQY2ctzaCQ22ISizXfS2IRCwnpV7ArnmemyrLGrize46EcHW3vsICmhQ81oYjz4C
T+kvJMVRL8B5tcFRa2NpsySSbAZZvqpVoCZ7HwHyDMAbr3kIABnJxfqleyBy3OJKFSq7GgpyOiPp
Uaf/Ba+AnEmcU1TCrGa/axHQ00ENpnRq1fuYKgKNM6tSZ3sLQESj9RYSa3YRKdad1lLYaRXI+EnX
uBfEO8LDHOX+iXBlZoYsnlpqmp/YAtmvGDX/kVO34KYpZ0/IuI3oTpZRsxJO9Y7K36JCye77bYU/
Ur/VN+p+B6LpGnlR/idlfySICJ080/KTNO0Gs72Mv5Z80Lio8fEWllHCHRa1Zr8lUC1sAZ086fMd
Gnd3vt5X30jzNWUwzw6q/NpLh7VM5/gvqfJxtgA82QvyDaFRKHpVjK9lZLEedPgWOgBQx6MGX6kJ
f0hCOZ6bCHU8Jh70975r2oCnoCLjMoBVhzkzZ161XyjuJcD9g0/N8Jnivs0Nmer+KLZvhG3PVCzt
z8T2NCQdmnq+qx75scqe3ZJiYvbadFiQilCcHLT1faidhlGzq8FpFOyVhhV7Gm+KsboKZloiyauv
QnripY3NVxW9XrSBNPkqoM/LHGOD28AHUh3ZuEw9UBF7zTw8MPuUAg6pKG/L5XszrS4EXTGWry9U
8kUcaB9KxRh3buRsrjz83+UEO7t1+VUPDx/cWeaEtS/r0KJCFziz0JazNY/sigzG4SNqOqraHrVH
OTTFxV4N77PsZ0dbhtFVrbXKXWuAPjKigKRjTfWp45jqmdo5t5E51leVJAmPagPQhZyhLUCO55Py
5CTs7Up1GQVgekEL1+cDSYAsM2KXt73v7LTWLT8nUbqLwxQZP4T3bROq1mmR6UU5yUcEj1XWfA49
PZrdJMjREofGSZQxe+B4jeV5gQOvmdDcXuiFtOzIS1hBtR+olhprVW2JxrGCfOpk/UdM6eEcIclN
kkQPRoXMJJNA/PS5PjFS8osMh7TPZkAv6KoSa6LCJGwQ2BjOxmRc30hSPEv7NIePVXbHEbtx+Eud
f0kpPN10AJwaVs6NnQTmLCvZTkg17UgN2e066zCQTYyeLbOXSL2/KUURLJym8TboPCouBI4qhzzm
4yihhhU3w9UgEwgZYcSaN9zEU5LskFLJztyr9WuLoMwEvdjCsBVvRkNwztpLuamUCOdiEK4Tp/+U
l0o5tzk3OynjfRRoLdgnU+tvBjtvlUketEgGge73xFB1+LSkIXHg+7kJBUurD0aUechc2SRlOLNd
NgZ1y5tsUhjgRmKJbXVGWuU1EK9qrdYtGTq8nifCr6OlQzWNInxXnpWFTUHJgrhMm9jf2JGVTn2E
mqfEkVJDp+zc67Z8RE2RTQjbrmlqayj/HBIvwyLJrwNZQq7EpEpm+xhawFtwoQ9qOO+lxJrl1F5O
PMWkFiwnlAQDpZxivXY2VSp4CxqecSmT0Xo89HVxY7hsYhMqlXcS/tS+l9ZZX8vqDCdidkwVeypX
4lNQG8l5XRvOxgyTYK0qhrIshFTeENGubEQh28eZVxSfKR7Lm0AqvI2iwIpztQB8jQfOAYWX5M6Z
z+g60Caj6eMR7VmFyTLvERE69rhmzAbyvDoNNHWc4g1RJaOib2FU57WZSgRw0rbw2Phf5wAIzl0U
p3MsprzMvaEbMHbH2aWs5lubkOLjMuZ1uCj7JltaOTHRgd6HgNv66t4BRwUtRlCfzk1MU8RDAJio
xUlPmfvSa306wwPeamXaUOpdSw2lxnHJSAcoa+ZuoZDrTTLkETUTZW21sTTxXUYABgAic0tlcxHF
ZUlOROfkE9H39jqLiOKiyZ196plpuiVPtXMlsgjKd5gn3cy3Snz/INazZd8pzAFkKs175GrLxOqr
+RvRno3ckPeOxfgx19OjpqJO93GeuqfKf+yjPCvBmqzpfV2+yQ0onq3+pwDPsLCTk44t1sU7AZ6I
BQYs+DTHXg/vbCjjZ6tDZKfZeAr1a6hv+kwi0WRqmhUZO5mRpw+9lvr1/LUczg4SeTytKnmMC3Qa
uKYEc8vO5FnqJqo4AEr7wE3HVMpN9TVrMzYGNGDsG1skvyRsltVgUU8YEHKO6ZoR4QznhDHAn0ta
Zj+zRxk3dSXNPiso6IUIaBSBBRJNBYun0Bwhjqk7ZUduakuiZGAQ5gmhDp2f0fLQu8bIJn6TK/1U
0WtvJ1chSAdyhaZ57kdrVUuVe61si3XlDMwPhtbRxdCG49yhB+gBpTohKR4QyjDc+11q05Gn9x0Z
zGNtEBxHGNpPtU4mICCXWmz35rhL1rPPut2uKhmyYOGEJ5lVfwy4yakmdoE6DTIf7ltg4Nru9IiN
TZ4DbUN1lZ4ZKKY8wrAEsx6r7SUw+mISqAGVpVoLCzAWboYhNCmCidknGWMinhgJkq1PGtN6oIwX
LATW5NKA/UKobjmGBYwo/EimfYVFAUm2OZEV1C0hZfyF34tkpbJpmGqd/eBYHiIHxJTgn5TqQygp
3sqBv1LO4qoQS8pRhNPCvp6x2ZUmPSbzc843OiL0eJuoC6GTplhRFwNGnEXkA3mSBi6S5Ff5bKCL
IW0ceUium4y958xMWlvhl+nJoCvDuQ3Onqo8eQDDmnmVHq1F95gVFEUv+qM6zaBJAp3KnndBBZbF
S/H58jt5XjJJ00BOCpmKGRIVNiTA9kxNg9Utt83Iw/AXlP+kGtuiftnSZlxgoaA/ZOmIsDrjU6MZ
Bil82AmnIG6tJTus6m5Ig3apaHnMwsFOCQQqpfwOvz8N1TzTCVoyJLSCluiTk8o1wk0rd3wPFn0u
PS/2y14NwkRqygtfo6RZxj010DrNhlVAAfa7oss/SS5HFbYMUEKz2fva38i/s6yudBJiHuX0A8iT
btomJkmRFOYR9egsEZizxl1nBbS1hxO2pVlv0QiuSoFBxmEXvCTTNuaO7VIErsyG3blDR5LVWNiB
zh0qrVZnkIJ9aZdUPc2ZqM6S9qAf/n8TOfs4kNm22kJCCar+ot6NNr4Sv3P5BNieQhT6vP91sCv/
nT94+wC/7faftvr8z3/gEHzxd7hTd4ePPvzN+P+/bz8nQF8CpLLBQ/U/47d+9sv9/+MZ23/Px3/+
OLA/f/UXn/U0qKcfLoOd2IoHv9//on/8lqfbZPfPf0y2BORKH/73X6Kqdsn9TnjPbYuqoaHk//ql
/vmPF1/5mbj5vc9YbpP7+uWBCZbUcHj86JGPs3Ynfjuw25+ONp59lcPjDvrRw+9RZTEZwtL5Nt5W
Qbqtdk9H3X+MhW/u6QfjJfp75+dquxXjpzwdaX9om2Dupx/8/UNPxC7ZvbCu4gsz0YL/6KmZ7ASB
30/HGb+xjWERy9nTj/7+d7724Sal3rdkONUwZPXHj3714Mc7pOPgdbO4rHbfDELRFVTY/4GP2X43
T+CZ0fjvPFV/vusPUQV4Cn704p7+G6C+HxzFye4hig8R3Xsm4G/nWcJslX579S3DUv8Dl2W5K8sX
jzDGGwJk/wN37eR7WeM/eKIm22YrvjkrPBKqziri/ev92kvj9xdvl/n43V6+Bb/7B1/eo+dbwee/
cojv/8XTC+qVQzyOaZxYcOzqz7mS+496+RajRpzlX67rYep5oL8PaTKtnr2lnn3Q0wHGT9CwkTEn
4uh/PFfP/u7b0/LoTntr0H95SFheZC7dF4rAK6O6qrafq99ezrSvTKs8Fl+O8uyLPx/gl7n5Jw+R
HKpnX+7NIX6zQPh7Y3xcUvzEER7WMF/O/SvD+/7Anp2eN67dI2viJ92Zjyun9wZ1Guw+70S5ffDL
r0uLV67Zf93Q9ovZ90b29mL4VxjeYTH63vgufZY7h/XsH9t4+N6L409T3fMp5Sfflofl8HuD+3YV
/Qtcsq/vncOpfmUGeXmNci7e7vBC+0nzweN24b0T/3KP8QucdgsIiMVyUrN0krIcTbcwlr83wlen
8Th7AF9d9c/+6RszOAsY0DaPr8KfdN0YIzFklgLyhG0TRB/5O0uo15YZ/+YQnxY0P2mIzxc1bz4/
rw3rrd3WG5fv5850bOIOO9D3bsi3N7G/wON32KZSV3p3hIflhfQykO+XGR2b8L8wupeT+3/5bflI
5n9vWNQNPotxjbHfyrPE+KXWh8ikD0WG94b4vF5xm4k8SyhXfKmD/Qr351PB471R7sskv9aoYM6M
lK33RvVKieaXuGCPVZ53h7btf63b8PGl+uZ7e7arq5JS7bOy+OFafcNk/HJS3nh5fy0efX9V8r2/
oKA1/slDvNuK3/8PAAD//w==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10</xdr:row>
      <xdr:rowOff>0</xdr:rowOff>
    </xdr:from>
    <xdr:ext cx="6422802" cy="2992994"/>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10</xdr:row>
      <xdr:rowOff>0</xdr:rowOff>
    </xdr:from>
    <xdr:ext cx="5544000" cy="2951999"/>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28</xdr:row>
      <xdr:rowOff>0</xdr:rowOff>
    </xdr:from>
    <xdr:ext cx="6435298" cy="2975970"/>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28</xdr:row>
      <xdr:rowOff>0</xdr:rowOff>
    </xdr:from>
    <xdr:ext cx="5544000" cy="2951999"/>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46</xdr:row>
      <xdr:rowOff>0</xdr:rowOff>
    </xdr:from>
    <xdr:ext cx="5544000" cy="3311999"/>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46</xdr:row>
      <xdr:rowOff>0</xdr:rowOff>
    </xdr:from>
    <xdr:ext cx="5544000" cy="3311999"/>
    <xdr:graphicFrame macro="">
      <xdr:nvGraphicFramePr>
        <xdr:cNvPr id="7" name="Chart 6">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101600</xdr:colOff>
      <xdr:row>67</xdr:row>
      <xdr:rowOff>152400</xdr:rowOff>
    </xdr:from>
    <xdr:ext cx="5544000" cy="3311999"/>
    <mc:AlternateContent xmlns:mc="http://schemas.openxmlformats.org/markup-compatibility/2006">
      <mc:Choice xmlns:cx6="http://schemas.microsoft.com/office/drawing/2016/5/12/chartex" Requires="cx6">
        <xdr:graphicFrame macro="">
          <xdr:nvGraphicFramePr>
            <xdr:cNvPr id="8" name="Chart 7">
              <a:extLst>
                <a:ext uri="{FF2B5EF4-FFF2-40B4-BE49-F238E27FC236}">
                  <a16:creationId xmlns:a16="http://schemas.microsoft.com/office/drawing/2014/main" id="{7B619EA2-BE00-894A-B076-C0466C919799}"/>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600" y="13106400"/>
              <a:ext cx="5544000" cy="331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ndenburg" TargetMode="External"/><Relationship Id="rId13" Type="http://schemas.openxmlformats.org/officeDocument/2006/relationships/hyperlink" Target="https://www.bing.com/th?id=OSK.q8ipaaou0irzylzuJT_2cGwkLTGGlN1nzAjCv0mMLWk&amp;qlt=95" TargetMode="External"/><Relationship Id="rId18" Type="http://schemas.openxmlformats.org/officeDocument/2006/relationships/hyperlink" Target="https://www.bing.com/images/search?form=xlimg&amp;q=Mecklenburg-Vorpommern" TargetMode="External"/><Relationship Id="rId26" Type="http://schemas.openxmlformats.org/officeDocument/2006/relationships/hyperlink" Target="https://www.bing.com/images/search?form=xlimg&amp;q=Saxony"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ed95facaf16ea143c8d9a37cdbb1199a&amp;qlt=95" TargetMode="External"/><Relationship Id="rId7" Type="http://schemas.openxmlformats.org/officeDocument/2006/relationships/hyperlink" Target="https://www.bing.com/th?id=OSK.1f47d46b724ec8a58a758b1f19c59ef1&amp;qlt=95" TargetMode="External"/><Relationship Id="rId12" Type="http://schemas.openxmlformats.org/officeDocument/2006/relationships/hyperlink" Target="https://www.bing.com/images/search?form=xlimg&amp;q=Hamburg" TargetMode="External"/><Relationship Id="rId17" Type="http://schemas.openxmlformats.org/officeDocument/2006/relationships/hyperlink" Target="https://www.bing.com/th?id=OSK.FWEdXFuIlLFpeioS__UVUYuCTdr0Tvr5mZf4oSaW2FU&amp;qlt=95" TargetMode="External"/><Relationship Id="rId25" Type="http://schemas.openxmlformats.org/officeDocument/2006/relationships/hyperlink" Target="https://www.bing.com/th?id=OSK.Jnaf_afSF_ekVDzEGuFzyWcr0ui8vZBSY0ejwxUaJqk&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Lower%20Saxony" TargetMode="External"/><Relationship Id="rId20" Type="http://schemas.openxmlformats.org/officeDocument/2006/relationships/hyperlink" Target="https://www.bing.com/images/search?form=xlimg&amp;q=North%20Rhine-Westphalia" TargetMode="External"/><Relationship Id="rId29" Type="http://schemas.openxmlformats.org/officeDocument/2006/relationships/hyperlink" Target="https://www.bing.com/th?id=OSK.Cr1SrwUTk0Nqf2ZCy45b4mmKEMYqw8XzmuzATnPCv8I&amp;qlt=95"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 TargetMode="External"/><Relationship Id="rId11" Type="http://schemas.openxmlformats.org/officeDocument/2006/relationships/hyperlink" Target="https://www.bing.com/th?id=OSK.4d3d6a309dd136998adb581c307a1d3a&amp;qlt=95" TargetMode="External"/><Relationship Id="rId24" Type="http://schemas.openxmlformats.org/officeDocument/2006/relationships/hyperlink" Target="https://www.bing.com/images/search?form=xlimg&amp;q=Saarland" TargetMode="External"/><Relationship Id="rId5" Type="http://schemas.openxmlformats.org/officeDocument/2006/relationships/hyperlink" Target="https://www.bing.com/th?id=OSK.a1512a61cf778ac466208259f8dc24f5&amp;qlt=95" TargetMode="External"/><Relationship Id="rId15" Type="http://schemas.openxmlformats.org/officeDocument/2006/relationships/hyperlink" Target="https://www.bing.com/th?id=OSK.b375baab95e32e36601a20a4ed323a73&amp;qlt=95" TargetMode="External"/><Relationship Id="rId23" Type="http://schemas.openxmlformats.org/officeDocument/2006/relationships/hyperlink" Target="https://www.bing.com/th?id=OSK.94a4884b2c73fcd347a80d6b3c036a97&amp;qlt=95" TargetMode="External"/><Relationship Id="rId28" Type="http://schemas.openxmlformats.org/officeDocument/2006/relationships/hyperlink" Target="https://www.bing.com/images/search?form=xlimg&amp;q=Saxony-Anhalt" TargetMode="External"/><Relationship Id="rId10" Type="http://schemas.openxmlformats.org/officeDocument/2006/relationships/hyperlink" Target="https://www.bing.com/images/search?form=xlimg&amp;q=Bremen%20(state)" TargetMode="External"/><Relationship Id="rId19" Type="http://schemas.openxmlformats.org/officeDocument/2006/relationships/hyperlink" Target="https://www.bing.com/th?id=OSK.SI-ZdQ7XngmKYXCKFOu2J7j6W7yy3st0Uu3vT9_8tdw&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e13870ca9e6e823ba1e274e02ccefa0f&amp;qlt=95" TargetMode="External"/><Relationship Id="rId14" Type="http://schemas.openxmlformats.org/officeDocument/2006/relationships/hyperlink" Target="https://www.bing.com/images/search?form=xlimg&amp;q=Hesse" TargetMode="External"/><Relationship Id="rId22" Type="http://schemas.openxmlformats.org/officeDocument/2006/relationships/hyperlink" Target="https://www.bing.com/images/search?form=xlimg&amp;q=Rhineland-Palatinate" TargetMode="External"/><Relationship Id="rId27" Type="http://schemas.openxmlformats.org/officeDocument/2006/relationships/hyperlink" Target="https://www.bing.com/th?id=OSK.a59d47b961ae27322366e72c541c772c&amp;qlt=95" TargetMode="External"/><Relationship Id="rId30" Type="http://schemas.openxmlformats.org/officeDocument/2006/relationships/hyperlink" Target="https://www.bing.com/images/search?form=xlimg&amp;q=Schleswig-Holste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7">
  <a r="2">
    <v t="s">Standard German</v>
    <v t="s">Bavarian language</v>
  </a>
  <a r="1">
    <v t="s">Central European Time</v>
  </a>
  <a r="1">
    <v t="r">30</v>
  </a>
  <a r="1">
    <v t="s">German language</v>
  </a>
  <a r="2">
    <v t="s">UTC+02:00</v>
    <v t="s">UTC+01:00</v>
  </a>
  <a r="2">
    <v t="r">64</v>
    <v t="r">65</v>
  </a>
  <a r="1">
    <v t="r">121</v>
  </a>
</arrayData>
</file>

<file path=xl/richData/rdrichvalue.xml><?xml version="1.0" encoding="utf-8"?>
<rvData xmlns="http://schemas.microsoft.com/office/spreadsheetml/2017/richdata" count="168">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v>
    <v>42784943-7c23-7672-5527-06f89b965cdf</v>
    <v>en-GB</v>
    <v>Map</v>
  </rv>
  <rv s="1">
    <fb>891.12</fb>
    <v>10</v>
  </rv>
  <rv s="0">
    <v>536870912</v>
    <v>North German Confederation</v>
    <v>0fdff00d-df45-056a-304e-eca9fa962669</v>
    <v>en-GB</v>
    <v>Map</v>
  </rv>
  <rv s="1">
    <fb>1794936</fb>
    <v>10</v>
  </rv>
  <rv s="1">
    <fb>1868905</fb>
    <v>10</v>
  </rv>
  <rv s="2">
    <v>2</v>
    <v>8</v>
    <v>17</v>
    <v>7</v>
    <v>0</v>
    <v>Image of Berlin</v>
  </rv>
  <rv s="0">
    <v>805306368</v>
    <v>Franziska Giffey (Mayor)</v>
    <v>0f36a115-cd69-74b0-1ad8-5ee6074d7916</v>
    <v>en-GB</v>
    <v>Generic</v>
  </rv>
  <rv s="5">
    <v>2</v>
  </rv>
  <rv s="3">
    <v>https://www.bing.com/search?q=berlin+germany&amp;form=skydnc</v>
    <v>Learn more on Bing</v>
  </rv>
  <rv s="5">
    <v>3</v>
  </rv>
  <rv s="1">
    <fb>1.83</fb>
    <v>11</v>
  </rv>
  <rv s="1">
    <fb>3755251</fb>
    <v>10</v>
  </rv>
  <rv s="7">
    <v>#VALUE!</v>
    <v>19</v>
    <v>20</v>
    <v>Berlin</v>
    <v>6</v>
    <v>7</v>
    <v>Map</v>
    <v>8</v>
    <v>21</v>
    <v>en-GB</v>
    <v>42784943-7c23-7672-5527-06f89b965cdf</v>
    <v>536870912</v>
    <v>1</v>
    <v>DE-BE</v>
    <v>25</v>
    <v>26</v>
    <v>Berlin is the capital and largest city of Germany by both area and population. Its more than 3.85 million inhabitants make it the European Union's most populous city, according to population within city limits. One of Germany's sixteen ...</v>
    <v>27</v>
    <v>28</v>
    <v>29</v>
    <v>31</v>
    <v>32</v>
    <v>Berlin</v>
    <v>33</v>
    <v>34</v>
    <v>35</v>
    <v>Berlin</v>
    <v>mdp/vdpid/7017957146650214401</v>
  </rv>
  <rv s="0">
    <v>536870912</v>
    <v>Brandenburg</v>
    <v>c841173c-24ae-1249-8be1-c2ff2ec02111</v>
    <v>en-GB</v>
    <v>Map</v>
  </rv>
  <rv s="1">
    <fb>29478.63</fb>
    <v>10</v>
  </rv>
  <rv s="0">
    <v>536870912</v>
    <v>Potsdam</v>
    <v>8f8e6665-06cf-c444-7bab-197052cf61c8</v>
    <v>en-GB</v>
    <v>Map</v>
  </rv>
  <rv s="0">
    <v>536870912</v>
    <v>Germany</v>
    <v>2909b0d8-c6de-425d-2303-256336ada04f</v>
    <v>en-GB</v>
    <v>Map</v>
  </rv>
  <rv s="1">
    <fb>1182470</fb>
    <v>10</v>
  </rv>
  <rv s="1">
    <fb>1275510</fb>
    <v>10</v>
  </rv>
  <rv s="2">
    <v>3</v>
    <v>8</v>
    <v>22</v>
    <v>7</v>
    <v>0</v>
    <v>Image of Brandenburg</v>
  </rv>
  <rv s="3">
    <v>https://www.bing.com/search?q=brandenburg&amp;form=skydnc</v>
    <v>Learn more on Bing</v>
  </rv>
  <rv s="1">
    <fb>2.08</fb>
    <v>11</v>
  </rv>
  <rv s="1">
    <fb>2556747</fb>
    <v>10</v>
  </rv>
  <rv s="5">
    <v>4</v>
  </rv>
  <rv s="8">
    <v>#VALUE!</v>
    <v>25</v>
    <v>26</v>
    <v>Brandenburg</v>
    <v>6</v>
    <v>7</v>
    <v>Map</v>
    <v>8</v>
    <v>27</v>
    <v>en-GB</v>
    <v>c841173c-24ae-1249-8be1-c2ff2ec02111</v>
    <v>536870912</v>
    <v>1</v>
    <v>DE-BB</v>
    <v>38</v>
    <v>39</v>
    <v>40</v>
    <v>Brandenburg, officially the State of Brandenburg, is a landlocked state in northeastern Germany. Brandenburg borders Poland and the states of Berlin, Mecklenburg-Vorpommern, Lower Saxony, Saxony-Anhalt, and Saxony. It is the fifth-largest German ...</v>
    <v>41</v>
    <v>42</v>
    <v>43</v>
    <v>39</v>
    <v>44</v>
    <v>Brandenburg</v>
    <v>45</v>
    <v>46</v>
    <v>47</v>
    <v>Brandenburg</v>
    <v>mdp/vdpid/8248738</v>
  </rv>
  <rv s="0">
    <v>536870912</v>
    <v>Bremen</v>
    <v>70a6262d-6ded-6a1a-8a3d-e24538d50a05</v>
    <v>en-GB</v>
    <v>Map</v>
  </rv>
  <rv s="1">
    <fb>419.38</fb>
    <v>10</v>
  </rv>
  <rv s="0">
    <v>536870912</v>
    <v>Bremen</v>
    <v>4967dd9c-327f-ff07-e2e6-cdfc773ecd1e</v>
    <v>en-GB</v>
    <v>Map</v>
  </rv>
  <rv s="1">
    <fb>331078</fb>
    <v>10</v>
  </rv>
  <rv s="1">
    <fb>347340</fb>
    <v>10</v>
  </rv>
  <rv s="2">
    <v>4</v>
    <v>8</v>
    <v>28</v>
    <v>7</v>
    <v>0</v>
    <v>Image of Bremen</v>
  </rv>
  <rv s="3">
    <v>https://www.bing.com/search?q=bremen+state&amp;form=skydnc</v>
    <v>Learn more on Bing</v>
  </rv>
  <rv s="1">
    <fb>1.97</fb>
    <v>11</v>
  </rv>
  <rv s="1">
    <fb>661000</fb>
    <v>10</v>
  </rv>
  <rv s="4">
    <v>#VALUE!</v>
    <v>30</v>
    <v>4</v>
    <v>Bremen</v>
    <v>6</v>
    <v>7</v>
    <v>Map</v>
    <v>8</v>
    <v>31</v>
    <v>en-GB</v>
    <v>70a6262d-6ded-6a1a-8a3d-e24538d50a05</v>
    <v>536870912</v>
    <v>1</v>
    <v>DE-HB</v>
    <v>50</v>
    <v>51</v>
    <v>14</v>
    <v>Bremen, officially the Free Hanseatic City of Bremen, is the smallest and least populous of Germany's 16 states. It is informally called Land Bremen, although the term is sometimes used in official contexts. The state consists of the city of ...</v>
    <v>52</v>
    <v>53</v>
    <v>54</v>
    <v>51</v>
    <v>55</v>
    <v>Bremen</v>
    <v>56</v>
    <v>57</v>
    <v>Bremen</v>
    <v>mdp/vdpid/41760</v>
  </rv>
  <rv s="0">
    <v>536870912</v>
    <v>Hamburg</v>
    <v>0937ec8c-54f7-94c7-d7b8-0ea8c6cfce6f</v>
    <v>en-GB</v>
    <v>Map</v>
  </rv>
  <rv s="1">
    <fb>755.09</fb>
    <v>10</v>
  </rv>
  <rv s="1">
    <fb>876502</fb>
    <v>10</v>
  </rv>
  <rv s="1">
    <fb>905782</fb>
    <v>10</v>
  </rv>
  <rv s="2">
    <v>5</v>
    <v>8</v>
    <v>32</v>
    <v>7</v>
    <v>0</v>
    <v>Image of Hamburg</v>
  </rv>
  <rv s="0">
    <v>805306368</v>
    <v>Peter Tschentscher (Mayor)</v>
    <v>2a23602d-45be-0630-2650-95fb175275d3</v>
    <v>en-GB</v>
    <v>Generic</v>
  </rv>
  <rv s="0">
    <v>805306368</v>
    <v>Katharina Fegebank (Mayor)</v>
    <v>c377ae49-ff24-92fa-c4f2-73ce1e206693</v>
    <v>en-GB</v>
    <v>Generic</v>
  </rv>
  <rv s="5">
    <v>5</v>
  </rv>
  <rv s="3">
    <v>https://www.bing.com/search?q=hamburg+germany&amp;form=skydnc</v>
    <v>Learn more on Bing</v>
  </rv>
  <rv s="1">
    <fb>1.95</fb>
    <v>11</v>
  </rv>
  <rv s="1">
    <fb>1892122</fb>
    <v>10</v>
  </rv>
  <rv s="9">
    <v>#VALUE!</v>
    <v>34</v>
    <v>35</v>
    <v>Hamburg</v>
    <v>6</v>
    <v>7</v>
    <v>Map</v>
    <v>8</v>
    <v>21</v>
    <v>en-GB</v>
    <v>0937ec8c-54f7-94c7-d7b8-0ea8c6cfce6f</v>
    <v>536870912</v>
    <v>1</v>
    <v>DE-HH</v>
    <v>60</v>
    <v>26</v>
    <v>Hamburg, officially the Free and Hanseatic City of Hamburg, is the second-largest city in Germany after Berlin, as well as the overall 8th-largest city and largest non-capital city within the European Union with a population of over 1.9 million. ...</v>
    <v>61</v>
    <v>62</v>
    <v>63</v>
    <v>66</v>
    <v>67</v>
    <v>Hamburg</v>
    <v>68</v>
    <v>69</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6</v>
    <v>8</v>
    <v>36</v>
    <v>7</v>
    <v>0</v>
    <v>Image of Hesse</v>
  </rv>
  <rv s="0">
    <v>536870912</v>
    <v>Frankfurt am Main</v>
    <v>f8c5588a-2360-3601-8d88-1b98e4763711</v>
    <v>en-GB</v>
    <v>Map</v>
  </rv>
  <rv s="3">
    <v>https://www.bing.com/search?q=hesse&amp;form=skydnc</v>
    <v>Learn more on Bing</v>
  </rv>
  <rv s="1">
    <fb>2.17</fb>
    <v>11</v>
  </rv>
  <rv s="1">
    <fb>6265809</fb>
    <v>10</v>
  </rv>
  <rv s="4">
    <v>#VALUE!</v>
    <v>39</v>
    <v>4</v>
    <v>Hesse</v>
    <v>6</v>
    <v>7</v>
    <v>Map</v>
    <v>8</v>
    <v>9</v>
    <v>en-GB</v>
    <v>90fbe078-3753-40db-ff12-40aa58e76c5f</v>
    <v>536870912</v>
    <v>1</v>
    <v>DE-HE</v>
    <v>72</v>
    <v>73</v>
    <v>3</v>
    <v>Hesse or Hessia, officially the State of Hesse, is a state in Germany. Its capital city is Wiesbaden, and the largest urban area is Frankfurt, which is also the country's principal financial centre. Two other major historic cities are Darmstadt ...</v>
    <v>74</v>
    <v>75</v>
    <v>76</v>
    <v>77</v>
    <v>78</v>
    <v>Hesse</v>
    <v>79</v>
    <v>80</v>
    <v>Hesse</v>
    <v>mdp/vdpid/8208586</v>
  </rv>
  <rv s="0">
    <v>536870912</v>
    <v>Lower Saxony</v>
    <v>c91589e2-9db8-e9f2-b60d-1000c3502bc2</v>
    <v>en-GB</v>
    <v>Map</v>
  </rv>
  <rv s="1">
    <fb>47614.07</fb>
    <v>10</v>
  </rv>
  <rv s="0">
    <v>536870912</v>
    <v>Hanover</v>
    <v>8cbec06b-1881-ae51-6d9c-230e82b37dd8</v>
    <v>en-GB</v>
    <v>Map</v>
  </rv>
  <rv s="1">
    <fb>3517840</fb>
    <v>10</v>
  </rv>
  <rv s="1">
    <fb>3816626</fb>
    <v>10</v>
  </rv>
  <rv s="2">
    <v>7</v>
    <v>8</v>
    <v>40</v>
    <v>7</v>
    <v>0</v>
    <v>Image of Lower Saxony</v>
  </rv>
  <rv s="3">
    <v>https://www.bing.com/search?q=lower+saxony&amp;form=skydnc</v>
    <v>Learn more on Bing</v>
  </rv>
  <rv s="1">
    <fb>2.21</fb>
    <v>11</v>
  </rv>
  <rv s="1">
    <fb>7982448</fb>
    <v>10</v>
  </rv>
  <rv s="4">
    <v>#VALUE!</v>
    <v>43</v>
    <v>4</v>
    <v>Lower Saxony</v>
    <v>6</v>
    <v>7</v>
    <v>Map</v>
    <v>8</v>
    <v>9</v>
    <v>en-GB</v>
    <v>c91589e2-9db8-e9f2-b60d-1000c3502bc2</v>
    <v>536870912</v>
    <v>1</v>
    <v>DE-NI</v>
    <v>83</v>
    <v>84</v>
    <v>3</v>
    <v>Lower Saxony is a German state in northwestern Germany. It is the second-largest state by land area, with 47,614 km², and fourth-largest in population among the 16 Länder federated as the Federal Republic of Germany. In rural areas, Northern Low ...</v>
    <v>85</v>
    <v>86</v>
    <v>87</v>
    <v>84</v>
    <v>88</v>
    <v>Lower Saxony</v>
    <v>89</v>
    <v>90</v>
    <v>Lower Saxony</v>
    <v>mdp/vdpid/23331</v>
  </rv>
  <rv s="0">
    <v>536870912</v>
    <v>Mecklenburg-Vorpommern</v>
    <v>b0adc1b4-6fe2-3ad0-81e1-78c9ba53cedb</v>
    <v>en-GB</v>
    <v>Map</v>
  </rv>
  <rv s="1">
    <fb>23174</fb>
    <v>10</v>
  </rv>
  <rv s="0">
    <v>536870912</v>
    <v>Schwerin</v>
    <v>db6e2483-5bb5-ae5b-eea6-5e7832e57c60</v>
    <v>en-GB</v>
    <v>Map</v>
  </rv>
  <rv s="1">
    <fb>803002</fb>
    <v>10</v>
  </rv>
  <rv s="1">
    <fb>877014</fb>
    <v>10</v>
  </rv>
  <rv s="2">
    <v>8</v>
    <v>8</v>
    <v>44</v>
    <v>7</v>
    <v>0</v>
    <v>Image of Mecklenburg-Vorpommern</v>
  </rv>
  <rv s="0">
    <v>536870912</v>
    <v>Rostock</v>
    <v>24eab0bd-c5cc-d320-e384-08370cdc8d63</v>
    <v>en-GB</v>
    <v>Map</v>
  </rv>
  <rv s="3">
    <v>https://www.bing.com/search?q=mecklenburg-vorpommern&amp;form=skydnc</v>
    <v>Learn more on Bing</v>
  </rv>
  <rv s="1">
    <fb>2</fb>
    <v>11</v>
  </rv>
  <rv s="1">
    <fb>1628378</fb>
    <v>10</v>
  </rv>
  <rv s="4">
    <v>#VALUE!</v>
    <v>47</v>
    <v>4</v>
    <v>Mecklenburg-Vorpommern</v>
    <v>6</v>
    <v>7</v>
    <v>Map</v>
    <v>8</v>
    <v>21</v>
    <v>en-GB</v>
    <v>b0adc1b4-6fe2-3ad0-81e1-78c9ba53cedb</v>
    <v>536870912</v>
    <v>1</v>
    <v>DE-MV</v>
    <v>93</v>
    <v>94</v>
    <v>3</v>
    <v>Mecklenburg-Vorpommern ; also known by its anglicized name Mecklenburg–Western Pomerania, is a state in the north-east of Germany. Of the country's sixteen states, Mecklenburg-Vorpommern ranks 14th in population; it covers an area of 23,213 km², ...</v>
    <v>95</v>
    <v>96</v>
    <v>97</v>
    <v>98</v>
    <v>99</v>
    <v>Mecklenburg-Vorpommern</v>
    <v>100</v>
    <v>101</v>
    <v>Mecklenburg-Vorpommern</v>
    <v>mdp/vdpid/8175722</v>
  </rv>
  <rv s="0">
    <v>536870912</v>
    <v>North Rhine-Westphalia</v>
    <v>7192ac29-308b-9018-2da7-1d16b5afb233</v>
    <v>en-GB</v>
    <v>Map</v>
  </rv>
  <rv s="1">
    <fb>34112.519999999997</fb>
    <v>10</v>
  </rv>
  <rv s="0">
    <v>536870912</v>
    <v>Düsseldorf</v>
    <v>33a4f320-ea2a-2172-d7c1-31073fc29598</v>
    <v>en-GB</v>
    <v>Map</v>
  </rv>
  <rv s="1">
    <fb>8130738</fb>
    <v>10</v>
  </rv>
  <rv s="1">
    <fb>8719851</fb>
    <v>10</v>
  </rv>
  <rv s="2">
    <v>9</v>
    <v>8</v>
    <v>48</v>
    <v>7</v>
    <v>0</v>
    <v>Image of North Rhine-Westphalia</v>
  </rv>
  <rv s="0">
    <v>536870912</v>
    <v>Cologne</v>
    <v>3d208265-8862-6a4c-8a0e-9c0291fae4ee</v>
    <v>en-GB</v>
    <v>Map</v>
  </rv>
  <rv s="3">
    <v>https://www.bing.com/search?q=north+rhine-westphalia&amp;form=skydnc</v>
    <v>Learn more on Bing</v>
  </rv>
  <rv s="1">
    <fb>2.16</fb>
    <v>11</v>
  </rv>
  <rv s="1">
    <fb>17932651</fb>
    <v>10</v>
  </rv>
  <rv s="4">
    <v>#VALUE!</v>
    <v>50</v>
    <v>4</v>
    <v>North Rhine-Westphalia</v>
    <v>6</v>
    <v>7</v>
    <v>Map</v>
    <v>8</v>
    <v>9</v>
    <v>en-GB</v>
    <v>7192ac29-308b-9018-2da7-1d16b5afb233</v>
    <v>536870912</v>
    <v>1</v>
    <v>DE-NW</v>
    <v>104</v>
    <v>105</v>
    <v>3</v>
    <v>North Rhine-Westphalia or North-Rhine/Westphalia, commonly shortened to NRW, is a state in Western Germany. With more than 18 million inhabitants, it is the most populous state in Germany. Apart from the city-states, it is also the most densely ...</v>
    <v>106</v>
    <v>107</v>
    <v>108</v>
    <v>109</v>
    <v>110</v>
    <v>North Rhine-Westphalia</v>
    <v>111</v>
    <v>112</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10</v>
    <v>8</v>
    <v>51</v>
    <v>7</v>
    <v>0</v>
    <v>Image of Rhineland-Palatinate</v>
  </rv>
  <rv s="0">
    <v>805306368</v>
    <v>Malu Dreyer (Prime Minister)</v>
    <v>98b268ad-3031-44e9-aed9-56103005bc18</v>
    <v>en-GB</v>
    <v>Generic</v>
  </rv>
  <rv s="5">
    <v>6</v>
  </rv>
  <rv s="3">
    <v>https://www.bing.com/search?q=rhineland-palatinate&amp;form=skydnc</v>
    <v>Learn more on Bing</v>
  </rv>
  <rv s="1">
    <fb>4084844</fb>
    <v>10</v>
  </rv>
  <rv s="10">
    <v>#VALUE!</v>
    <v>54</v>
    <v>55</v>
    <v>Rhineland-Palatinate</v>
    <v>6</v>
    <v>7</v>
    <v>Map</v>
    <v>8</v>
    <v>9</v>
    <v>en-GB</v>
    <v>b2634da1-26f3-4709-d63d-9f9489a33d9c</v>
    <v>536870912</v>
    <v>1</v>
    <v>DE-RP</v>
    <v>115</v>
    <v>116</v>
    <v>117</v>
    <v>Rhineland-Palatinate is a western state of Germany. It covers 19,846 km² and has about 4.05 million residents. It is the ninth largest and sixth most populous of the sixteen states. Mainz is the capital and largest city. Other cities are ...</v>
    <v>118</v>
    <v>119</v>
    <v>120</v>
    <v>116</v>
    <v>122</v>
    <v>123</v>
    <v>Rhineland-Palatinate</v>
    <v>8</v>
    <v>124</v>
    <v>Rhineland-Palatinate</v>
    <v>mdp/vdpid/27654</v>
  </rv>
  <rv s="0">
    <v>536870912</v>
    <v>Saarland</v>
    <v>077b3058-0078-d492-aee0-52b8d21ee39e</v>
    <v>en-GB</v>
    <v>Map</v>
  </rv>
  <rv s="1">
    <fb>2570</fb>
    <v>10</v>
  </rv>
  <rv s="0">
    <v>536870912</v>
    <v>Saarbrücken</v>
    <v>2088b471-d8b4-cd5d-11f9-fa7d193c9770</v>
    <v>en-GB</v>
    <v>Map</v>
  </rv>
  <rv s="1">
    <fb>459853</fb>
    <v>10</v>
  </rv>
  <rv s="1">
    <fb>503323</fb>
    <v>10</v>
  </rv>
  <rv s="2">
    <v>11</v>
    <v>8</v>
    <v>56</v>
    <v>7</v>
    <v>0</v>
    <v>Image of Saarland</v>
  </rv>
  <rv s="0">
    <v>536870912</v>
    <v>Neunkirchen</v>
    <v>6d5a1a7d-ac39-75ad-2f39-dbb5e502dee6</v>
    <v>en-GB</v>
    <v>Map</v>
  </rv>
  <rv s="3">
    <v>https://www.bing.com/search?q=saarland&amp;form=skydnc</v>
    <v>Learn more on Bing</v>
  </rv>
  <rv s="1">
    <fb>986887</fb>
    <v>10</v>
  </rv>
  <rv s="4">
    <v>#VALUE!</v>
    <v>59</v>
    <v>4</v>
    <v>Saarland</v>
    <v>6</v>
    <v>7</v>
    <v>Map</v>
    <v>8</v>
    <v>16</v>
    <v>en-GB</v>
    <v>077b3058-0078-d492-aee0-52b8d21ee39e</v>
    <v>536870912</v>
    <v>1</v>
    <v>DE-SL</v>
    <v>127</v>
    <v>128</v>
    <v>3</v>
    <v>Saarland is a state of Germany in the southwest of the country. With an area of 2,570 km² and population of 990,509 in 2018, it is the smallest German state in area apart from the city-states of Berlin, Bremen, and Hamburg, and the smallest in ...</v>
    <v>129</v>
    <v>130</v>
    <v>131</v>
    <v>132</v>
    <v>133</v>
    <v>Saarland</v>
    <v>79</v>
    <v>134</v>
    <v>Saarland</v>
    <v>mdp/vdpid/28479</v>
  </rv>
  <rv s="0">
    <v>536870912</v>
    <v>Saxony</v>
    <v>db04ed86-d227-952f-dbae-2881e92d2d0a</v>
    <v>en-GB</v>
    <v>Map</v>
  </rv>
  <rv s="1">
    <fb>18415.66</fb>
    <v>10</v>
  </rv>
  <rv s="0">
    <v>536870912</v>
    <v>Dresden</v>
    <v>491f25a2-d7d3-715c-d4ca-3d32d56a7670</v>
    <v>en-GB</v>
    <v>Map</v>
  </rv>
  <rv s="1">
    <fb>2048482</fb>
    <v>10</v>
  </rv>
  <rv s="1">
    <fb>2325844</fb>
    <v>10</v>
  </rv>
  <rv s="2">
    <v>12</v>
    <v>8</v>
    <v>60</v>
    <v>7</v>
    <v>0</v>
    <v>Image of Saxony</v>
  </rv>
  <rv s="0">
    <v>536870912</v>
    <v>Leipzig</v>
    <v>ff50f94c-10e8-9487-0ea8-49b8334c589c</v>
    <v>en-GB</v>
    <v>Map</v>
  </rv>
  <rv s="3">
    <v>https://www.bing.com/search?q=saxony&amp;form=skydnc</v>
    <v>Learn more on Bing</v>
  </rv>
  <rv s="1">
    <fb>1.98</fb>
    <v>11</v>
  </rv>
  <rv s="1">
    <fb>4086218</fb>
    <v>10</v>
  </rv>
  <rv s="4">
    <v>#VALUE!</v>
    <v>63</v>
    <v>4</v>
    <v>Saxony</v>
    <v>6</v>
    <v>7</v>
    <v>Map</v>
    <v>8</v>
    <v>21</v>
    <v>en-GB</v>
    <v>db04ed86-d227-952f-dbae-2881e92d2d0a</v>
    <v>536870912</v>
    <v>1</v>
    <v>DE-SN</v>
    <v>137</v>
    <v>138</v>
    <v>3</v>
    <v>Saxony, officially the Free State of Saxony, is a landlocked state of Germany, bordering the states of Brandenburg, Saxony-Anhalt, Thuringia, Bavaria, as well as the countries of Poland and the Czech Republic. Its capital is Dresden, and its ...</v>
    <v>139</v>
    <v>140</v>
    <v>141</v>
    <v>142</v>
    <v>143</v>
    <v>Saxony</v>
    <v>144</v>
    <v>145</v>
    <v>Saxony</v>
    <v>mdp/vdpid/8145598</v>
  </rv>
  <rv s="0">
    <v>536870912</v>
    <v>Saxony-Anhalt</v>
    <v>6af91c75-020d-7d63-0e2d-ab73f9f73280</v>
    <v>en-GB</v>
    <v>Map</v>
  </rv>
  <rv s="1">
    <fb>20454</fb>
    <v>10</v>
  </rv>
  <rv s="0">
    <v>536870912</v>
    <v>Magdeburg</v>
    <v>6b436202-9997-300f-81f6-a3a14c1faf6f</v>
    <v>en-GB</v>
    <v>Map</v>
  </rv>
  <rv s="1">
    <fb>1127332</fb>
    <v>10</v>
  </rv>
  <rv s="1">
    <fb>1289856</fb>
    <v>10</v>
  </rv>
  <rv s="2">
    <v>13</v>
    <v>8</v>
    <v>64</v>
    <v>7</v>
    <v>0</v>
    <v>Image of Saxony-Anhalt</v>
  </rv>
  <rv s="0">
    <v>536870912</v>
    <v>Halle (Saale)</v>
    <v>9e837cd0-512a-b10c-a9d0-aacc86a0c940</v>
    <v>en-GB</v>
    <v>Map</v>
  </rv>
  <rv s="3">
    <v>https://www.bing.com/search?q=saxony-anhalt&amp;form=skydnc</v>
    <v>Learn more on Bing</v>
  </rv>
  <rv s="1">
    <fb>2.0299999999999998</fb>
    <v>11</v>
  </rv>
  <rv s="1">
    <fb>2194782</fb>
    <v>10</v>
  </rv>
  <rv s="4">
    <v>#VALUE!</v>
    <v>67</v>
    <v>4</v>
    <v>Saxony-Anhalt</v>
    <v>6</v>
    <v>7</v>
    <v>Map</v>
    <v>8</v>
    <v>16</v>
    <v>en-GB</v>
    <v>6af91c75-020d-7d63-0e2d-ab73f9f73280</v>
    <v>536870912</v>
    <v>1</v>
    <v>DE-ST</v>
    <v>148</v>
    <v>149</v>
    <v>3</v>
    <v>Saxony-Anhalt is a state of Germany, bordering the states of Brandenburg, Saxony, Thuringia and Lower Saxony. It covers an area of 20,451.7 square kilometres and has a population of 2.17 million inhabitants, making it the 8th-largest state in ...</v>
    <v>150</v>
    <v>151</v>
    <v>152</v>
    <v>153</v>
    <v>154</v>
    <v>Saxony-Anhalt</v>
    <v>155</v>
    <v>156</v>
    <v>Saxony-Anhalt</v>
    <v>mdp/vdpid/8145597</v>
  </rv>
  <rv s="0">
    <v>536870912</v>
    <v>Schleswig-Holstein</v>
    <v>6dde426c-96c7-18bd-f4e1-b41b7575557a</v>
    <v>en-GB</v>
    <v>Map</v>
  </rv>
  <rv s="1">
    <fb>15804.28</fb>
    <v>10</v>
  </rv>
  <rv s="0">
    <v>536870912</v>
    <v>Kiel</v>
    <v>f2218f64-d98f-3cab-60d5-8f0d625f9ddf</v>
    <v>en-GB</v>
    <v>Map</v>
  </rv>
  <rv s="1">
    <fb>1316303</fb>
    <v>10</v>
  </rv>
  <rv s="1">
    <fb>1417948</fb>
    <v>10</v>
  </rv>
  <rv s="2">
    <v>14</v>
    <v>8</v>
    <v>68</v>
    <v>7</v>
    <v>0</v>
    <v>Image of Schleswig-Holstein</v>
  </rv>
  <rv s="3">
    <v>https://www.bing.com/search?q=schleswig-holstein&amp;form=skydnc</v>
    <v>Learn more on Bing</v>
  </rv>
  <rv s="1">
    <fb>2.13</fb>
    <v>11</v>
  </rv>
  <rv s="1">
    <fb>2953270</fb>
    <v>10</v>
  </rv>
  <rv s="4">
    <v>#VALUE!</v>
    <v>71</v>
    <v>4</v>
    <v>Schleswig-Holstein</v>
    <v>6</v>
    <v>7</v>
    <v>Map</v>
    <v>8</v>
    <v>21</v>
    <v>en-GB</v>
    <v>6dde426c-96c7-18bd-f4e1-b41b7575557a</v>
    <v>536870912</v>
    <v>1</v>
    <v>DE-SH</v>
    <v>159</v>
    <v>160</v>
    <v>3</v>
    <v>Schleswig-Holstein is the northernmost of the 16 states of Germany, comprising most of the historical Duchy of Holstein and the southern part of the former Duchy of Schleswig. Its capital city is Kiel; other notable cities are Lübeck and Flensburg.</v>
    <v>161</v>
    <v>162</v>
    <v>163</v>
    <v>160</v>
    <v>164</v>
    <v>Schleswig-Holstein</v>
    <v>165</v>
    <v>166</v>
    <v>Schleswig-Holstein</v>
    <v>mdp/vdpid/8141652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6">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72">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9">
      <v>17</v>
      <v>17</v>
      <v>1</v>
      <v>17</v>
      <v>17</v>
      <v>17</v>
      <v>18</v>
      <v>1</v>
      <v>17</v>
      <v>1</v>
    </spb>
    <spb s="2">
      <v>2</v>
      <v>Name</v>
      <v>LearnMoreOnLink</v>
    </spb>
    <spb s="7">
      <v>square km</v>
      <v>2011</v>
      <v>2022</v>
      <v>2011</v>
      <v>2011</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1">
      <v>22</v>
      <v>22</v>
      <v>23</v>
      <v>22</v>
      <v>22</v>
      <v>22</v>
      <v>24</v>
      <v>22</v>
      <v>23</v>
      <v>22</v>
      <v>22</v>
      <v>23</v>
    </spb>
    <spb s="2">
      <v>3</v>
      <v>Name</v>
      <v>LearnMoreOnLink</v>
    </spb>
    <spb s="7">
      <v>square km</v>
      <v>2011</v>
      <v>2024</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1">
      <v>28</v>
      <v>28</v>
      <v>1</v>
      <v>28</v>
      <v>28</v>
      <v>28</v>
      <v>29</v>
      <v>28</v>
      <v>1</v>
      <v>28</v>
      <v>28</v>
      <v>1</v>
    </spb>
    <spb s="7">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9">
      <v>32</v>
      <v>32</v>
      <v>1</v>
      <v>32</v>
      <v>32</v>
      <v>32</v>
      <v>33</v>
      <v>1</v>
      <v>32</v>
      <v>1</v>
    </spb>
    <spb s="2">
      <v>4</v>
      <v>Name</v>
      <v>LearnMoreOnLink</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36</v>
      <v>36</v>
      <v>37</v>
      <v>36</v>
      <v>36</v>
      <v>36</v>
      <v>38</v>
      <v>36</v>
      <v>37</v>
      <v>36</v>
      <v>36</v>
      <v>37</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40</v>
      <v>40</v>
      <v>41</v>
      <v>40</v>
      <v>40</v>
      <v>40</v>
      <v>42</v>
      <v>40</v>
      <v>41</v>
      <v>40</v>
      <v>40</v>
      <v>41</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44</v>
      <v>44</v>
      <v>45</v>
      <v>44</v>
      <v>44</v>
      <v>44</v>
      <v>46</v>
      <v>44</v>
      <v>45</v>
      <v>44</v>
      <v>44</v>
      <v>45</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48</v>
      <v>48</v>
      <v>1</v>
      <v>48</v>
      <v>48</v>
      <v>48</v>
      <v>49</v>
      <v>48</v>
      <v>1</v>
      <v>48</v>
      <v>48</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51</v>
      <v>51</v>
      <v>52</v>
      <v>51</v>
      <v>51</v>
      <v>51</v>
      <v>53</v>
      <v>51</v>
      <v>52</v>
      <v>51</v>
      <v>51</v>
      <v>52</v>
    </spb>
    <spb s="2">
      <v>5</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10">
      <v>56</v>
      <v>56</v>
      <v>57</v>
      <v>56</v>
      <v>56</v>
      <v>56</v>
      <v>58</v>
      <v>57</v>
      <v>56</v>
      <v>56</v>
      <v>57</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60</v>
      <v>60</v>
      <v>61</v>
      <v>60</v>
      <v>60</v>
      <v>60</v>
      <v>62</v>
      <v>60</v>
      <v>61</v>
      <v>60</v>
      <v>60</v>
      <v>61</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64</v>
      <v>64</v>
      <v>65</v>
      <v>64</v>
      <v>64</v>
      <v>64</v>
      <v>66</v>
      <v>64</v>
      <v>65</v>
      <v>64</v>
      <v>64</v>
      <v>65</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68</v>
      <v>68</v>
      <v>69</v>
      <v>68</v>
      <v>68</v>
      <v>68</v>
      <v>70</v>
      <v>68</v>
      <v>69</v>
      <v>68</v>
      <v>68</v>
      <v>69</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Households" t="spb"/>
    <k n="Population" t="spb"/>
    <k n="UniqueName" t="spb"/>
    <k n="Description" t="spb"/>
    <k n="Abbreviation" t="spb"/>
    <k n="Housing units" t="spb"/>
    <k n="Country/region" t="spb"/>
    <k n="Persons per household" t="spb"/>
  </s>
  <s>
    <k n="Area" t="spb"/>
    <k n="Name" t="spb"/>
    <k n="Households" t="spb"/>
    <k n="Population" t="spb"/>
    <k n="UniqueName" t="spb"/>
    <k n="Description" t="spb"/>
    <k n="Abbreviation" t="spb"/>
    <k n="Housing units"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AgeLong" displayName="tblAgeLong" ref="A4:E224">
  <autoFilter ref="A4:E224" xr:uid="{00000000-0009-0000-0100-000001000000}"/>
  <tableColumns count="5">
    <tableColumn id="1" xr3:uid="{00000000-0010-0000-0000-000001000000}" name="Year"/>
    <tableColumn id="2" xr3:uid="{00000000-0010-0000-0000-000002000000}" name="Age band"/>
    <tableColumn id="3" xr3:uid="{00000000-0010-0000-0000-000003000000}" name="Age rank"/>
    <tableColumn id="4" xr3:uid="{00000000-0010-0000-0000-000004000000}" name="Gender"/>
    <tableColumn id="5" xr3:uid="{00000000-0010-0000-0000-000005000000}" name="Players"/>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StatesLong" displayName="tblStatesLong" ref="A4:E1434">
  <autoFilter ref="A4:E1434" xr:uid="{00000000-0009-0000-0100-000002000000}"/>
  <tableColumns count="5">
    <tableColumn id="1" xr3:uid="{00000000-0010-0000-0100-000001000000}" name="Year"/>
    <tableColumn id="2" xr3:uid="{00000000-0010-0000-0100-000002000000}" name="State golf association"/>
    <tableColumn id="3" xr3:uid="{00000000-0010-0000-0100-000003000000}" name="Age band"/>
    <tableColumn id="4" xr3:uid="{00000000-0010-0000-0100-000004000000}" name="Age rank"/>
    <tableColumn id="5" xr3:uid="{00000000-0010-0000-0100-000005000000}" name="Players"/>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History" displayName="tblHistory" ref="A4:D79">
  <autoFilter ref="A4:D79" xr:uid="{00000000-0009-0000-0100-000003000000}"/>
  <tableColumns count="4">
    <tableColumn id="1" xr3:uid="{00000000-0010-0000-0200-000001000000}" name="Year"/>
    <tableColumn id="2" xr3:uid="{00000000-0010-0000-0200-000002000000}" name="Clubs"/>
    <tableColumn id="3" xr3:uid="{00000000-0010-0000-0200-000003000000}" name="Players"/>
    <tableColumn id="4" xr3:uid="{00000000-0010-0000-0200-000004000000}" name="Players per club"/>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workbookViewId="0"/>
  </sheetViews>
  <sheetFormatPr baseColWidth="10" defaultColWidth="8.83203125" defaultRowHeight="15" x14ac:dyDescent="0.2"/>
  <cols>
    <col min="1" max="1" width="28" customWidth="1"/>
    <col min="2" max="2" width="95" customWidth="1"/>
  </cols>
  <sheetData>
    <row r="1" spans="1:2" ht="19" x14ac:dyDescent="0.25">
      <c r="A1" s="1" t="s">
        <v>14</v>
      </c>
    </row>
    <row r="2" spans="1:2" x14ac:dyDescent="0.2">
      <c r="A2" s="2" t="s">
        <v>15</v>
      </c>
    </row>
    <row r="4" spans="1:2" x14ac:dyDescent="0.2">
      <c r="A4" s="3"/>
      <c r="B4" s="4"/>
    </row>
    <row r="5" spans="1:2" ht="30" customHeight="1" x14ac:dyDescent="0.2">
      <c r="A5" s="3" t="s">
        <v>16</v>
      </c>
      <c r="B5" s="4" t="s">
        <v>17</v>
      </c>
    </row>
    <row r="6" spans="1:2" ht="16" x14ac:dyDescent="0.2">
      <c r="A6" s="3" t="s">
        <v>18</v>
      </c>
      <c r="B6" s="4" t="s">
        <v>19</v>
      </c>
    </row>
    <row r="7" spans="1:2" ht="16" x14ac:dyDescent="0.2">
      <c r="A7" s="3" t="s">
        <v>20</v>
      </c>
      <c r="B7" s="4" t="s">
        <v>21</v>
      </c>
    </row>
    <row r="8" spans="1:2" ht="16" x14ac:dyDescent="0.2">
      <c r="A8" s="3" t="s">
        <v>22</v>
      </c>
      <c r="B8" s="4" t="s">
        <v>23</v>
      </c>
    </row>
    <row r="9" spans="1:2" x14ac:dyDescent="0.2">
      <c r="A9" s="3"/>
      <c r="B9" s="4"/>
    </row>
    <row r="10" spans="1:2" x14ac:dyDescent="0.2">
      <c r="A10" s="3" t="s">
        <v>24</v>
      </c>
      <c r="B10" s="4"/>
    </row>
    <row r="11" spans="1:2" ht="30" customHeight="1" x14ac:dyDescent="0.2">
      <c r="A11" s="3" t="s">
        <v>25</v>
      </c>
      <c r="B11" s="4" t="s">
        <v>26</v>
      </c>
    </row>
    <row r="12" spans="1:2" ht="30" customHeight="1" x14ac:dyDescent="0.2">
      <c r="A12" s="3" t="s">
        <v>27</v>
      </c>
      <c r="B12" s="4" t="s">
        <v>28</v>
      </c>
    </row>
    <row r="13" spans="1:2" ht="30" customHeight="1" x14ac:dyDescent="0.2">
      <c r="A13" s="3" t="s">
        <v>29</v>
      </c>
      <c r="B13" s="4" t="s">
        <v>30</v>
      </c>
    </row>
    <row r="14" spans="1:2" ht="16" x14ac:dyDescent="0.2">
      <c r="A14" s="3" t="s">
        <v>31</v>
      </c>
      <c r="B14" s="4" t="s">
        <v>32</v>
      </c>
    </row>
    <row r="15" spans="1:2" ht="30" customHeight="1" x14ac:dyDescent="0.2">
      <c r="A15" s="3" t="s">
        <v>33</v>
      </c>
      <c r="B15" s="4" t="s">
        <v>34</v>
      </c>
    </row>
    <row r="16" spans="1:2" ht="30" customHeight="1" x14ac:dyDescent="0.2">
      <c r="A16" s="3" t="s">
        <v>35</v>
      </c>
      <c r="B16" s="4" t="s">
        <v>36</v>
      </c>
    </row>
    <row r="17" spans="1:2" ht="30" customHeight="1" x14ac:dyDescent="0.2">
      <c r="A17" s="3" t="s">
        <v>37</v>
      </c>
      <c r="B17" s="4" t="s">
        <v>38</v>
      </c>
    </row>
    <row r="18" spans="1:2" ht="30" customHeight="1" x14ac:dyDescent="0.2">
      <c r="A18" s="3" t="s">
        <v>39</v>
      </c>
      <c r="B18" s="4" t="s">
        <v>40</v>
      </c>
    </row>
    <row r="19" spans="1:2" ht="16" x14ac:dyDescent="0.2">
      <c r="A19" s="3" t="s">
        <v>41</v>
      </c>
      <c r="B19" s="4" t="s">
        <v>42</v>
      </c>
    </row>
    <row r="20" spans="1:2" ht="16" x14ac:dyDescent="0.2">
      <c r="A20" s="3" t="s">
        <v>43</v>
      </c>
      <c r="B20" s="4" t="s">
        <v>44</v>
      </c>
    </row>
    <row r="21" spans="1:2" ht="16" x14ac:dyDescent="0.2">
      <c r="A21" s="3" t="s">
        <v>45</v>
      </c>
      <c r="B21" s="4" t="s">
        <v>46</v>
      </c>
    </row>
    <row r="22" spans="1:2" ht="30" customHeight="1" x14ac:dyDescent="0.2">
      <c r="A22" s="3" t="s">
        <v>47</v>
      </c>
      <c r="B22" s="4" t="s">
        <v>48</v>
      </c>
    </row>
    <row r="23" spans="1:2" x14ac:dyDescent="0.2">
      <c r="A23" s="3"/>
      <c r="B23" s="4"/>
    </row>
    <row r="24" spans="1:2" ht="30" customHeight="1" x14ac:dyDescent="0.2">
      <c r="A24" s="3" t="s">
        <v>49</v>
      </c>
      <c r="B24" s="4" t="s">
        <v>50</v>
      </c>
    </row>
    <row r="25" spans="1:2" ht="30" customHeight="1" x14ac:dyDescent="0.2">
      <c r="A25" s="3" t="s">
        <v>51</v>
      </c>
      <c r="B25" s="4" t="s">
        <v>52</v>
      </c>
    </row>
    <row r="26" spans="1:2" x14ac:dyDescent="0.2">
      <c r="A26" s="3"/>
      <c r="B26" s="4"/>
    </row>
    <row r="27" spans="1:2" ht="30" customHeight="1" x14ac:dyDescent="0.2">
      <c r="A27" s="3" t="s">
        <v>53</v>
      </c>
      <c r="B27" s="4" t="s">
        <v>54</v>
      </c>
    </row>
    <row r="28" spans="1:2" x14ac:dyDescent="0.2">
      <c r="A28" s="3"/>
      <c r="B28" s="4"/>
    </row>
    <row r="29" spans="1:2" x14ac:dyDescent="0.2">
      <c r="A29" s="3" t="s">
        <v>55</v>
      </c>
      <c r="B29" s="4"/>
    </row>
    <row r="30" spans="1:2" ht="16" x14ac:dyDescent="0.2">
      <c r="A30" s="3" t="s">
        <v>56</v>
      </c>
      <c r="B30" s="4" t="s">
        <v>57</v>
      </c>
    </row>
    <row r="31" spans="1:2" ht="16" x14ac:dyDescent="0.2">
      <c r="A31" s="3" t="s">
        <v>58</v>
      </c>
      <c r="B31" s="4" t="s">
        <v>59</v>
      </c>
    </row>
    <row r="32" spans="1:2" ht="16" x14ac:dyDescent="0.2">
      <c r="A32" s="3" t="s">
        <v>60</v>
      </c>
      <c r="B32" s="4" t="s">
        <v>61</v>
      </c>
    </row>
    <row r="33" spans="1:2" ht="16" x14ac:dyDescent="0.2">
      <c r="A33" s="3" t="s">
        <v>62</v>
      </c>
      <c r="B33" s="4" t="s">
        <v>63</v>
      </c>
    </row>
    <row r="34" spans="1:2" ht="16" x14ac:dyDescent="0.2">
      <c r="A34" s="3" t="s">
        <v>64</v>
      </c>
      <c r="B34" s="4" t="s">
        <v>65</v>
      </c>
    </row>
    <row r="35" spans="1:2" ht="16" x14ac:dyDescent="0.2">
      <c r="A35" s="3" t="s">
        <v>66</v>
      </c>
      <c r="B35" s="4" t="s">
        <v>67</v>
      </c>
    </row>
    <row r="36" spans="1:2" ht="16" x14ac:dyDescent="0.2">
      <c r="A36" s="3" t="s">
        <v>68</v>
      </c>
      <c r="B36" s="4" t="s">
        <v>69</v>
      </c>
    </row>
    <row r="37" spans="1:2" ht="16" x14ac:dyDescent="0.2">
      <c r="A37" s="3" t="s">
        <v>70</v>
      </c>
      <c r="B37" s="4" t="s">
        <v>71</v>
      </c>
    </row>
    <row r="38" spans="1:2" ht="16" x14ac:dyDescent="0.2">
      <c r="A38" s="3" t="s">
        <v>72</v>
      </c>
      <c r="B38" s="4" t="s">
        <v>73</v>
      </c>
    </row>
    <row r="39" spans="1:2" ht="16" x14ac:dyDescent="0.2">
      <c r="A39" s="3" t="s">
        <v>74</v>
      </c>
      <c r="B39" s="4" t="s">
        <v>75</v>
      </c>
    </row>
    <row r="40" spans="1:2" ht="16" x14ac:dyDescent="0.2">
      <c r="A40" s="3" t="s">
        <v>76</v>
      </c>
      <c r="B40" s="4" t="s">
        <v>77</v>
      </c>
    </row>
    <row r="41" spans="1:2" ht="16" x14ac:dyDescent="0.2">
      <c r="A41" s="3" t="s">
        <v>78</v>
      </c>
      <c r="B41" s="4" t="s">
        <v>79</v>
      </c>
    </row>
    <row r="42" spans="1:2" ht="16" x14ac:dyDescent="0.2">
      <c r="A42" s="3" t="s">
        <v>80</v>
      </c>
      <c r="B42" s="4" t="s">
        <v>81</v>
      </c>
    </row>
    <row r="43" spans="1:2" ht="16" x14ac:dyDescent="0.2">
      <c r="A43" s="3" t="s">
        <v>82</v>
      </c>
      <c r="B43" s="4" t="s">
        <v>83</v>
      </c>
    </row>
    <row r="44" spans="1:2" x14ac:dyDescent="0.2">
      <c r="A44" s="3"/>
      <c r="B44" s="4"/>
    </row>
    <row r="45" spans="1:2" ht="30" customHeight="1" x14ac:dyDescent="0.2">
      <c r="A45" s="3" t="s">
        <v>84</v>
      </c>
      <c r="B45" s="4" t="s">
        <v>85</v>
      </c>
    </row>
    <row r="46" spans="1:2" ht="30" customHeight="1" x14ac:dyDescent="0.2">
      <c r="A46" s="3" t="s">
        <v>86</v>
      </c>
      <c r="B46" s="4" t="s">
        <v>87</v>
      </c>
    </row>
    <row r="47" spans="1:2" ht="16" x14ac:dyDescent="0.2">
      <c r="A47" s="3" t="s">
        <v>88</v>
      </c>
      <c r="B47" s="4" t="s">
        <v>89</v>
      </c>
    </row>
    <row r="48" spans="1:2" ht="30" customHeight="1" x14ac:dyDescent="0.2">
      <c r="A48" s="3" t="s">
        <v>90</v>
      </c>
      <c r="B48" s="4" t="s">
        <v>91</v>
      </c>
    </row>
    <row r="49" spans="1:2" ht="30" customHeight="1" x14ac:dyDescent="0.2">
      <c r="A49" s="3" t="s">
        <v>92</v>
      </c>
      <c r="B49" s="4" t="s">
        <v>93</v>
      </c>
    </row>
    <row r="50" spans="1:2" ht="16" x14ac:dyDescent="0.2">
      <c r="A50" s="3" t="s">
        <v>94</v>
      </c>
      <c r="B50" s="4" t="s">
        <v>95</v>
      </c>
    </row>
    <row r="52" spans="1:2" ht="48" x14ac:dyDescent="0.2">
      <c r="A52" s="3" t="s">
        <v>421</v>
      </c>
      <c r="B52" s="4" t="s">
        <v>422</v>
      </c>
    </row>
    <row r="53" spans="1:2" ht="48" x14ac:dyDescent="0.2">
      <c r="B53" s="4" t="s">
        <v>423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96</v>
      </c>
    </row>
    <row r="2" spans="1:11" x14ac:dyDescent="0.2">
      <c r="A2" s="2" t="s">
        <v>97</v>
      </c>
    </row>
    <row r="4" spans="1:11" ht="30" customHeight="1" x14ac:dyDescent="0.2">
      <c r="A4" s="5" t="s">
        <v>98</v>
      </c>
      <c r="B4" s="5" t="s">
        <v>99</v>
      </c>
      <c r="C4" s="5" t="s">
        <v>100</v>
      </c>
      <c r="D4" s="5" t="s">
        <v>101</v>
      </c>
      <c r="E4" s="5" t="s">
        <v>102</v>
      </c>
      <c r="F4" s="5" t="s">
        <v>103</v>
      </c>
      <c r="G4" s="5" t="s">
        <v>104</v>
      </c>
      <c r="H4" s="5" t="s">
        <v>105</v>
      </c>
      <c r="I4" s="5" t="s">
        <v>106</v>
      </c>
      <c r="J4" s="5" t="s">
        <v>107</v>
      </c>
      <c r="K4" s="5" t="s">
        <v>108</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heetViews>
  <sheetFormatPr baseColWidth="10" defaultColWidth="8.83203125" defaultRowHeight="15" x14ac:dyDescent="0.2"/>
  <cols>
    <col min="1" max="1" width="16" customWidth="1"/>
    <col min="2" max="31" width="10" customWidth="1"/>
  </cols>
  <sheetData>
    <row r="1" spans="1:31" ht="19" x14ac:dyDescent="0.25">
      <c r="A1" s="1" t="s">
        <v>109</v>
      </c>
    </row>
    <row r="2" spans="1:31" x14ac:dyDescent="0.2">
      <c r="A2" s="2" t="s">
        <v>110</v>
      </c>
    </row>
    <row r="4" spans="1:31" x14ac:dyDescent="0.2">
      <c r="A4" s="11" t="s">
        <v>111</v>
      </c>
      <c r="B4" s="52">
        <v>2016</v>
      </c>
      <c r="C4" s="38"/>
      <c r="D4" s="38"/>
      <c r="E4" s="52">
        <v>2017</v>
      </c>
      <c r="F4" s="38"/>
      <c r="G4" s="38"/>
      <c r="H4" s="52">
        <v>2018</v>
      </c>
      <c r="I4" s="38"/>
      <c r="J4" s="38"/>
      <c r="K4" s="52">
        <v>2019</v>
      </c>
      <c r="L4" s="38"/>
      <c r="M4" s="38"/>
      <c r="N4" s="52">
        <v>2020</v>
      </c>
      <c r="O4" s="38"/>
      <c r="P4" s="38"/>
      <c r="Q4" s="52">
        <v>2021</v>
      </c>
      <c r="R4" s="38"/>
      <c r="S4" s="38"/>
      <c r="T4" s="52">
        <v>2022</v>
      </c>
      <c r="U4" s="38"/>
      <c r="V4" s="38"/>
      <c r="W4" s="52">
        <v>2023</v>
      </c>
      <c r="X4" s="38"/>
      <c r="Y4" s="38"/>
      <c r="Z4" s="52">
        <v>2024</v>
      </c>
      <c r="AA4" s="38"/>
      <c r="AB4" s="38"/>
      <c r="AC4" s="52">
        <v>2025</v>
      </c>
      <c r="AD4" s="38"/>
      <c r="AE4" s="38"/>
    </row>
    <row r="5" spans="1:31" ht="30" customHeight="1" x14ac:dyDescent="0.2">
      <c r="A5" s="5" t="s">
        <v>111</v>
      </c>
      <c r="B5" s="5" t="s">
        <v>100</v>
      </c>
      <c r="C5" s="5" t="s">
        <v>101</v>
      </c>
      <c r="D5" s="5" t="s">
        <v>112</v>
      </c>
      <c r="E5" s="5" t="s">
        <v>100</v>
      </c>
      <c r="F5" s="5" t="s">
        <v>101</v>
      </c>
      <c r="G5" s="5" t="s">
        <v>112</v>
      </c>
      <c r="H5" s="5" t="s">
        <v>100</v>
      </c>
      <c r="I5" s="5" t="s">
        <v>101</v>
      </c>
      <c r="J5" s="5" t="s">
        <v>112</v>
      </c>
      <c r="K5" s="5" t="s">
        <v>100</v>
      </c>
      <c r="L5" s="5" t="s">
        <v>101</v>
      </c>
      <c r="M5" s="5" t="s">
        <v>112</v>
      </c>
      <c r="N5" s="5" t="s">
        <v>100</v>
      </c>
      <c r="O5" s="5" t="s">
        <v>101</v>
      </c>
      <c r="P5" s="5" t="s">
        <v>112</v>
      </c>
      <c r="Q5" s="5" t="s">
        <v>100</v>
      </c>
      <c r="R5" s="5" t="s">
        <v>101</v>
      </c>
      <c r="S5" s="5" t="s">
        <v>112</v>
      </c>
      <c r="T5" s="5" t="s">
        <v>100</v>
      </c>
      <c r="U5" s="5" t="s">
        <v>101</v>
      </c>
      <c r="V5" s="5" t="s">
        <v>112</v>
      </c>
      <c r="W5" s="5" t="s">
        <v>100</v>
      </c>
      <c r="X5" s="5" t="s">
        <v>101</v>
      </c>
      <c r="Y5" s="5" t="s">
        <v>112</v>
      </c>
      <c r="Z5" s="5" t="s">
        <v>100</v>
      </c>
      <c r="AA5" s="5" t="s">
        <v>101</v>
      </c>
      <c r="AB5" s="5" t="s">
        <v>112</v>
      </c>
      <c r="AC5" s="5" t="s">
        <v>100</v>
      </c>
      <c r="AD5" s="5" t="s">
        <v>101</v>
      </c>
      <c r="AE5" s="5" t="s">
        <v>112</v>
      </c>
    </row>
    <row r="6" spans="1:31" x14ac:dyDescent="0.2">
      <c r="A6" s="12" t="s">
        <v>113</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114</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115</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116</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117</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118</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119</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120</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121</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122</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123</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112</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4"/>
  <sheetViews>
    <sheetView topLeftCell="A9" workbookViewId="0">
      <selection activeCell="E39" sqref="E39"/>
    </sheetView>
  </sheetViews>
  <sheetFormatPr baseColWidth="10" defaultColWidth="8.83203125" defaultRowHeight="15" x14ac:dyDescent="0.2"/>
  <cols>
    <col min="1" max="1" width="8" customWidth="1"/>
    <col min="2" max="2" width="14" customWidth="1"/>
    <col min="3" max="3" width="11" customWidth="1"/>
    <col min="4" max="4" width="10" customWidth="1"/>
    <col min="5" max="5" width="12" customWidth="1"/>
  </cols>
  <sheetData>
    <row r="1" spans="1:5" ht="19" x14ac:dyDescent="0.25">
      <c r="A1" s="1" t="s">
        <v>124</v>
      </c>
    </row>
    <row r="2" spans="1:5" x14ac:dyDescent="0.2">
      <c r="A2" s="2" t="s">
        <v>125</v>
      </c>
    </row>
    <row r="4" spans="1:5" ht="30" customHeight="1" x14ac:dyDescent="0.2">
      <c r="A4" s="5" t="s">
        <v>98</v>
      </c>
      <c r="B4" s="5" t="s">
        <v>111</v>
      </c>
      <c r="C4" s="5" t="s">
        <v>126</v>
      </c>
      <c r="D4" s="5" t="s">
        <v>127</v>
      </c>
      <c r="E4" s="5" t="s">
        <v>99</v>
      </c>
    </row>
    <row r="5" spans="1:5" x14ac:dyDescent="0.2">
      <c r="A5">
        <v>2016</v>
      </c>
      <c r="B5" t="s">
        <v>113</v>
      </c>
      <c r="C5">
        <v>1</v>
      </c>
      <c r="D5" t="s">
        <v>100</v>
      </c>
      <c r="E5" s="15">
        <v>1170</v>
      </c>
    </row>
    <row r="6" spans="1:5" x14ac:dyDescent="0.2">
      <c r="A6">
        <v>2016</v>
      </c>
      <c r="B6" t="s">
        <v>113</v>
      </c>
      <c r="C6">
        <v>1</v>
      </c>
      <c r="D6" t="s">
        <v>101</v>
      </c>
      <c r="E6" s="15">
        <v>703</v>
      </c>
    </row>
    <row r="7" spans="1:5" x14ac:dyDescent="0.2">
      <c r="A7">
        <v>2016</v>
      </c>
      <c r="B7" t="s">
        <v>114</v>
      </c>
      <c r="C7">
        <v>2</v>
      </c>
      <c r="D7" t="s">
        <v>100</v>
      </c>
      <c r="E7" s="15">
        <v>16114</v>
      </c>
    </row>
    <row r="8" spans="1:5" x14ac:dyDescent="0.2">
      <c r="A8">
        <v>2016</v>
      </c>
      <c r="B8" t="s">
        <v>114</v>
      </c>
      <c r="C8">
        <v>2</v>
      </c>
      <c r="D8" t="s">
        <v>101</v>
      </c>
      <c r="E8" s="15">
        <v>8202</v>
      </c>
    </row>
    <row r="9" spans="1:5" x14ac:dyDescent="0.2">
      <c r="A9">
        <v>2016</v>
      </c>
      <c r="B9" t="s">
        <v>115</v>
      </c>
      <c r="C9">
        <v>3</v>
      </c>
      <c r="D9" t="s">
        <v>100</v>
      </c>
      <c r="E9" s="15">
        <v>12578</v>
      </c>
    </row>
    <row r="10" spans="1:5" x14ac:dyDescent="0.2">
      <c r="A10">
        <v>2016</v>
      </c>
      <c r="B10" t="s">
        <v>115</v>
      </c>
      <c r="C10">
        <v>3</v>
      </c>
      <c r="D10" t="s">
        <v>101</v>
      </c>
      <c r="E10" s="15">
        <v>5186</v>
      </c>
    </row>
    <row r="11" spans="1:5" x14ac:dyDescent="0.2">
      <c r="A11">
        <v>2016</v>
      </c>
      <c r="B11" t="s">
        <v>116</v>
      </c>
      <c r="C11">
        <v>4</v>
      </c>
      <c r="D11" t="s">
        <v>100</v>
      </c>
      <c r="E11" s="15">
        <v>5353</v>
      </c>
    </row>
    <row r="12" spans="1:5" x14ac:dyDescent="0.2">
      <c r="A12">
        <v>2016</v>
      </c>
      <c r="B12" t="s">
        <v>116</v>
      </c>
      <c r="C12">
        <v>4</v>
      </c>
      <c r="D12" t="s">
        <v>101</v>
      </c>
      <c r="E12" s="15">
        <v>2024</v>
      </c>
    </row>
    <row r="13" spans="1:5" x14ac:dyDescent="0.2">
      <c r="A13">
        <v>2016</v>
      </c>
      <c r="B13" t="s">
        <v>117</v>
      </c>
      <c r="C13">
        <v>5</v>
      </c>
      <c r="D13" t="s">
        <v>100</v>
      </c>
      <c r="E13" s="15">
        <v>14879</v>
      </c>
    </row>
    <row r="14" spans="1:5" x14ac:dyDescent="0.2">
      <c r="A14">
        <v>2016</v>
      </c>
      <c r="B14" t="s">
        <v>117</v>
      </c>
      <c r="C14">
        <v>5</v>
      </c>
      <c r="D14" t="s">
        <v>101</v>
      </c>
      <c r="E14" s="15">
        <v>5157</v>
      </c>
    </row>
    <row r="15" spans="1:5" x14ac:dyDescent="0.2">
      <c r="A15">
        <v>2016</v>
      </c>
      <c r="B15" t="s">
        <v>118</v>
      </c>
      <c r="C15">
        <v>6</v>
      </c>
      <c r="D15" t="s">
        <v>100</v>
      </c>
      <c r="E15" s="15">
        <v>25206</v>
      </c>
    </row>
    <row r="16" spans="1:5" x14ac:dyDescent="0.2">
      <c r="A16">
        <v>2016</v>
      </c>
      <c r="B16" t="s">
        <v>118</v>
      </c>
      <c r="C16">
        <v>6</v>
      </c>
      <c r="D16" t="s">
        <v>101</v>
      </c>
      <c r="E16" s="15">
        <v>9655</v>
      </c>
    </row>
    <row r="17" spans="1:5" x14ac:dyDescent="0.2">
      <c r="A17">
        <v>2016</v>
      </c>
      <c r="B17" t="s">
        <v>119</v>
      </c>
      <c r="C17">
        <v>7</v>
      </c>
      <c r="D17" t="s">
        <v>100</v>
      </c>
      <c r="E17" s="15">
        <v>19393</v>
      </c>
    </row>
    <row r="18" spans="1:5" x14ac:dyDescent="0.2">
      <c r="A18">
        <v>2016</v>
      </c>
      <c r="B18" t="s">
        <v>119</v>
      </c>
      <c r="C18">
        <v>7</v>
      </c>
      <c r="D18" t="s">
        <v>101</v>
      </c>
      <c r="E18" s="15">
        <v>8615</v>
      </c>
    </row>
    <row r="19" spans="1:5" x14ac:dyDescent="0.2">
      <c r="A19">
        <v>2016</v>
      </c>
      <c r="B19" t="s">
        <v>120</v>
      </c>
      <c r="C19">
        <v>8</v>
      </c>
      <c r="D19" t="s">
        <v>100</v>
      </c>
      <c r="E19" s="15">
        <v>70328</v>
      </c>
    </row>
    <row r="20" spans="1:5" x14ac:dyDescent="0.2">
      <c r="A20">
        <v>2016</v>
      </c>
      <c r="B20" t="s">
        <v>120</v>
      </c>
      <c r="C20">
        <v>8</v>
      </c>
      <c r="D20" t="s">
        <v>101</v>
      </c>
      <c r="E20" s="15">
        <v>39631</v>
      </c>
    </row>
    <row r="21" spans="1:5" x14ac:dyDescent="0.2">
      <c r="A21">
        <v>2016</v>
      </c>
      <c r="B21" t="s">
        <v>121</v>
      </c>
      <c r="C21">
        <v>9</v>
      </c>
      <c r="D21" t="s">
        <v>100</v>
      </c>
      <c r="E21" s="15">
        <v>48365</v>
      </c>
    </row>
    <row r="22" spans="1:5" x14ac:dyDescent="0.2">
      <c r="A22">
        <v>2016</v>
      </c>
      <c r="B22" t="s">
        <v>121</v>
      </c>
      <c r="C22">
        <v>9</v>
      </c>
      <c r="D22" t="s">
        <v>101</v>
      </c>
      <c r="E22" s="15">
        <v>30258</v>
      </c>
    </row>
    <row r="23" spans="1:5" x14ac:dyDescent="0.2">
      <c r="A23">
        <v>2016</v>
      </c>
      <c r="B23" t="s">
        <v>122</v>
      </c>
      <c r="C23">
        <v>10</v>
      </c>
      <c r="D23" t="s">
        <v>100</v>
      </c>
      <c r="E23" s="15">
        <v>39987</v>
      </c>
    </row>
    <row r="24" spans="1:5" x14ac:dyDescent="0.2">
      <c r="A24">
        <v>2016</v>
      </c>
      <c r="B24" t="s">
        <v>122</v>
      </c>
      <c r="C24">
        <v>10</v>
      </c>
      <c r="D24" t="s">
        <v>101</v>
      </c>
      <c r="E24" s="15">
        <v>27707</v>
      </c>
    </row>
    <row r="25" spans="1:5" x14ac:dyDescent="0.2">
      <c r="A25">
        <v>2016</v>
      </c>
      <c r="B25" t="s">
        <v>123</v>
      </c>
      <c r="C25">
        <v>11</v>
      </c>
      <c r="D25" t="s">
        <v>100</v>
      </c>
      <c r="E25" s="15">
        <v>153178</v>
      </c>
    </row>
    <row r="26" spans="1:5" x14ac:dyDescent="0.2">
      <c r="A26">
        <v>2016</v>
      </c>
      <c r="B26" t="s">
        <v>123</v>
      </c>
      <c r="C26">
        <v>11</v>
      </c>
      <c r="D26" t="s">
        <v>101</v>
      </c>
      <c r="E26" s="15">
        <v>99469</v>
      </c>
    </row>
    <row r="27" spans="1:5" x14ac:dyDescent="0.2">
      <c r="A27">
        <v>2017</v>
      </c>
      <c r="B27" t="s">
        <v>113</v>
      </c>
      <c r="C27">
        <v>1</v>
      </c>
      <c r="D27" t="s">
        <v>100</v>
      </c>
      <c r="E27" s="15">
        <v>1112</v>
      </c>
    </row>
    <row r="28" spans="1:5" x14ac:dyDescent="0.2">
      <c r="A28">
        <v>2017</v>
      </c>
      <c r="B28" t="s">
        <v>113</v>
      </c>
      <c r="C28">
        <v>1</v>
      </c>
      <c r="D28" t="s">
        <v>101</v>
      </c>
      <c r="E28" s="15">
        <v>670</v>
      </c>
    </row>
    <row r="29" spans="1:5" x14ac:dyDescent="0.2">
      <c r="A29">
        <v>2017</v>
      </c>
      <c r="B29" t="s">
        <v>114</v>
      </c>
      <c r="C29">
        <v>2</v>
      </c>
      <c r="D29" t="s">
        <v>100</v>
      </c>
      <c r="E29" s="15">
        <v>15727</v>
      </c>
    </row>
    <row r="30" spans="1:5" x14ac:dyDescent="0.2">
      <c r="A30">
        <v>2017</v>
      </c>
      <c r="B30" t="s">
        <v>114</v>
      </c>
      <c r="C30">
        <v>2</v>
      </c>
      <c r="D30" t="s">
        <v>101</v>
      </c>
      <c r="E30" s="15">
        <v>7994</v>
      </c>
    </row>
    <row r="31" spans="1:5" x14ac:dyDescent="0.2">
      <c r="A31">
        <v>2017</v>
      </c>
      <c r="B31" t="s">
        <v>115</v>
      </c>
      <c r="C31">
        <v>3</v>
      </c>
      <c r="D31" t="s">
        <v>100</v>
      </c>
      <c r="E31" s="15">
        <v>12093</v>
      </c>
    </row>
    <row r="32" spans="1:5" x14ac:dyDescent="0.2">
      <c r="A32">
        <v>2017</v>
      </c>
      <c r="B32" t="s">
        <v>115</v>
      </c>
      <c r="C32">
        <v>3</v>
      </c>
      <c r="D32" t="s">
        <v>101</v>
      </c>
      <c r="E32" s="15">
        <v>5077</v>
      </c>
    </row>
    <row r="33" spans="1:5" x14ac:dyDescent="0.2">
      <c r="A33">
        <v>2017</v>
      </c>
      <c r="B33" t="s">
        <v>116</v>
      </c>
      <c r="C33">
        <v>4</v>
      </c>
      <c r="D33" t="s">
        <v>100</v>
      </c>
      <c r="E33" s="15">
        <v>5254</v>
      </c>
    </row>
    <row r="34" spans="1:5" x14ac:dyDescent="0.2">
      <c r="A34">
        <v>2017</v>
      </c>
      <c r="B34" t="s">
        <v>116</v>
      </c>
      <c r="C34">
        <v>4</v>
      </c>
      <c r="D34" t="s">
        <v>101</v>
      </c>
      <c r="E34" s="15">
        <v>2033</v>
      </c>
    </row>
    <row r="35" spans="1:5" x14ac:dyDescent="0.2">
      <c r="A35">
        <v>2017</v>
      </c>
      <c r="B35" t="s">
        <v>117</v>
      </c>
      <c r="C35">
        <v>5</v>
      </c>
      <c r="D35" t="s">
        <v>100</v>
      </c>
      <c r="E35" s="15">
        <v>14983</v>
      </c>
    </row>
    <row r="36" spans="1:5" x14ac:dyDescent="0.2">
      <c r="A36">
        <v>2017</v>
      </c>
      <c r="B36" t="s">
        <v>117</v>
      </c>
      <c r="C36">
        <v>5</v>
      </c>
      <c r="D36" t="s">
        <v>101</v>
      </c>
      <c r="E36" s="15">
        <v>5171</v>
      </c>
    </row>
    <row r="37" spans="1:5" x14ac:dyDescent="0.2">
      <c r="A37">
        <v>2017</v>
      </c>
      <c r="B37" t="s">
        <v>118</v>
      </c>
      <c r="C37">
        <v>6</v>
      </c>
      <c r="D37" t="s">
        <v>100</v>
      </c>
      <c r="E37" s="15">
        <v>25200</v>
      </c>
    </row>
    <row r="38" spans="1:5" x14ac:dyDescent="0.2">
      <c r="A38">
        <v>2017</v>
      </c>
      <c r="B38" t="s">
        <v>118</v>
      </c>
      <c r="C38">
        <v>6</v>
      </c>
      <c r="D38" t="s">
        <v>101</v>
      </c>
      <c r="E38" s="15">
        <v>9200</v>
      </c>
    </row>
    <row r="39" spans="1:5" x14ac:dyDescent="0.2">
      <c r="A39">
        <v>2017</v>
      </c>
      <c r="B39" t="s">
        <v>119</v>
      </c>
      <c r="C39">
        <v>7</v>
      </c>
      <c r="D39" t="s">
        <v>100</v>
      </c>
      <c r="E39" s="15">
        <v>18863</v>
      </c>
    </row>
    <row r="40" spans="1:5" x14ac:dyDescent="0.2">
      <c r="A40">
        <v>2017</v>
      </c>
      <c r="B40" t="s">
        <v>119</v>
      </c>
      <c r="C40">
        <v>7</v>
      </c>
      <c r="D40" t="s">
        <v>101</v>
      </c>
      <c r="E40" s="15">
        <v>8061</v>
      </c>
    </row>
    <row r="41" spans="1:5" x14ac:dyDescent="0.2">
      <c r="A41">
        <v>2017</v>
      </c>
      <c r="B41" t="s">
        <v>120</v>
      </c>
      <c r="C41">
        <v>8</v>
      </c>
      <c r="D41" t="s">
        <v>100</v>
      </c>
      <c r="E41" s="15">
        <v>66253</v>
      </c>
    </row>
    <row r="42" spans="1:5" x14ac:dyDescent="0.2">
      <c r="A42">
        <v>2017</v>
      </c>
      <c r="B42" t="s">
        <v>120</v>
      </c>
      <c r="C42">
        <v>8</v>
      </c>
      <c r="D42" t="s">
        <v>101</v>
      </c>
      <c r="E42" s="15">
        <v>36526</v>
      </c>
    </row>
    <row r="43" spans="1:5" x14ac:dyDescent="0.2">
      <c r="A43">
        <v>2017</v>
      </c>
      <c r="B43" t="s">
        <v>121</v>
      </c>
      <c r="C43">
        <v>9</v>
      </c>
      <c r="D43" t="s">
        <v>100</v>
      </c>
      <c r="E43" s="15">
        <v>50110</v>
      </c>
    </row>
    <row r="44" spans="1:5" x14ac:dyDescent="0.2">
      <c r="A44">
        <v>2017</v>
      </c>
      <c r="B44" t="s">
        <v>121</v>
      </c>
      <c r="C44">
        <v>9</v>
      </c>
      <c r="D44" t="s">
        <v>101</v>
      </c>
      <c r="E44" s="15">
        <v>31392</v>
      </c>
    </row>
    <row r="45" spans="1:5" x14ac:dyDescent="0.2">
      <c r="A45">
        <v>2017</v>
      </c>
      <c r="B45" t="s">
        <v>122</v>
      </c>
      <c r="C45">
        <v>10</v>
      </c>
      <c r="D45" t="s">
        <v>100</v>
      </c>
      <c r="E45" s="15">
        <v>42102</v>
      </c>
    </row>
    <row r="46" spans="1:5" x14ac:dyDescent="0.2">
      <c r="A46">
        <v>2017</v>
      </c>
      <c r="B46" t="s">
        <v>122</v>
      </c>
      <c r="C46">
        <v>10</v>
      </c>
      <c r="D46" t="s">
        <v>101</v>
      </c>
      <c r="E46" s="15">
        <v>28446</v>
      </c>
    </row>
    <row r="47" spans="1:5" x14ac:dyDescent="0.2">
      <c r="A47">
        <v>2017</v>
      </c>
      <c r="B47" t="s">
        <v>123</v>
      </c>
      <c r="C47">
        <v>11</v>
      </c>
      <c r="D47" t="s">
        <v>100</v>
      </c>
      <c r="E47" s="15">
        <v>157263</v>
      </c>
    </row>
    <row r="48" spans="1:5" x14ac:dyDescent="0.2">
      <c r="A48">
        <v>2017</v>
      </c>
      <c r="B48" t="s">
        <v>123</v>
      </c>
      <c r="C48">
        <v>11</v>
      </c>
      <c r="D48" t="s">
        <v>101</v>
      </c>
      <c r="E48" s="15">
        <v>101413</v>
      </c>
    </row>
    <row r="49" spans="1:5" x14ac:dyDescent="0.2">
      <c r="A49">
        <v>2018</v>
      </c>
      <c r="B49" t="s">
        <v>113</v>
      </c>
      <c r="C49">
        <v>1</v>
      </c>
      <c r="D49" t="s">
        <v>100</v>
      </c>
      <c r="E49" s="15">
        <v>1122</v>
      </c>
    </row>
    <row r="50" spans="1:5" x14ac:dyDescent="0.2">
      <c r="A50">
        <v>2018</v>
      </c>
      <c r="B50" t="s">
        <v>113</v>
      </c>
      <c r="C50">
        <v>1</v>
      </c>
      <c r="D50" t="s">
        <v>101</v>
      </c>
      <c r="E50" s="15">
        <v>701</v>
      </c>
    </row>
    <row r="51" spans="1:5" x14ac:dyDescent="0.2">
      <c r="A51">
        <v>2018</v>
      </c>
      <c r="B51" t="s">
        <v>114</v>
      </c>
      <c r="C51">
        <v>2</v>
      </c>
      <c r="D51" t="s">
        <v>100</v>
      </c>
      <c r="E51" s="15">
        <v>15133</v>
      </c>
    </row>
    <row r="52" spans="1:5" x14ac:dyDescent="0.2">
      <c r="A52">
        <v>2018</v>
      </c>
      <c r="B52" t="s">
        <v>114</v>
      </c>
      <c r="C52">
        <v>2</v>
      </c>
      <c r="D52" t="s">
        <v>101</v>
      </c>
      <c r="E52" s="15">
        <v>7887</v>
      </c>
    </row>
    <row r="53" spans="1:5" x14ac:dyDescent="0.2">
      <c r="A53">
        <v>2018</v>
      </c>
      <c r="B53" t="s">
        <v>115</v>
      </c>
      <c r="C53">
        <v>3</v>
      </c>
      <c r="D53" t="s">
        <v>100</v>
      </c>
      <c r="E53" s="15">
        <v>11643</v>
      </c>
    </row>
    <row r="54" spans="1:5" x14ac:dyDescent="0.2">
      <c r="A54">
        <v>2018</v>
      </c>
      <c r="B54" t="s">
        <v>115</v>
      </c>
      <c r="C54">
        <v>3</v>
      </c>
      <c r="D54" t="s">
        <v>101</v>
      </c>
      <c r="E54" s="15">
        <v>4919</v>
      </c>
    </row>
    <row r="55" spans="1:5" x14ac:dyDescent="0.2">
      <c r="A55">
        <v>2018</v>
      </c>
      <c r="B55" t="s">
        <v>116</v>
      </c>
      <c r="C55">
        <v>4</v>
      </c>
      <c r="D55" t="s">
        <v>100</v>
      </c>
      <c r="E55" s="15">
        <v>5118</v>
      </c>
    </row>
    <row r="56" spans="1:5" x14ac:dyDescent="0.2">
      <c r="A56">
        <v>2018</v>
      </c>
      <c r="B56" t="s">
        <v>116</v>
      </c>
      <c r="C56">
        <v>4</v>
      </c>
      <c r="D56" t="s">
        <v>101</v>
      </c>
      <c r="E56" s="15">
        <v>1982</v>
      </c>
    </row>
    <row r="57" spans="1:5" x14ac:dyDescent="0.2">
      <c r="A57">
        <v>2018</v>
      </c>
      <c r="B57" t="s">
        <v>117</v>
      </c>
      <c r="C57">
        <v>5</v>
      </c>
      <c r="D57" t="s">
        <v>100</v>
      </c>
      <c r="E57" s="15">
        <v>15074</v>
      </c>
    </row>
    <row r="58" spans="1:5" x14ac:dyDescent="0.2">
      <c r="A58">
        <v>2018</v>
      </c>
      <c r="B58" t="s">
        <v>117</v>
      </c>
      <c r="C58">
        <v>5</v>
      </c>
      <c r="D58" t="s">
        <v>101</v>
      </c>
      <c r="E58" s="15">
        <v>5298</v>
      </c>
    </row>
    <row r="59" spans="1:5" x14ac:dyDescent="0.2">
      <c r="A59">
        <v>2018</v>
      </c>
      <c r="B59" t="s">
        <v>118</v>
      </c>
      <c r="C59">
        <v>6</v>
      </c>
      <c r="D59" t="s">
        <v>100</v>
      </c>
      <c r="E59" s="15">
        <v>24879</v>
      </c>
    </row>
    <row r="60" spans="1:5" x14ac:dyDescent="0.2">
      <c r="A60">
        <v>2018</v>
      </c>
      <c r="B60" t="s">
        <v>118</v>
      </c>
      <c r="C60">
        <v>6</v>
      </c>
      <c r="D60" t="s">
        <v>101</v>
      </c>
      <c r="E60" s="15">
        <v>8877</v>
      </c>
    </row>
    <row r="61" spans="1:5" x14ac:dyDescent="0.2">
      <c r="A61">
        <v>2018</v>
      </c>
      <c r="B61" t="s">
        <v>119</v>
      </c>
      <c r="C61">
        <v>7</v>
      </c>
      <c r="D61" t="s">
        <v>100</v>
      </c>
      <c r="E61" s="15">
        <v>18255</v>
      </c>
    </row>
    <row r="62" spans="1:5" x14ac:dyDescent="0.2">
      <c r="A62">
        <v>2018</v>
      </c>
      <c r="B62" t="s">
        <v>119</v>
      </c>
      <c r="C62">
        <v>7</v>
      </c>
      <c r="D62" t="s">
        <v>101</v>
      </c>
      <c r="E62" s="15">
        <v>7540</v>
      </c>
    </row>
    <row r="63" spans="1:5" x14ac:dyDescent="0.2">
      <c r="A63">
        <v>2018</v>
      </c>
      <c r="B63" t="s">
        <v>120</v>
      </c>
      <c r="C63">
        <v>8</v>
      </c>
      <c r="D63" t="s">
        <v>100</v>
      </c>
      <c r="E63" s="15">
        <v>61030</v>
      </c>
    </row>
    <row r="64" spans="1:5" x14ac:dyDescent="0.2">
      <c r="A64">
        <v>2018</v>
      </c>
      <c r="B64" t="s">
        <v>120</v>
      </c>
      <c r="C64">
        <v>8</v>
      </c>
      <c r="D64" t="s">
        <v>101</v>
      </c>
      <c r="E64" s="15">
        <v>33420</v>
      </c>
    </row>
    <row r="65" spans="1:5" x14ac:dyDescent="0.2">
      <c r="A65">
        <v>2018</v>
      </c>
      <c r="B65" t="s">
        <v>121</v>
      </c>
      <c r="C65">
        <v>9</v>
      </c>
      <c r="D65" t="s">
        <v>100</v>
      </c>
      <c r="E65" s="15">
        <v>51408</v>
      </c>
    </row>
    <row r="66" spans="1:5" x14ac:dyDescent="0.2">
      <c r="A66">
        <v>2018</v>
      </c>
      <c r="B66" t="s">
        <v>121</v>
      </c>
      <c r="C66">
        <v>9</v>
      </c>
      <c r="D66" t="s">
        <v>101</v>
      </c>
      <c r="E66" s="15">
        <v>31559</v>
      </c>
    </row>
    <row r="67" spans="1:5" x14ac:dyDescent="0.2">
      <c r="A67">
        <v>2018</v>
      </c>
      <c r="B67" t="s">
        <v>122</v>
      </c>
      <c r="C67">
        <v>10</v>
      </c>
      <c r="D67" t="s">
        <v>100</v>
      </c>
      <c r="E67" s="15">
        <v>43992</v>
      </c>
    </row>
    <row r="68" spans="1:5" x14ac:dyDescent="0.2">
      <c r="A68">
        <v>2018</v>
      </c>
      <c r="B68" t="s">
        <v>122</v>
      </c>
      <c r="C68">
        <v>10</v>
      </c>
      <c r="D68" t="s">
        <v>101</v>
      </c>
      <c r="E68" s="15">
        <v>29294</v>
      </c>
    </row>
    <row r="69" spans="1:5" x14ac:dyDescent="0.2">
      <c r="A69">
        <v>2018</v>
      </c>
      <c r="B69" t="s">
        <v>123</v>
      </c>
      <c r="C69">
        <v>11</v>
      </c>
      <c r="D69" t="s">
        <v>100</v>
      </c>
      <c r="E69" s="15">
        <v>160449</v>
      </c>
    </row>
    <row r="70" spans="1:5" x14ac:dyDescent="0.2">
      <c r="A70">
        <v>2018</v>
      </c>
      <c r="B70" t="s">
        <v>123</v>
      </c>
      <c r="C70">
        <v>11</v>
      </c>
      <c r="D70" t="s">
        <v>101</v>
      </c>
      <c r="E70" s="15">
        <v>102660</v>
      </c>
    </row>
    <row r="71" spans="1:5" x14ac:dyDescent="0.2">
      <c r="A71">
        <v>2019</v>
      </c>
      <c r="B71" t="s">
        <v>113</v>
      </c>
      <c r="C71">
        <v>1</v>
      </c>
      <c r="D71" t="s">
        <v>100</v>
      </c>
      <c r="E71" s="15">
        <v>1058</v>
      </c>
    </row>
    <row r="72" spans="1:5" x14ac:dyDescent="0.2">
      <c r="A72">
        <v>2019</v>
      </c>
      <c r="B72" t="s">
        <v>113</v>
      </c>
      <c r="C72">
        <v>1</v>
      </c>
      <c r="D72" t="s">
        <v>101</v>
      </c>
      <c r="E72" s="15">
        <v>726</v>
      </c>
    </row>
    <row r="73" spans="1:5" x14ac:dyDescent="0.2">
      <c r="A73">
        <v>2019</v>
      </c>
      <c r="B73" t="s">
        <v>114</v>
      </c>
      <c r="C73">
        <v>2</v>
      </c>
      <c r="D73" t="s">
        <v>100</v>
      </c>
      <c r="E73" s="15">
        <v>14782</v>
      </c>
    </row>
    <row r="74" spans="1:5" x14ac:dyDescent="0.2">
      <c r="A74">
        <v>2019</v>
      </c>
      <c r="B74" t="s">
        <v>114</v>
      </c>
      <c r="C74">
        <v>2</v>
      </c>
      <c r="D74" t="s">
        <v>101</v>
      </c>
      <c r="E74" s="15">
        <v>7608</v>
      </c>
    </row>
    <row r="75" spans="1:5" x14ac:dyDescent="0.2">
      <c r="A75">
        <v>2019</v>
      </c>
      <c r="B75" t="s">
        <v>115</v>
      </c>
      <c r="C75">
        <v>3</v>
      </c>
      <c r="D75" t="s">
        <v>100</v>
      </c>
      <c r="E75" s="15">
        <v>11368</v>
      </c>
    </row>
    <row r="76" spans="1:5" x14ac:dyDescent="0.2">
      <c r="A76">
        <v>2019</v>
      </c>
      <c r="B76" t="s">
        <v>115</v>
      </c>
      <c r="C76">
        <v>3</v>
      </c>
      <c r="D76" t="s">
        <v>101</v>
      </c>
      <c r="E76" s="15">
        <v>4797</v>
      </c>
    </row>
    <row r="77" spans="1:5" x14ac:dyDescent="0.2">
      <c r="A77">
        <v>2019</v>
      </c>
      <c r="B77" t="s">
        <v>116</v>
      </c>
      <c r="C77">
        <v>4</v>
      </c>
      <c r="D77" t="s">
        <v>100</v>
      </c>
      <c r="E77" s="15">
        <v>5062</v>
      </c>
    </row>
    <row r="78" spans="1:5" x14ac:dyDescent="0.2">
      <c r="A78">
        <v>2019</v>
      </c>
      <c r="B78" t="s">
        <v>116</v>
      </c>
      <c r="C78">
        <v>4</v>
      </c>
      <c r="D78" t="s">
        <v>101</v>
      </c>
      <c r="E78" s="15">
        <v>2043</v>
      </c>
    </row>
    <row r="79" spans="1:5" x14ac:dyDescent="0.2">
      <c r="A79">
        <v>2019</v>
      </c>
      <c r="B79" t="s">
        <v>117</v>
      </c>
      <c r="C79">
        <v>5</v>
      </c>
      <c r="D79" t="s">
        <v>100</v>
      </c>
      <c r="E79" s="15">
        <v>15274</v>
      </c>
    </row>
    <row r="80" spans="1:5" x14ac:dyDescent="0.2">
      <c r="A80">
        <v>2019</v>
      </c>
      <c r="B80" t="s">
        <v>117</v>
      </c>
      <c r="C80">
        <v>5</v>
      </c>
      <c r="D80" t="s">
        <v>101</v>
      </c>
      <c r="E80" s="15">
        <v>5377</v>
      </c>
    </row>
    <row r="81" spans="1:5" x14ac:dyDescent="0.2">
      <c r="A81">
        <v>2019</v>
      </c>
      <c r="B81" t="s">
        <v>118</v>
      </c>
      <c r="C81">
        <v>6</v>
      </c>
      <c r="D81" t="s">
        <v>100</v>
      </c>
      <c r="E81" s="15">
        <v>25299</v>
      </c>
    </row>
    <row r="82" spans="1:5" x14ac:dyDescent="0.2">
      <c r="A82">
        <v>2019</v>
      </c>
      <c r="B82" t="s">
        <v>118</v>
      </c>
      <c r="C82">
        <v>6</v>
      </c>
      <c r="D82" t="s">
        <v>101</v>
      </c>
      <c r="E82" s="15">
        <v>8604</v>
      </c>
    </row>
    <row r="83" spans="1:5" x14ac:dyDescent="0.2">
      <c r="A83">
        <v>2019</v>
      </c>
      <c r="B83" t="s">
        <v>119</v>
      </c>
      <c r="C83">
        <v>7</v>
      </c>
      <c r="D83" t="s">
        <v>100</v>
      </c>
      <c r="E83" s="15">
        <v>18036</v>
      </c>
    </row>
    <row r="84" spans="1:5" x14ac:dyDescent="0.2">
      <c r="A84">
        <v>2019</v>
      </c>
      <c r="B84" t="s">
        <v>119</v>
      </c>
      <c r="C84">
        <v>7</v>
      </c>
      <c r="D84" t="s">
        <v>101</v>
      </c>
      <c r="E84" s="15">
        <v>7184</v>
      </c>
    </row>
    <row r="85" spans="1:5" x14ac:dyDescent="0.2">
      <c r="A85">
        <v>2019</v>
      </c>
      <c r="B85" t="s">
        <v>120</v>
      </c>
      <c r="C85">
        <v>8</v>
      </c>
      <c r="D85" t="s">
        <v>100</v>
      </c>
      <c r="E85" s="15">
        <v>56602</v>
      </c>
    </row>
    <row r="86" spans="1:5" x14ac:dyDescent="0.2">
      <c r="A86">
        <v>2019</v>
      </c>
      <c r="B86" t="s">
        <v>120</v>
      </c>
      <c r="C86">
        <v>8</v>
      </c>
      <c r="D86" t="s">
        <v>101</v>
      </c>
      <c r="E86" s="15">
        <v>30648</v>
      </c>
    </row>
    <row r="87" spans="1:5" x14ac:dyDescent="0.2">
      <c r="A87">
        <v>2019</v>
      </c>
      <c r="B87" t="s">
        <v>121</v>
      </c>
      <c r="C87">
        <v>9</v>
      </c>
      <c r="D87" t="s">
        <v>100</v>
      </c>
      <c r="E87" s="15">
        <v>51802</v>
      </c>
    </row>
    <row r="88" spans="1:5" x14ac:dyDescent="0.2">
      <c r="A88">
        <v>2019</v>
      </c>
      <c r="B88" t="s">
        <v>121</v>
      </c>
      <c r="C88">
        <v>9</v>
      </c>
      <c r="D88" t="s">
        <v>101</v>
      </c>
      <c r="E88" s="15">
        <v>31800</v>
      </c>
    </row>
    <row r="89" spans="1:5" x14ac:dyDescent="0.2">
      <c r="A89">
        <v>2019</v>
      </c>
      <c r="B89" t="s">
        <v>122</v>
      </c>
      <c r="C89">
        <v>10</v>
      </c>
      <c r="D89" t="s">
        <v>100</v>
      </c>
      <c r="E89" s="15">
        <v>46969</v>
      </c>
    </row>
    <row r="90" spans="1:5" x14ac:dyDescent="0.2">
      <c r="A90">
        <v>2019</v>
      </c>
      <c r="B90" t="s">
        <v>122</v>
      </c>
      <c r="C90">
        <v>10</v>
      </c>
      <c r="D90" t="s">
        <v>101</v>
      </c>
      <c r="E90" s="15">
        <v>30685</v>
      </c>
    </row>
    <row r="91" spans="1:5" x14ac:dyDescent="0.2">
      <c r="A91">
        <v>2019</v>
      </c>
      <c r="B91" t="s">
        <v>123</v>
      </c>
      <c r="C91">
        <v>11</v>
      </c>
      <c r="D91" t="s">
        <v>100</v>
      </c>
      <c r="E91" s="15">
        <v>162953</v>
      </c>
    </row>
    <row r="92" spans="1:5" x14ac:dyDescent="0.2">
      <c r="A92">
        <v>2019</v>
      </c>
      <c r="B92" t="s">
        <v>123</v>
      </c>
      <c r="C92">
        <v>11</v>
      </c>
      <c r="D92" t="s">
        <v>101</v>
      </c>
      <c r="E92" s="15">
        <v>104000</v>
      </c>
    </row>
    <row r="93" spans="1:5" x14ac:dyDescent="0.2">
      <c r="A93">
        <v>2020</v>
      </c>
      <c r="B93" t="s">
        <v>113</v>
      </c>
      <c r="C93">
        <v>1</v>
      </c>
      <c r="D93" t="s">
        <v>100</v>
      </c>
      <c r="E93" s="15">
        <v>1186</v>
      </c>
    </row>
    <row r="94" spans="1:5" x14ac:dyDescent="0.2">
      <c r="A94">
        <v>2020</v>
      </c>
      <c r="B94" t="s">
        <v>113</v>
      </c>
      <c r="C94">
        <v>1</v>
      </c>
      <c r="D94" t="s">
        <v>101</v>
      </c>
      <c r="E94" s="15">
        <v>754</v>
      </c>
    </row>
    <row r="95" spans="1:5" x14ac:dyDescent="0.2">
      <c r="A95">
        <v>2020</v>
      </c>
      <c r="B95" t="s">
        <v>114</v>
      </c>
      <c r="C95">
        <v>2</v>
      </c>
      <c r="D95" t="s">
        <v>100</v>
      </c>
      <c r="E95" s="15">
        <v>14729</v>
      </c>
    </row>
    <row r="96" spans="1:5" x14ac:dyDescent="0.2">
      <c r="A96">
        <v>2020</v>
      </c>
      <c r="B96" t="s">
        <v>114</v>
      </c>
      <c r="C96">
        <v>2</v>
      </c>
      <c r="D96" t="s">
        <v>101</v>
      </c>
      <c r="E96" s="15">
        <v>7726</v>
      </c>
    </row>
    <row r="97" spans="1:5" x14ac:dyDescent="0.2">
      <c r="A97">
        <v>2020</v>
      </c>
      <c r="B97" t="s">
        <v>115</v>
      </c>
      <c r="C97">
        <v>3</v>
      </c>
      <c r="D97" t="s">
        <v>100</v>
      </c>
      <c r="E97" s="15">
        <v>11761</v>
      </c>
    </row>
    <row r="98" spans="1:5" x14ac:dyDescent="0.2">
      <c r="A98">
        <v>2020</v>
      </c>
      <c r="B98" t="s">
        <v>115</v>
      </c>
      <c r="C98">
        <v>3</v>
      </c>
      <c r="D98" t="s">
        <v>101</v>
      </c>
      <c r="E98" s="15">
        <v>5056</v>
      </c>
    </row>
    <row r="99" spans="1:5" x14ac:dyDescent="0.2">
      <c r="A99">
        <v>2020</v>
      </c>
      <c r="B99" t="s">
        <v>116</v>
      </c>
      <c r="C99">
        <v>4</v>
      </c>
      <c r="D99" t="s">
        <v>100</v>
      </c>
      <c r="E99" s="15">
        <v>5371</v>
      </c>
    </row>
    <row r="100" spans="1:5" x14ac:dyDescent="0.2">
      <c r="A100">
        <v>2020</v>
      </c>
      <c r="B100" t="s">
        <v>116</v>
      </c>
      <c r="C100">
        <v>4</v>
      </c>
      <c r="D100" t="s">
        <v>101</v>
      </c>
      <c r="E100" s="15">
        <v>2048</v>
      </c>
    </row>
    <row r="101" spans="1:5" x14ac:dyDescent="0.2">
      <c r="A101">
        <v>2020</v>
      </c>
      <c r="B101" t="s">
        <v>117</v>
      </c>
      <c r="C101">
        <v>5</v>
      </c>
      <c r="D101" t="s">
        <v>100</v>
      </c>
      <c r="E101" s="15">
        <v>16396</v>
      </c>
    </row>
    <row r="102" spans="1:5" x14ac:dyDescent="0.2">
      <c r="A102">
        <v>2020</v>
      </c>
      <c r="B102" t="s">
        <v>117</v>
      </c>
      <c r="C102">
        <v>5</v>
      </c>
      <c r="D102" t="s">
        <v>101</v>
      </c>
      <c r="E102" s="15">
        <v>5888</v>
      </c>
    </row>
    <row r="103" spans="1:5" x14ac:dyDescent="0.2">
      <c r="A103">
        <v>2020</v>
      </c>
      <c r="B103" t="s">
        <v>118</v>
      </c>
      <c r="C103">
        <v>6</v>
      </c>
      <c r="D103" t="s">
        <v>100</v>
      </c>
      <c r="E103" s="15">
        <v>27102</v>
      </c>
    </row>
    <row r="104" spans="1:5" x14ac:dyDescent="0.2">
      <c r="A104">
        <v>2020</v>
      </c>
      <c r="B104" t="s">
        <v>118</v>
      </c>
      <c r="C104">
        <v>6</v>
      </c>
      <c r="D104" t="s">
        <v>101</v>
      </c>
      <c r="E104" s="15">
        <v>8883</v>
      </c>
    </row>
    <row r="105" spans="1:5" x14ac:dyDescent="0.2">
      <c r="A105">
        <v>2020</v>
      </c>
      <c r="B105" t="s">
        <v>119</v>
      </c>
      <c r="C105">
        <v>7</v>
      </c>
      <c r="D105" t="s">
        <v>100</v>
      </c>
      <c r="E105" s="15">
        <v>17853</v>
      </c>
    </row>
    <row r="106" spans="1:5" x14ac:dyDescent="0.2">
      <c r="A106">
        <v>2020</v>
      </c>
      <c r="B106" t="s">
        <v>119</v>
      </c>
      <c r="C106">
        <v>7</v>
      </c>
      <c r="D106" t="s">
        <v>101</v>
      </c>
      <c r="E106" s="15">
        <v>6690</v>
      </c>
    </row>
    <row r="107" spans="1:5" x14ac:dyDescent="0.2">
      <c r="A107">
        <v>2020</v>
      </c>
      <c r="B107" t="s">
        <v>120</v>
      </c>
      <c r="C107">
        <v>8</v>
      </c>
      <c r="D107" t="s">
        <v>100</v>
      </c>
      <c r="E107" s="15">
        <v>52795</v>
      </c>
    </row>
    <row r="108" spans="1:5" x14ac:dyDescent="0.2">
      <c r="A108">
        <v>2020</v>
      </c>
      <c r="B108" t="s">
        <v>120</v>
      </c>
      <c r="C108">
        <v>8</v>
      </c>
      <c r="D108" t="s">
        <v>101</v>
      </c>
      <c r="E108" s="15">
        <v>28258</v>
      </c>
    </row>
    <row r="109" spans="1:5" x14ac:dyDescent="0.2">
      <c r="A109">
        <v>2020</v>
      </c>
      <c r="B109" t="s">
        <v>121</v>
      </c>
      <c r="C109">
        <v>9</v>
      </c>
      <c r="D109" t="s">
        <v>100</v>
      </c>
      <c r="E109" s="15">
        <v>50885</v>
      </c>
    </row>
    <row r="110" spans="1:5" x14ac:dyDescent="0.2">
      <c r="A110">
        <v>2020</v>
      </c>
      <c r="B110" t="s">
        <v>121</v>
      </c>
      <c r="C110">
        <v>9</v>
      </c>
      <c r="D110" t="s">
        <v>101</v>
      </c>
      <c r="E110" s="15">
        <v>31288</v>
      </c>
    </row>
    <row r="111" spans="1:5" x14ac:dyDescent="0.2">
      <c r="A111">
        <v>2020</v>
      </c>
      <c r="B111" t="s">
        <v>122</v>
      </c>
      <c r="C111">
        <v>10</v>
      </c>
      <c r="D111" t="s">
        <v>100</v>
      </c>
      <c r="E111" s="15">
        <v>49696</v>
      </c>
    </row>
    <row r="112" spans="1:5" x14ac:dyDescent="0.2">
      <c r="A112">
        <v>2020</v>
      </c>
      <c r="B112" t="s">
        <v>122</v>
      </c>
      <c r="C112">
        <v>10</v>
      </c>
      <c r="D112" t="s">
        <v>101</v>
      </c>
      <c r="E112" s="15">
        <v>31963</v>
      </c>
    </row>
    <row r="113" spans="1:5" x14ac:dyDescent="0.2">
      <c r="A113">
        <v>2020</v>
      </c>
      <c r="B113" t="s">
        <v>123</v>
      </c>
      <c r="C113">
        <v>11</v>
      </c>
      <c r="D113" t="s">
        <v>100</v>
      </c>
      <c r="E113" s="15">
        <v>168242</v>
      </c>
    </row>
    <row r="114" spans="1:5" x14ac:dyDescent="0.2">
      <c r="A114">
        <v>2020</v>
      </c>
      <c r="B114" t="s">
        <v>123</v>
      </c>
      <c r="C114">
        <v>11</v>
      </c>
      <c r="D114" t="s">
        <v>101</v>
      </c>
      <c r="E114" s="15">
        <v>106847</v>
      </c>
    </row>
    <row r="115" spans="1:5" x14ac:dyDescent="0.2">
      <c r="A115">
        <v>2021</v>
      </c>
      <c r="B115" t="s">
        <v>113</v>
      </c>
      <c r="C115">
        <v>1</v>
      </c>
      <c r="D115" t="s">
        <v>100</v>
      </c>
      <c r="E115" s="15">
        <v>1310</v>
      </c>
    </row>
    <row r="116" spans="1:5" x14ac:dyDescent="0.2">
      <c r="A116">
        <v>2021</v>
      </c>
      <c r="B116" t="s">
        <v>113</v>
      </c>
      <c r="C116">
        <v>1</v>
      </c>
      <c r="D116" t="s">
        <v>101</v>
      </c>
      <c r="E116" s="15">
        <v>861</v>
      </c>
    </row>
    <row r="117" spans="1:5" x14ac:dyDescent="0.2">
      <c r="A117">
        <v>2021</v>
      </c>
      <c r="B117" t="s">
        <v>114</v>
      </c>
      <c r="C117">
        <v>2</v>
      </c>
      <c r="D117" t="s">
        <v>100</v>
      </c>
      <c r="E117" s="15">
        <v>15438</v>
      </c>
    </row>
    <row r="118" spans="1:5" x14ac:dyDescent="0.2">
      <c r="A118">
        <v>2021</v>
      </c>
      <c r="B118" t="s">
        <v>114</v>
      </c>
      <c r="C118">
        <v>2</v>
      </c>
      <c r="D118" t="s">
        <v>101</v>
      </c>
      <c r="E118" s="15">
        <v>8137</v>
      </c>
    </row>
    <row r="119" spans="1:5" x14ac:dyDescent="0.2">
      <c r="A119">
        <v>2021</v>
      </c>
      <c r="B119" t="s">
        <v>115</v>
      </c>
      <c r="C119">
        <v>3</v>
      </c>
      <c r="D119" t="s">
        <v>100</v>
      </c>
      <c r="E119" s="15">
        <v>12612</v>
      </c>
    </row>
    <row r="120" spans="1:5" x14ac:dyDescent="0.2">
      <c r="A120">
        <v>2021</v>
      </c>
      <c r="B120" t="s">
        <v>115</v>
      </c>
      <c r="C120">
        <v>3</v>
      </c>
      <c r="D120" t="s">
        <v>101</v>
      </c>
      <c r="E120" s="15">
        <v>5560</v>
      </c>
    </row>
    <row r="121" spans="1:5" x14ac:dyDescent="0.2">
      <c r="A121">
        <v>2021</v>
      </c>
      <c r="B121" t="s">
        <v>116</v>
      </c>
      <c r="C121">
        <v>4</v>
      </c>
      <c r="D121" t="s">
        <v>100</v>
      </c>
      <c r="E121" s="15">
        <v>5744</v>
      </c>
    </row>
    <row r="122" spans="1:5" x14ac:dyDescent="0.2">
      <c r="A122">
        <v>2021</v>
      </c>
      <c r="B122" t="s">
        <v>116</v>
      </c>
      <c r="C122">
        <v>4</v>
      </c>
      <c r="D122" t="s">
        <v>101</v>
      </c>
      <c r="E122" s="15">
        <v>2171</v>
      </c>
    </row>
    <row r="123" spans="1:5" x14ac:dyDescent="0.2">
      <c r="A123">
        <v>2021</v>
      </c>
      <c r="B123" t="s">
        <v>117</v>
      </c>
      <c r="C123">
        <v>5</v>
      </c>
      <c r="D123" t="s">
        <v>100</v>
      </c>
      <c r="E123" s="15">
        <v>18583</v>
      </c>
    </row>
    <row r="124" spans="1:5" x14ac:dyDescent="0.2">
      <c r="A124">
        <v>2021</v>
      </c>
      <c r="B124" t="s">
        <v>117</v>
      </c>
      <c r="C124">
        <v>5</v>
      </c>
      <c r="D124" t="s">
        <v>101</v>
      </c>
      <c r="E124" s="15">
        <v>6818</v>
      </c>
    </row>
    <row r="125" spans="1:5" x14ac:dyDescent="0.2">
      <c r="A125">
        <v>2021</v>
      </c>
      <c r="B125" t="s">
        <v>118</v>
      </c>
      <c r="C125">
        <v>6</v>
      </c>
      <c r="D125" t="s">
        <v>100</v>
      </c>
      <c r="E125" s="15">
        <v>29800</v>
      </c>
    </row>
    <row r="126" spans="1:5" x14ac:dyDescent="0.2">
      <c r="A126">
        <v>2021</v>
      </c>
      <c r="B126" t="s">
        <v>118</v>
      </c>
      <c r="C126">
        <v>6</v>
      </c>
      <c r="D126" t="s">
        <v>101</v>
      </c>
      <c r="E126" s="15">
        <v>9674</v>
      </c>
    </row>
    <row r="127" spans="1:5" x14ac:dyDescent="0.2">
      <c r="A127">
        <v>2021</v>
      </c>
      <c r="B127" t="s">
        <v>119</v>
      </c>
      <c r="C127">
        <v>7</v>
      </c>
      <c r="D127" t="s">
        <v>100</v>
      </c>
      <c r="E127" s="15">
        <v>18346</v>
      </c>
    </row>
    <row r="128" spans="1:5" x14ac:dyDescent="0.2">
      <c r="A128">
        <v>2021</v>
      </c>
      <c r="B128" t="s">
        <v>119</v>
      </c>
      <c r="C128">
        <v>7</v>
      </c>
      <c r="D128" t="s">
        <v>101</v>
      </c>
      <c r="E128" s="15">
        <v>6586</v>
      </c>
    </row>
    <row r="129" spans="1:5" x14ac:dyDescent="0.2">
      <c r="A129">
        <v>2021</v>
      </c>
      <c r="B129" t="s">
        <v>120</v>
      </c>
      <c r="C129">
        <v>8</v>
      </c>
      <c r="D129" t="s">
        <v>100</v>
      </c>
      <c r="E129" s="15">
        <v>51990</v>
      </c>
    </row>
    <row r="130" spans="1:5" x14ac:dyDescent="0.2">
      <c r="A130">
        <v>2021</v>
      </c>
      <c r="B130" t="s">
        <v>120</v>
      </c>
      <c r="C130">
        <v>8</v>
      </c>
      <c r="D130" t="s">
        <v>101</v>
      </c>
      <c r="E130" s="15">
        <v>27498</v>
      </c>
    </row>
    <row r="131" spans="1:5" x14ac:dyDescent="0.2">
      <c r="A131">
        <v>2021</v>
      </c>
      <c r="B131" t="s">
        <v>121</v>
      </c>
      <c r="C131">
        <v>9</v>
      </c>
      <c r="D131" t="s">
        <v>100</v>
      </c>
      <c r="E131" s="15">
        <v>49901</v>
      </c>
    </row>
    <row r="132" spans="1:5" x14ac:dyDescent="0.2">
      <c r="A132">
        <v>2021</v>
      </c>
      <c r="B132" t="s">
        <v>121</v>
      </c>
      <c r="C132">
        <v>9</v>
      </c>
      <c r="D132" t="s">
        <v>101</v>
      </c>
      <c r="E132" s="15">
        <v>30978</v>
      </c>
    </row>
    <row r="133" spans="1:5" x14ac:dyDescent="0.2">
      <c r="A133">
        <v>2021</v>
      </c>
      <c r="B133" t="s">
        <v>122</v>
      </c>
      <c r="C133">
        <v>10</v>
      </c>
      <c r="D133" t="s">
        <v>100</v>
      </c>
      <c r="E133" s="15">
        <v>53246</v>
      </c>
    </row>
    <row r="134" spans="1:5" x14ac:dyDescent="0.2">
      <c r="A134">
        <v>2021</v>
      </c>
      <c r="B134" t="s">
        <v>122</v>
      </c>
      <c r="C134">
        <v>10</v>
      </c>
      <c r="D134" t="s">
        <v>101</v>
      </c>
      <c r="E134" s="15">
        <v>33615</v>
      </c>
    </row>
    <row r="135" spans="1:5" x14ac:dyDescent="0.2">
      <c r="A135">
        <v>2021</v>
      </c>
      <c r="B135" t="s">
        <v>123</v>
      </c>
      <c r="C135">
        <v>11</v>
      </c>
      <c r="D135" t="s">
        <v>100</v>
      </c>
      <c r="E135" s="15">
        <v>174848</v>
      </c>
    </row>
    <row r="136" spans="1:5" x14ac:dyDescent="0.2">
      <c r="A136">
        <v>2021</v>
      </c>
      <c r="B136" t="s">
        <v>123</v>
      </c>
      <c r="C136">
        <v>11</v>
      </c>
      <c r="D136" t="s">
        <v>101</v>
      </c>
      <c r="E136" s="15">
        <v>110267</v>
      </c>
    </row>
    <row r="137" spans="1:5" x14ac:dyDescent="0.2">
      <c r="A137">
        <v>2022</v>
      </c>
      <c r="B137" t="s">
        <v>113</v>
      </c>
      <c r="C137">
        <v>1</v>
      </c>
      <c r="D137" t="s">
        <v>100</v>
      </c>
      <c r="E137" s="15">
        <v>1326</v>
      </c>
    </row>
    <row r="138" spans="1:5" x14ac:dyDescent="0.2">
      <c r="A138">
        <v>2022</v>
      </c>
      <c r="B138" t="s">
        <v>113</v>
      </c>
      <c r="C138">
        <v>1</v>
      </c>
      <c r="D138" t="s">
        <v>101</v>
      </c>
      <c r="E138" s="15">
        <v>886</v>
      </c>
    </row>
    <row r="139" spans="1:5" x14ac:dyDescent="0.2">
      <c r="A139">
        <v>2022</v>
      </c>
      <c r="B139" t="s">
        <v>114</v>
      </c>
      <c r="C139">
        <v>2</v>
      </c>
      <c r="D139" t="s">
        <v>100</v>
      </c>
      <c r="E139" s="15">
        <v>15302</v>
      </c>
    </row>
    <row r="140" spans="1:5" x14ac:dyDescent="0.2">
      <c r="A140">
        <v>2022</v>
      </c>
      <c r="B140" t="s">
        <v>114</v>
      </c>
      <c r="C140">
        <v>2</v>
      </c>
      <c r="D140" t="s">
        <v>101</v>
      </c>
      <c r="E140" s="15">
        <v>8228</v>
      </c>
    </row>
    <row r="141" spans="1:5" x14ac:dyDescent="0.2">
      <c r="A141">
        <v>2022</v>
      </c>
      <c r="B141" t="s">
        <v>115</v>
      </c>
      <c r="C141">
        <v>3</v>
      </c>
      <c r="D141" t="s">
        <v>100</v>
      </c>
      <c r="E141" s="15">
        <v>12769</v>
      </c>
    </row>
    <row r="142" spans="1:5" x14ac:dyDescent="0.2">
      <c r="A142">
        <v>2022</v>
      </c>
      <c r="B142" t="s">
        <v>115</v>
      </c>
      <c r="C142">
        <v>3</v>
      </c>
      <c r="D142" t="s">
        <v>101</v>
      </c>
      <c r="E142" s="15">
        <v>5766</v>
      </c>
    </row>
    <row r="143" spans="1:5" x14ac:dyDescent="0.2">
      <c r="A143">
        <v>2022</v>
      </c>
      <c r="B143" t="s">
        <v>116</v>
      </c>
      <c r="C143">
        <v>4</v>
      </c>
      <c r="D143" t="s">
        <v>100</v>
      </c>
      <c r="E143" s="15">
        <v>6136</v>
      </c>
    </row>
    <row r="144" spans="1:5" x14ac:dyDescent="0.2">
      <c r="A144">
        <v>2022</v>
      </c>
      <c r="B144" t="s">
        <v>116</v>
      </c>
      <c r="C144">
        <v>4</v>
      </c>
      <c r="D144" t="s">
        <v>101</v>
      </c>
      <c r="E144" s="15">
        <v>2259</v>
      </c>
    </row>
    <row r="145" spans="1:5" x14ac:dyDescent="0.2">
      <c r="A145">
        <v>2022</v>
      </c>
      <c r="B145" t="s">
        <v>117</v>
      </c>
      <c r="C145">
        <v>5</v>
      </c>
      <c r="D145" t="s">
        <v>100</v>
      </c>
      <c r="E145" s="15">
        <v>19744</v>
      </c>
    </row>
    <row r="146" spans="1:5" x14ac:dyDescent="0.2">
      <c r="A146">
        <v>2022</v>
      </c>
      <c r="B146" t="s">
        <v>117</v>
      </c>
      <c r="C146">
        <v>5</v>
      </c>
      <c r="D146" t="s">
        <v>101</v>
      </c>
      <c r="E146" s="15">
        <v>7169</v>
      </c>
    </row>
    <row r="147" spans="1:5" x14ac:dyDescent="0.2">
      <c r="A147">
        <v>2022</v>
      </c>
      <c r="B147" t="s">
        <v>118</v>
      </c>
      <c r="C147">
        <v>6</v>
      </c>
      <c r="D147" t="s">
        <v>100</v>
      </c>
      <c r="E147" s="15">
        <v>32083</v>
      </c>
    </row>
    <row r="148" spans="1:5" x14ac:dyDescent="0.2">
      <c r="A148">
        <v>2022</v>
      </c>
      <c r="B148" t="s">
        <v>118</v>
      </c>
      <c r="C148">
        <v>6</v>
      </c>
      <c r="D148" t="s">
        <v>101</v>
      </c>
      <c r="E148" s="15">
        <v>10272</v>
      </c>
    </row>
    <row r="149" spans="1:5" x14ac:dyDescent="0.2">
      <c r="A149">
        <v>2022</v>
      </c>
      <c r="B149" t="s">
        <v>119</v>
      </c>
      <c r="C149">
        <v>7</v>
      </c>
      <c r="D149" t="s">
        <v>100</v>
      </c>
      <c r="E149" s="15">
        <v>18886</v>
      </c>
    </row>
    <row r="150" spans="1:5" x14ac:dyDescent="0.2">
      <c r="A150">
        <v>2022</v>
      </c>
      <c r="B150" t="s">
        <v>119</v>
      </c>
      <c r="C150">
        <v>7</v>
      </c>
      <c r="D150" t="s">
        <v>101</v>
      </c>
      <c r="E150" s="15">
        <v>6522</v>
      </c>
    </row>
    <row r="151" spans="1:5" x14ac:dyDescent="0.2">
      <c r="A151">
        <v>2022</v>
      </c>
      <c r="B151" t="s">
        <v>120</v>
      </c>
      <c r="C151">
        <v>8</v>
      </c>
      <c r="D151" t="s">
        <v>100</v>
      </c>
      <c r="E151" s="15">
        <v>50959</v>
      </c>
    </row>
    <row r="152" spans="1:5" x14ac:dyDescent="0.2">
      <c r="A152">
        <v>2022</v>
      </c>
      <c r="B152" t="s">
        <v>120</v>
      </c>
      <c r="C152">
        <v>8</v>
      </c>
      <c r="D152" t="s">
        <v>101</v>
      </c>
      <c r="E152" s="15">
        <v>26350</v>
      </c>
    </row>
    <row r="153" spans="1:5" x14ac:dyDescent="0.2">
      <c r="A153">
        <v>2022</v>
      </c>
      <c r="B153" t="s">
        <v>121</v>
      </c>
      <c r="C153">
        <v>9</v>
      </c>
      <c r="D153" t="s">
        <v>100</v>
      </c>
      <c r="E153" s="15">
        <v>48560</v>
      </c>
    </row>
    <row r="154" spans="1:5" x14ac:dyDescent="0.2">
      <c r="A154">
        <v>2022</v>
      </c>
      <c r="B154" t="s">
        <v>121</v>
      </c>
      <c r="C154">
        <v>9</v>
      </c>
      <c r="D154" t="s">
        <v>101</v>
      </c>
      <c r="E154" s="15">
        <v>30061</v>
      </c>
    </row>
    <row r="155" spans="1:5" x14ac:dyDescent="0.2">
      <c r="A155">
        <v>2022</v>
      </c>
      <c r="B155" t="s">
        <v>122</v>
      </c>
      <c r="C155">
        <v>10</v>
      </c>
      <c r="D155" t="s">
        <v>100</v>
      </c>
      <c r="E155" s="15">
        <v>55916</v>
      </c>
    </row>
    <row r="156" spans="1:5" x14ac:dyDescent="0.2">
      <c r="A156">
        <v>2022</v>
      </c>
      <c r="B156" t="s">
        <v>122</v>
      </c>
      <c r="C156">
        <v>10</v>
      </c>
      <c r="D156" t="s">
        <v>101</v>
      </c>
      <c r="E156" s="15">
        <v>35419</v>
      </c>
    </row>
    <row r="157" spans="1:5" x14ac:dyDescent="0.2">
      <c r="A157">
        <v>2022</v>
      </c>
      <c r="B157" t="s">
        <v>123</v>
      </c>
      <c r="C157">
        <v>11</v>
      </c>
      <c r="D157" t="s">
        <v>100</v>
      </c>
      <c r="E157" s="15">
        <v>176788</v>
      </c>
    </row>
    <row r="158" spans="1:5" x14ac:dyDescent="0.2">
      <c r="A158">
        <v>2022</v>
      </c>
      <c r="B158" t="s">
        <v>123</v>
      </c>
      <c r="C158">
        <v>11</v>
      </c>
      <c r="D158" t="s">
        <v>101</v>
      </c>
      <c r="E158" s="15">
        <v>111541</v>
      </c>
    </row>
    <row r="159" spans="1:5" x14ac:dyDescent="0.2">
      <c r="A159">
        <v>2023</v>
      </c>
      <c r="B159" t="s">
        <v>113</v>
      </c>
      <c r="C159">
        <v>1</v>
      </c>
      <c r="D159" t="s">
        <v>100</v>
      </c>
      <c r="E159" s="15">
        <v>1265</v>
      </c>
    </row>
    <row r="160" spans="1:5" x14ac:dyDescent="0.2">
      <c r="A160">
        <v>2023</v>
      </c>
      <c r="B160" t="s">
        <v>113</v>
      </c>
      <c r="C160">
        <v>1</v>
      </c>
      <c r="D160" t="s">
        <v>101</v>
      </c>
      <c r="E160" s="15">
        <v>865</v>
      </c>
    </row>
    <row r="161" spans="1:5" x14ac:dyDescent="0.2">
      <c r="A161">
        <v>2023</v>
      </c>
      <c r="B161" t="s">
        <v>114</v>
      </c>
      <c r="C161">
        <v>2</v>
      </c>
      <c r="D161" t="s">
        <v>100</v>
      </c>
      <c r="E161" s="15">
        <v>14582</v>
      </c>
    </row>
    <row r="162" spans="1:5" x14ac:dyDescent="0.2">
      <c r="A162">
        <v>2023</v>
      </c>
      <c r="B162" t="s">
        <v>114</v>
      </c>
      <c r="C162">
        <v>2</v>
      </c>
      <c r="D162" t="s">
        <v>101</v>
      </c>
      <c r="E162" s="15">
        <v>7791</v>
      </c>
    </row>
    <row r="163" spans="1:5" x14ac:dyDescent="0.2">
      <c r="A163">
        <v>2023</v>
      </c>
      <c r="B163" t="s">
        <v>115</v>
      </c>
      <c r="C163">
        <v>3</v>
      </c>
      <c r="D163" t="s">
        <v>100</v>
      </c>
      <c r="E163" s="15">
        <v>12676</v>
      </c>
    </row>
    <row r="164" spans="1:5" x14ac:dyDescent="0.2">
      <c r="A164">
        <v>2023</v>
      </c>
      <c r="B164" t="s">
        <v>115</v>
      </c>
      <c r="C164">
        <v>3</v>
      </c>
      <c r="D164" t="s">
        <v>101</v>
      </c>
      <c r="E164" s="15">
        <v>5680</v>
      </c>
    </row>
    <row r="165" spans="1:5" x14ac:dyDescent="0.2">
      <c r="A165">
        <v>2023</v>
      </c>
      <c r="B165" t="s">
        <v>116</v>
      </c>
      <c r="C165">
        <v>4</v>
      </c>
      <c r="D165" t="s">
        <v>100</v>
      </c>
      <c r="E165" s="15">
        <v>6372</v>
      </c>
    </row>
    <row r="166" spans="1:5" x14ac:dyDescent="0.2">
      <c r="A166">
        <v>2023</v>
      </c>
      <c r="B166" t="s">
        <v>116</v>
      </c>
      <c r="C166">
        <v>4</v>
      </c>
      <c r="D166" t="s">
        <v>101</v>
      </c>
      <c r="E166" s="15">
        <v>2338</v>
      </c>
    </row>
    <row r="167" spans="1:5" x14ac:dyDescent="0.2">
      <c r="A167">
        <v>2023</v>
      </c>
      <c r="B167" t="s">
        <v>117</v>
      </c>
      <c r="C167">
        <v>5</v>
      </c>
      <c r="D167" t="s">
        <v>100</v>
      </c>
      <c r="E167" s="15">
        <v>21136</v>
      </c>
    </row>
    <row r="168" spans="1:5" x14ac:dyDescent="0.2">
      <c r="A168">
        <v>2023</v>
      </c>
      <c r="B168" t="s">
        <v>117</v>
      </c>
      <c r="C168">
        <v>5</v>
      </c>
      <c r="D168" t="s">
        <v>101</v>
      </c>
      <c r="E168" s="15">
        <v>7410</v>
      </c>
    </row>
    <row r="169" spans="1:5" x14ac:dyDescent="0.2">
      <c r="A169">
        <v>2023</v>
      </c>
      <c r="B169" t="s">
        <v>118</v>
      </c>
      <c r="C169">
        <v>6</v>
      </c>
      <c r="D169" t="s">
        <v>100</v>
      </c>
      <c r="E169" s="15">
        <v>33711</v>
      </c>
    </row>
    <row r="170" spans="1:5" x14ac:dyDescent="0.2">
      <c r="A170">
        <v>2023</v>
      </c>
      <c r="B170" t="s">
        <v>118</v>
      </c>
      <c r="C170">
        <v>6</v>
      </c>
      <c r="D170" t="s">
        <v>101</v>
      </c>
      <c r="E170" s="15">
        <v>10598</v>
      </c>
    </row>
    <row r="171" spans="1:5" x14ac:dyDescent="0.2">
      <c r="A171">
        <v>2023</v>
      </c>
      <c r="B171" t="s">
        <v>119</v>
      </c>
      <c r="C171">
        <v>7</v>
      </c>
      <c r="D171" t="s">
        <v>100</v>
      </c>
      <c r="E171" s="15">
        <v>19125</v>
      </c>
    </row>
    <row r="172" spans="1:5" x14ac:dyDescent="0.2">
      <c r="A172">
        <v>2023</v>
      </c>
      <c r="B172" t="s">
        <v>119</v>
      </c>
      <c r="C172">
        <v>7</v>
      </c>
      <c r="D172" t="s">
        <v>101</v>
      </c>
      <c r="E172" s="15">
        <v>6213</v>
      </c>
    </row>
    <row r="173" spans="1:5" x14ac:dyDescent="0.2">
      <c r="A173">
        <v>2023</v>
      </c>
      <c r="B173" t="s">
        <v>120</v>
      </c>
      <c r="C173">
        <v>8</v>
      </c>
      <c r="D173" t="s">
        <v>100</v>
      </c>
      <c r="E173" s="15">
        <v>49188</v>
      </c>
    </row>
    <row r="174" spans="1:5" x14ac:dyDescent="0.2">
      <c r="A174">
        <v>2023</v>
      </c>
      <c r="B174" t="s">
        <v>120</v>
      </c>
      <c r="C174">
        <v>8</v>
      </c>
      <c r="D174" t="s">
        <v>101</v>
      </c>
      <c r="E174" s="15">
        <v>24641</v>
      </c>
    </row>
    <row r="175" spans="1:5" x14ac:dyDescent="0.2">
      <c r="A175">
        <v>2023</v>
      </c>
      <c r="B175" t="s">
        <v>121</v>
      </c>
      <c r="C175">
        <v>9</v>
      </c>
      <c r="D175" t="s">
        <v>100</v>
      </c>
      <c r="E175" s="15">
        <v>44944</v>
      </c>
    </row>
    <row r="176" spans="1:5" x14ac:dyDescent="0.2">
      <c r="A176">
        <v>2023</v>
      </c>
      <c r="B176" t="s">
        <v>121</v>
      </c>
      <c r="C176">
        <v>9</v>
      </c>
      <c r="D176" t="s">
        <v>101</v>
      </c>
      <c r="E176" s="15">
        <v>27721</v>
      </c>
    </row>
    <row r="177" spans="1:5" x14ac:dyDescent="0.2">
      <c r="A177">
        <v>2023</v>
      </c>
      <c r="B177" t="s">
        <v>122</v>
      </c>
      <c r="C177">
        <v>10</v>
      </c>
      <c r="D177" t="s">
        <v>100</v>
      </c>
      <c r="E177" s="15">
        <v>57646</v>
      </c>
    </row>
    <row r="178" spans="1:5" x14ac:dyDescent="0.2">
      <c r="A178">
        <v>2023</v>
      </c>
      <c r="B178" t="s">
        <v>122</v>
      </c>
      <c r="C178">
        <v>10</v>
      </c>
      <c r="D178" t="s">
        <v>101</v>
      </c>
      <c r="E178" s="15">
        <v>36313</v>
      </c>
    </row>
    <row r="179" spans="1:5" x14ac:dyDescent="0.2">
      <c r="A179">
        <v>2023</v>
      </c>
      <c r="B179" t="s">
        <v>123</v>
      </c>
      <c r="C179">
        <v>11</v>
      </c>
      <c r="D179" t="s">
        <v>100</v>
      </c>
      <c r="E179" s="15">
        <v>179148</v>
      </c>
    </row>
    <row r="180" spans="1:5" x14ac:dyDescent="0.2">
      <c r="A180">
        <v>2023</v>
      </c>
      <c r="B180" t="s">
        <v>123</v>
      </c>
      <c r="C180">
        <v>11</v>
      </c>
      <c r="D180" t="s">
        <v>101</v>
      </c>
      <c r="E180" s="15">
        <v>112763</v>
      </c>
    </row>
    <row r="181" spans="1:5" x14ac:dyDescent="0.2">
      <c r="A181">
        <v>2024</v>
      </c>
      <c r="B181" t="s">
        <v>113</v>
      </c>
      <c r="C181">
        <v>1</v>
      </c>
      <c r="D181" t="s">
        <v>100</v>
      </c>
      <c r="E181" s="15">
        <v>1334</v>
      </c>
    </row>
    <row r="182" spans="1:5" x14ac:dyDescent="0.2">
      <c r="A182">
        <v>2024</v>
      </c>
      <c r="B182" t="s">
        <v>113</v>
      </c>
      <c r="C182">
        <v>1</v>
      </c>
      <c r="D182" t="s">
        <v>101</v>
      </c>
      <c r="E182" s="15">
        <v>855</v>
      </c>
    </row>
    <row r="183" spans="1:5" x14ac:dyDescent="0.2">
      <c r="A183">
        <v>2024</v>
      </c>
      <c r="B183" t="s">
        <v>114</v>
      </c>
      <c r="C183">
        <v>2</v>
      </c>
      <c r="D183" t="s">
        <v>100</v>
      </c>
      <c r="E183" s="15">
        <v>14137</v>
      </c>
    </row>
    <row r="184" spans="1:5" x14ac:dyDescent="0.2">
      <c r="A184">
        <v>2024</v>
      </c>
      <c r="B184" t="s">
        <v>114</v>
      </c>
      <c r="C184">
        <v>2</v>
      </c>
      <c r="D184" t="s">
        <v>101</v>
      </c>
      <c r="E184" s="15">
        <v>7655</v>
      </c>
    </row>
    <row r="185" spans="1:5" x14ac:dyDescent="0.2">
      <c r="A185">
        <v>2024</v>
      </c>
      <c r="B185" t="s">
        <v>115</v>
      </c>
      <c r="C185">
        <v>3</v>
      </c>
      <c r="D185" t="s">
        <v>100</v>
      </c>
      <c r="E185" s="15">
        <v>12704</v>
      </c>
    </row>
    <row r="186" spans="1:5" x14ac:dyDescent="0.2">
      <c r="A186">
        <v>2024</v>
      </c>
      <c r="B186" t="s">
        <v>115</v>
      </c>
      <c r="C186">
        <v>3</v>
      </c>
      <c r="D186" t="s">
        <v>101</v>
      </c>
      <c r="E186" s="15">
        <v>5562</v>
      </c>
    </row>
    <row r="187" spans="1:5" x14ac:dyDescent="0.2">
      <c r="A187">
        <v>2024</v>
      </c>
      <c r="B187" t="s">
        <v>116</v>
      </c>
      <c r="C187">
        <v>4</v>
      </c>
      <c r="D187" t="s">
        <v>100</v>
      </c>
      <c r="E187" s="15">
        <v>6595</v>
      </c>
    </row>
    <row r="188" spans="1:5" x14ac:dyDescent="0.2">
      <c r="A188">
        <v>2024</v>
      </c>
      <c r="B188" t="s">
        <v>116</v>
      </c>
      <c r="C188">
        <v>4</v>
      </c>
      <c r="D188" t="s">
        <v>101</v>
      </c>
      <c r="E188" s="15">
        <v>2478</v>
      </c>
    </row>
    <row r="189" spans="1:5" x14ac:dyDescent="0.2">
      <c r="A189">
        <v>2024</v>
      </c>
      <c r="B189" t="s">
        <v>117</v>
      </c>
      <c r="C189">
        <v>5</v>
      </c>
      <c r="D189" t="s">
        <v>100</v>
      </c>
      <c r="E189" s="15">
        <v>22933</v>
      </c>
    </row>
    <row r="190" spans="1:5" x14ac:dyDescent="0.2">
      <c r="A190">
        <v>2024</v>
      </c>
      <c r="B190" t="s">
        <v>117</v>
      </c>
      <c r="C190">
        <v>5</v>
      </c>
      <c r="D190" t="s">
        <v>101</v>
      </c>
      <c r="E190" s="15">
        <v>7498</v>
      </c>
    </row>
    <row r="191" spans="1:5" x14ac:dyDescent="0.2">
      <c r="A191">
        <v>2024</v>
      </c>
      <c r="B191" t="s">
        <v>118</v>
      </c>
      <c r="C191">
        <v>6</v>
      </c>
      <c r="D191" t="s">
        <v>100</v>
      </c>
      <c r="E191" s="15">
        <v>36261</v>
      </c>
    </row>
    <row r="192" spans="1:5" x14ac:dyDescent="0.2">
      <c r="A192">
        <v>2024</v>
      </c>
      <c r="B192" t="s">
        <v>118</v>
      </c>
      <c r="C192">
        <v>6</v>
      </c>
      <c r="D192" t="s">
        <v>101</v>
      </c>
      <c r="E192" s="15">
        <v>11216</v>
      </c>
    </row>
    <row r="193" spans="1:5" x14ac:dyDescent="0.2">
      <c r="A193">
        <v>2024</v>
      </c>
      <c r="B193" t="s">
        <v>119</v>
      </c>
      <c r="C193">
        <v>7</v>
      </c>
      <c r="D193" t="s">
        <v>100</v>
      </c>
      <c r="E193" s="15">
        <v>20100</v>
      </c>
    </row>
    <row r="194" spans="1:5" x14ac:dyDescent="0.2">
      <c r="A194">
        <v>2024</v>
      </c>
      <c r="B194" t="s">
        <v>119</v>
      </c>
      <c r="C194">
        <v>7</v>
      </c>
      <c r="D194" t="s">
        <v>101</v>
      </c>
      <c r="E194" s="15">
        <v>6285</v>
      </c>
    </row>
    <row r="195" spans="1:5" x14ac:dyDescent="0.2">
      <c r="A195">
        <v>2024</v>
      </c>
      <c r="B195" t="s">
        <v>120</v>
      </c>
      <c r="C195">
        <v>8</v>
      </c>
      <c r="D195" t="s">
        <v>100</v>
      </c>
      <c r="E195" s="15">
        <v>48359</v>
      </c>
    </row>
    <row r="196" spans="1:5" x14ac:dyDescent="0.2">
      <c r="A196">
        <v>2024</v>
      </c>
      <c r="B196" t="s">
        <v>120</v>
      </c>
      <c r="C196">
        <v>8</v>
      </c>
      <c r="D196" t="s">
        <v>101</v>
      </c>
      <c r="E196" s="15">
        <v>23329</v>
      </c>
    </row>
    <row r="197" spans="1:5" x14ac:dyDescent="0.2">
      <c r="A197">
        <v>2024</v>
      </c>
      <c r="B197" t="s">
        <v>121</v>
      </c>
      <c r="C197">
        <v>9</v>
      </c>
      <c r="D197" t="s">
        <v>100</v>
      </c>
      <c r="E197" s="15">
        <v>40824</v>
      </c>
    </row>
    <row r="198" spans="1:5" x14ac:dyDescent="0.2">
      <c r="A198">
        <v>2024</v>
      </c>
      <c r="B198" t="s">
        <v>121</v>
      </c>
      <c r="C198">
        <v>9</v>
      </c>
      <c r="D198" t="s">
        <v>101</v>
      </c>
      <c r="E198" s="15">
        <v>25139</v>
      </c>
    </row>
    <row r="199" spans="1:5" x14ac:dyDescent="0.2">
      <c r="A199">
        <v>2024</v>
      </c>
      <c r="B199" t="s">
        <v>122</v>
      </c>
      <c r="C199">
        <v>10</v>
      </c>
      <c r="D199" t="s">
        <v>100</v>
      </c>
      <c r="E199" s="15">
        <v>58289</v>
      </c>
    </row>
    <row r="200" spans="1:5" x14ac:dyDescent="0.2">
      <c r="A200">
        <v>2024</v>
      </c>
      <c r="B200" t="s">
        <v>122</v>
      </c>
      <c r="C200">
        <v>10</v>
      </c>
      <c r="D200" t="s">
        <v>101</v>
      </c>
      <c r="E200" s="15">
        <v>36450</v>
      </c>
    </row>
    <row r="201" spans="1:5" x14ac:dyDescent="0.2">
      <c r="A201">
        <v>2024</v>
      </c>
      <c r="B201" t="s">
        <v>123</v>
      </c>
      <c r="C201">
        <v>11</v>
      </c>
      <c r="D201" t="s">
        <v>100</v>
      </c>
      <c r="E201" s="15">
        <v>183833</v>
      </c>
    </row>
    <row r="202" spans="1:5" x14ac:dyDescent="0.2">
      <c r="A202">
        <v>2024</v>
      </c>
      <c r="B202" t="s">
        <v>123</v>
      </c>
      <c r="C202">
        <v>11</v>
      </c>
      <c r="D202" t="s">
        <v>101</v>
      </c>
      <c r="E202" s="15">
        <v>114872</v>
      </c>
    </row>
    <row r="203" spans="1:5" x14ac:dyDescent="0.2">
      <c r="A203">
        <v>2025</v>
      </c>
      <c r="B203" t="s">
        <v>113</v>
      </c>
      <c r="C203">
        <v>1</v>
      </c>
      <c r="D203" t="s">
        <v>100</v>
      </c>
      <c r="E203" s="15">
        <v>1347</v>
      </c>
    </row>
    <row r="204" spans="1:5" x14ac:dyDescent="0.2">
      <c r="A204">
        <v>2025</v>
      </c>
      <c r="B204" t="s">
        <v>113</v>
      </c>
      <c r="C204">
        <v>1</v>
      </c>
      <c r="D204" t="s">
        <v>101</v>
      </c>
      <c r="E204" s="15">
        <v>824</v>
      </c>
    </row>
    <row r="205" spans="1:5" x14ac:dyDescent="0.2">
      <c r="A205">
        <v>2025</v>
      </c>
      <c r="B205" t="s">
        <v>114</v>
      </c>
      <c r="C205">
        <v>2</v>
      </c>
      <c r="D205" t="s">
        <v>100</v>
      </c>
      <c r="E205" s="15">
        <v>14268</v>
      </c>
    </row>
    <row r="206" spans="1:5" x14ac:dyDescent="0.2">
      <c r="A206">
        <v>2025</v>
      </c>
      <c r="B206" t="s">
        <v>114</v>
      </c>
      <c r="C206">
        <v>2</v>
      </c>
      <c r="D206" t="s">
        <v>101</v>
      </c>
      <c r="E206" s="15">
        <v>7472</v>
      </c>
    </row>
    <row r="207" spans="1:5" x14ac:dyDescent="0.2">
      <c r="A207">
        <v>2025</v>
      </c>
      <c r="B207" t="s">
        <v>115</v>
      </c>
      <c r="C207">
        <v>3</v>
      </c>
      <c r="D207" t="s">
        <v>100</v>
      </c>
      <c r="E207" s="15">
        <v>13350</v>
      </c>
    </row>
    <row r="208" spans="1:5" x14ac:dyDescent="0.2">
      <c r="A208">
        <v>2025</v>
      </c>
      <c r="B208" t="s">
        <v>115</v>
      </c>
      <c r="C208">
        <v>3</v>
      </c>
      <c r="D208" t="s">
        <v>101</v>
      </c>
      <c r="E208" s="15">
        <v>5537</v>
      </c>
    </row>
    <row r="209" spans="1:5" x14ac:dyDescent="0.2">
      <c r="A209">
        <v>2025</v>
      </c>
      <c r="B209" t="s">
        <v>116</v>
      </c>
      <c r="C209">
        <v>4</v>
      </c>
      <c r="D209" t="s">
        <v>100</v>
      </c>
      <c r="E209" s="15">
        <v>7024</v>
      </c>
    </row>
    <row r="210" spans="1:5" x14ac:dyDescent="0.2">
      <c r="A210">
        <v>2025</v>
      </c>
      <c r="B210" t="s">
        <v>116</v>
      </c>
      <c r="C210">
        <v>4</v>
      </c>
      <c r="D210" t="s">
        <v>101</v>
      </c>
      <c r="E210" s="15">
        <v>2498</v>
      </c>
    </row>
    <row r="211" spans="1:5" x14ac:dyDescent="0.2">
      <c r="A211">
        <v>2025</v>
      </c>
      <c r="B211" t="s">
        <v>117</v>
      </c>
      <c r="C211">
        <v>5</v>
      </c>
      <c r="D211" t="s">
        <v>100</v>
      </c>
      <c r="E211" s="15">
        <v>24839</v>
      </c>
    </row>
    <row r="212" spans="1:5" x14ac:dyDescent="0.2">
      <c r="A212">
        <v>2025</v>
      </c>
      <c r="B212" t="s">
        <v>117</v>
      </c>
      <c r="C212">
        <v>5</v>
      </c>
      <c r="D212" t="s">
        <v>101</v>
      </c>
      <c r="E212" s="15">
        <v>8060</v>
      </c>
    </row>
    <row r="213" spans="1:5" x14ac:dyDescent="0.2">
      <c r="A213">
        <v>2025</v>
      </c>
      <c r="B213" t="s">
        <v>118</v>
      </c>
      <c r="C213">
        <v>6</v>
      </c>
      <c r="D213" t="s">
        <v>100</v>
      </c>
      <c r="E213" s="15">
        <v>39369</v>
      </c>
    </row>
    <row r="214" spans="1:5" x14ac:dyDescent="0.2">
      <c r="A214">
        <v>2025</v>
      </c>
      <c r="B214" t="s">
        <v>118</v>
      </c>
      <c r="C214">
        <v>6</v>
      </c>
      <c r="D214" t="s">
        <v>101</v>
      </c>
      <c r="E214" s="15">
        <v>12016</v>
      </c>
    </row>
    <row r="215" spans="1:5" x14ac:dyDescent="0.2">
      <c r="A215">
        <v>2025</v>
      </c>
      <c r="B215" t="s">
        <v>119</v>
      </c>
      <c r="C215">
        <v>7</v>
      </c>
      <c r="D215" t="s">
        <v>100</v>
      </c>
      <c r="E215" s="15">
        <v>21606</v>
      </c>
    </row>
    <row r="216" spans="1:5" x14ac:dyDescent="0.2">
      <c r="A216">
        <v>2025</v>
      </c>
      <c r="B216" t="s">
        <v>119</v>
      </c>
      <c r="C216">
        <v>7</v>
      </c>
      <c r="D216" t="s">
        <v>101</v>
      </c>
      <c r="E216" s="15">
        <v>6399</v>
      </c>
    </row>
    <row r="217" spans="1:5" x14ac:dyDescent="0.2">
      <c r="A217">
        <v>2025</v>
      </c>
      <c r="B217" t="s">
        <v>120</v>
      </c>
      <c r="C217">
        <v>8</v>
      </c>
      <c r="D217" t="s">
        <v>100</v>
      </c>
      <c r="E217" s="15">
        <v>48396</v>
      </c>
    </row>
    <row r="218" spans="1:5" x14ac:dyDescent="0.2">
      <c r="A218">
        <v>2025</v>
      </c>
      <c r="B218" t="s">
        <v>120</v>
      </c>
      <c r="C218">
        <v>8</v>
      </c>
      <c r="D218" t="s">
        <v>101</v>
      </c>
      <c r="E218" s="15">
        <v>22454</v>
      </c>
    </row>
    <row r="219" spans="1:5" x14ac:dyDescent="0.2">
      <c r="A219">
        <v>2025</v>
      </c>
      <c r="B219" t="s">
        <v>121</v>
      </c>
      <c r="C219">
        <v>9</v>
      </c>
      <c r="D219" t="s">
        <v>100</v>
      </c>
      <c r="E219" s="15">
        <v>37439</v>
      </c>
    </row>
    <row r="220" spans="1:5" x14ac:dyDescent="0.2">
      <c r="A220">
        <v>2025</v>
      </c>
      <c r="B220" t="s">
        <v>121</v>
      </c>
      <c r="C220">
        <v>9</v>
      </c>
      <c r="D220" t="s">
        <v>101</v>
      </c>
      <c r="E220" s="15">
        <v>22880</v>
      </c>
    </row>
    <row r="221" spans="1:5" x14ac:dyDescent="0.2">
      <c r="A221">
        <v>2025</v>
      </c>
      <c r="B221" t="s">
        <v>122</v>
      </c>
      <c r="C221">
        <v>10</v>
      </c>
      <c r="D221" t="s">
        <v>100</v>
      </c>
      <c r="E221" s="15">
        <v>57318</v>
      </c>
    </row>
    <row r="222" spans="1:5" x14ac:dyDescent="0.2">
      <c r="A222">
        <v>2025</v>
      </c>
      <c r="B222" t="s">
        <v>122</v>
      </c>
      <c r="C222">
        <v>10</v>
      </c>
      <c r="D222" t="s">
        <v>101</v>
      </c>
      <c r="E222" s="15">
        <v>36368</v>
      </c>
    </row>
    <row r="223" spans="1:5" x14ac:dyDescent="0.2">
      <c r="A223">
        <v>2025</v>
      </c>
      <c r="B223" t="s">
        <v>123</v>
      </c>
      <c r="C223">
        <v>11</v>
      </c>
      <c r="D223" t="s">
        <v>100</v>
      </c>
      <c r="E223" s="15">
        <v>189106</v>
      </c>
    </row>
    <row r="224" spans="1:5" x14ac:dyDescent="0.2">
      <c r="A224">
        <v>2025</v>
      </c>
      <c r="B224" t="s">
        <v>123</v>
      </c>
      <c r="C224">
        <v>11</v>
      </c>
      <c r="D224" t="s">
        <v>101</v>
      </c>
      <c r="E224" s="15">
        <v>117047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topLeftCell="A22" zoomScale="111" workbookViewId="0">
      <selection activeCell="A38" sqref="A38"/>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128</v>
      </c>
    </row>
    <row r="2" spans="1:14" x14ac:dyDescent="0.2">
      <c r="A2" s="2" t="s">
        <v>129</v>
      </c>
    </row>
    <row r="4" spans="1:14" ht="30" customHeight="1" x14ac:dyDescent="0.2">
      <c r="A4" s="5" t="s">
        <v>130</v>
      </c>
      <c r="B4" s="5" t="s">
        <v>131</v>
      </c>
      <c r="C4" s="5" t="s">
        <v>132</v>
      </c>
      <c r="D4" s="5" t="s">
        <v>103</v>
      </c>
      <c r="E4" s="5" t="s">
        <v>104</v>
      </c>
      <c r="F4" s="5" t="s">
        <v>133</v>
      </c>
      <c r="G4" s="5" t="s">
        <v>134</v>
      </c>
      <c r="H4" s="5" t="s">
        <v>102</v>
      </c>
      <c r="I4" s="5" t="s">
        <v>135</v>
      </c>
      <c r="J4" s="5" t="s">
        <v>136</v>
      </c>
      <c r="K4" s="5" t="s">
        <v>137</v>
      </c>
      <c r="L4" s="5" t="s">
        <v>138</v>
      </c>
      <c r="M4" s="5" t="s">
        <v>107</v>
      </c>
      <c r="N4" s="5" t="s">
        <v>139</v>
      </c>
    </row>
    <row r="5" spans="1:14" x14ac:dyDescent="0.2">
      <c r="A5" s="6" t="s">
        <v>140</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10">
        <v>89</v>
      </c>
    </row>
    <row r="6" spans="1:14" x14ac:dyDescent="0.2">
      <c r="A6" s="6" t="s">
        <v>432</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10">
        <v>171</v>
      </c>
    </row>
    <row r="7" spans="1:14" x14ac:dyDescent="0.2">
      <c r="A7" s="6" t="s">
        <v>441</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10">
        <v>19</v>
      </c>
    </row>
    <row r="8" spans="1:14" x14ac:dyDescent="0.2">
      <c r="A8" s="6" t="s">
        <v>143</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10">
        <v>19</v>
      </c>
    </row>
    <row r="9" spans="1:14" x14ac:dyDescent="0.2">
      <c r="A9" s="6" t="s">
        <v>433</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10">
        <v>53</v>
      </c>
    </row>
    <row r="10" spans="1:14" x14ac:dyDescent="0.2">
      <c r="A10" s="6" t="s">
        <v>145</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10">
        <v>17</v>
      </c>
    </row>
    <row r="11" spans="1:14" x14ac:dyDescent="0.2">
      <c r="A11" s="6" t="s">
        <v>434</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10">
        <v>78</v>
      </c>
    </row>
    <row r="12" spans="1:14" x14ac:dyDescent="0.2">
      <c r="A12" s="6" t="s">
        <v>435</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10">
        <v>157</v>
      </c>
    </row>
    <row r="13" spans="1:14" x14ac:dyDescent="0.2">
      <c r="A13" s="6" t="s">
        <v>436</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10">
        <v>39</v>
      </c>
    </row>
    <row r="14" spans="1:14" x14ac:dyDescent="0.2">
      <c r="A14" s="6" t="s">
        <v>438</v>
      </c>
      <c r="B14" s="7">
        <v>2168</v>
      </c>
      <c r="C14" s="7">
        <v>1601</v>
      </c>
      <c r="D14" s="7">
        <f t="shared" si="0"/>
        <v>567</v>
      </c>
      <c r="E14" s="9">
        <f t="shared" si="1"/>
        <v>0.35415365396627108</v>
      </c>
      <c r="F14" s="7">
        <v>1113</v>
      </c>
      <c r="G14" s="7">
        <v>1055</v>
      </c>
      <c r="H14" s="8">
        <f t="shared" si="2"/>
        <v>0.48662361623616235</v>
      </c>
      <c r="I14" s="7">
        <v>172</v>
      </c>
      <c r="J14" s="7">
        <v>679</v>
      </c>
      <c r="K14" s="7">
        <v>2135597</v>
      </c>
      <c r="L14" s="10">
        <f t="shared" si="3"/>
        <v>1.0151728064798742</v>
      </c>
      <c r="M14" s="10">
        <f t="shared" si="4"/>
        <v>433.6</v>
      </c>
      <c r="N14" s="10">
        <v>5</v>
      </c>
    </row>
    <row r="15" spans="1:14" x14ac:dyDescent="0.2">
      <c r="A15" s="6" t="s">
        <v>437</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10">
        <v>21</v>
      </c>
    </row>
    <row r="16" spans="1:14" x14ac:dyDescent="0.2">
      <c r="A16" s="6" t="s">
        <v>151</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10">
        <v>53</v>
      </c>
    </row>
    <row r="17" spans="1:14" x14ac:dyDescent="0.2">
      <c r="A17" s="6" t="s">
        <v>152</v>
      </c>
      <c r="B17" s="7">
        <v>32698</v>
      </c>
      <c r="C17" s="7">
        <v>22709</v>
      </c>
      <c r="D17" s="7">
        <f t="shared" si="0"/>
        <v>9989</v>
      </c>
      <c r="E17" s="9">
        <f t="shared" si="1"/>
        <v>0.43986965520278304</v>
      </c>
      <c r="F17" s="7">
        <v>23337</v>
      </c>
      <c r="G17" s="7">
        <v>9361</v>
      </c>
      <c r="H17" s="8">
        <f t="shared" si="2"/>
        <v>0.28628662303504804</v>
      </c>
      <c r="I17" s="7">
        <v>310</v>
      </c>
      <c r="J17" s="7">
        <v>8930</v>
      </c>
      <c r="K17" s="7" t="s">
        <v>153</v>
      </c>
      <c r="L17" s="10" t="s">
        <v>153</v>
      </c>
      <c r="M17" s="10" t="s">
        <v>153</v>
      </c>
      <c r="N17" s="10" t="s">
        <v>153</v>
      </c>
    </row>
    <row r="18" spans="1:14" x14ac:dyDescent="0.2">
      <c r="A18" s="13" t="s">
        <v>112</v>
      </c>
      <c r="B18" s="14">
        <f>SUM(B5:B17)</f>
        <v>695617</v>
      </c>
      <c r="C18" s="14">
        <f>SUM(C5:C17)</f>
        <v>643158</v>
      </c>
      <c r="D18" s="14">
        <f>SUM(D5:D17)</f>
        <v>52459</v>
      </c>
      <c r="E18" s="16">
        <f>D18/C18</f>
        <v>8.1564716601519371E-2</v>
      </c>
      <c r="F18" s="14">
        <f>SUM(F5:F17)</f>
        <v>454062</v>
      </c>
      <c r="G18" s="14">
        <f>SUM(G5:G17)</f>
        <v>241555</v>
      </c>
      <c r="H18" s="17">
        <f t="shared" si="2"/>
        <v>0.34725287047326331</v>
      </c>
      <c r="I18" s="14">
        <f>SUM(I5:I17)</f>
        <v>42798</v>
      </c>
      <c r="J18" s="14">
        <f>SUM(J5:J17)</f>
        <v>306153</v>
      </c>
      <c r="K18" s="7"/>
      <c r="L18" s="10"/>
      <c r="M18" s="10"/>
      <c r="N18" s="10"/>
    </row>
    <row r="20" spans="1:14" x14ac:dyDescent="0.2">
      <c r="A20" s="2" t="s">
        <v>154</v>
      </c>
    </row>
    <row r="22" spans="1:14" x14ac:dyDescent="0.2">
      <c r="A22" s="2" t="s">
        <v>424</v>
      </c>
    </row>
    <row r="23" spans="1:14" x14ac:dyDescent="0.2">
      <c r="A23" s="2" t="s">
        <v>425</v>
      </c>
    </row>
    <row r="24" spans="1:14" x14ac:dyDescent="0.2">
      <c r="A24" s="2" t="s">
        <v>426</v>
      </c>
    </row>
    <row r="25" spans="1:14" x14ac:dyDescent="0.2">
      <c r="A25" s="2" t="s">
        <v>427</v>
      </c>
    </row>
    <row r="28" spans="1:14" x14ac:dyDescent="0.2">
      <c r="A28" s="17" t="s">
        <v>428</v>
      </c>
    </row>
    <row r="29" spans="1:14" x14ac:dyDescent="0.2">
      <c r="A29" s="2" t="s">
        <v>429</v>
      </c>
    </row>
    <row r="30" spans="1:14" ht="30" x14ac:dyDescent="0.2">
      <c r="A30" s="5" t="s">
        <v>430</v>
      </c>
      <c r="B30" s="5" t="s">
        <v>431</v>
      </c>
      <c r="C30" s="5" t="s">
        <v>131</v>
      </c>
      <c r="D30" s="5" t="s">
        <v>137</v>
      </c>
      <c r="E30" s="5" t="s">
        <v>138</v>
      </c>
    </row>
    <row r="31" spans="1:14" x14ac:dyDescent="0.2">
      <c r="A31" t="e" vm="1">
        <v>#VALUE!</v>
      </c>
      <c r="B31" t="s">
        <v>140</v>
      </c>
      <c r="C31" s="7">
        <f>B5</f>
        <v>76079</v>
      </c>
      <c r="D31" s="7">
        <f t="shared" ref="D31:E33" si="5">K5</f>
        <v>11245898</v>
      </c>
      <c r="E31" s="9">
        <f t="shared" si="5"/>
        <v>6.7650444633234272</v>
      </c>
    </row>
    <row r="32" spans="1:14" x14ac:dyDescent="0.2">
      <c r="A32" t="e" vm="2">
        <v>#VALUE!</v>
      </c>
      <c r="B32" t="s">
        <v>141</v>
      </c>
      <c r="C32" s="7">
        <f>B6</f>
        <v>144501</v>
      </c>
      <c r="D32" s="7">
        <f t="shared" si="5"/>
        <v>13248928</v>
      </c>
      <c r="E32" s="9">
        <f t="shared" si="5"/>
        <v>10.906618256209105</v>
      </c>
    </row>
    <row r="33" spans="1:5" x14ac:dyDescent="0.2">
      <c r="A33" t="e" vm="3">
        <v>#VALUE!</v>
      </c>
      <c r="B33" t="s">
        <v>142</v>
      </c>
      <c r="C33" s="7">
        <f>B7</f>
        <v>27777</v>
      </c>
      <c r="D33" s="7">
        <f t="shared" si="5"/>
        <v>6242012</v>
      </c>
      <c r="E33" s="9">
        <f t="shared" si="5"/>
        <v>4.4500074655415593</v>
      </c>
    </row>
    <row r="34" spans="1:5" x14ac:dyDescent="0.2">
      <c r="A34" t="e" vm="4">
        <v>#VALUE!</v>
      </c>
      <c r="B34" t="s">
        <v>142</v>
      </c>
      <c r="C34" s="7">
        <f>B7</f>
        <v>27777</v>
      </c>
      <c r="D34" s="7">
        <f>K7</f>
        <v>6242012</v>
      </c>
      <c r="E34" s="9">
        <f>L7</f>
        <v>4.4500074655415593</v>
      </c>
    </row>
    <row r="35" spans="1:5" x14ac:dyDescent="0.2">
      <c r="A35" t="e" vm="5">
        <v>#VALUE!</v>
      </c>
      <c r="B35" t="s">
        <v>146</v>
      </c>
      <c r="C35" s="7">
        <f>B11</f>
        <v>78772</v>
      </c>
      <c r="D35" s="7">
        <f>K11</f>
        <v>8709370</v>
      </c>
      <c r="E35" s="9">
        <f>L11</f>
        <v>9.044511830362012</v>
      </c>
    </row>
    <row r="36" spans="1:5" x14ac:dyDescent="0.2">
      <c r="A36" t="e" vm="6">
        <v>#VALUE!</v>
      </c>
      <c r="B36" t="s">
        <v>143</v>
      </c>
      <c r="C36" s="7">
        <f>B8</f>
        <v>22099</v>
      </c>
      <c r="D36" s="7">
        <f>K8</f>
        <v>1862565</v>
      </c>
      <c r="E36" s="9">
        <f>L8</f>
        <v>11.864820825045031</v>
      </c>
    </row>
    <row r="37" spans="1:5" x14ac:dyDescent="0.2">
      <c r="A37" t="e" vm="7">
        <v>#VALUE!</v>
      </c>
      <c r="B37" t="s">
        <v>144</v>
      </c>
      <c r="C37" s="7">
        <f>B9</f>
        <v>49741</v>
      </c>
      <c r="D37" s="7">
        <f>K9</f>
        <v>6280793</v>
      </c>
      <c r="E37" s="9">
        <f>L9</f>
        <v>7.9195413700149011</v>
      </c>
    </row>
    <row r="38" spans="1:5" x14ac:dyDescent="0.2">
      <c r="A38" t="e" vm="8">
        <v>#VALUE!</v>
      </c>
      <c r="B38" t="s">
        <v>146</v>
      </c>
      <c r="C38" s="7">
        <f>B11</f>
        <v>78772</v>
      </c>
      <c r="D38" s="7">
        <f>K11</f>
        <v>8709370</v>
      </c>
      <c r="E38" s="9">
        <f>L11</f>
        <v>9.044511830362012</v>
      </c>
    </row>
    <row r="39" spans="1:5" x14ac:dyDescent="0.2">
      <c r="A39" t="e" vm="9">
        <v>#VALUE!</v>
      </c>
      <c r="B39" t="s">
        <v>145</v>
      </c>
      <c r="C39" s="7">
        <f>B10</f>
        <v>18752</v>
      </c>
      <c r="D39" s="7">
        <f>K10</f>
        <v>1573597</v>
      </c>
      <c r="E39" s="9">
        <f>L10</f>
        <v>11.916647019535498</v>
      </c>
    </row>
    <row r="40" spans="1:5" x14ac:dyDescent="0.2">
      <c r="A40" t="e" vm="10">
        <v>#VALUE!</v>
      </c>
      <c r="B40" t="s">
        <v>147</v>
      </c>
      <c r="C40" s="7">
        <f>B12</f>
        <v>144750</v>
      </c>
      <c r="D40" s="7">
        <f>K12</f>
        <v>18034454</v>
      </c>
      <c r="E40" s="9">
        <f>L12</f>
        <v>8.0263034300899836</v>
      </c>
    </row>
    <row r="41" spans="1:5" x14ac:dyDescent="0.2">
      <c r="A41" t="e" vm="11">
        <v>#VALUE!</v>
      </c>
      <c r="B41" t="s">
        <v>148</v>
      </c>
      <c r="C41" s="7">
        <f>B13</f>
        <v>30113</v>
      </c>
      <c r="D41" s="7">
        <f>K13</f>
        <v>5141710</v>
      </c>
      <c r="E41" s="9">
        <f>L13</f>
        <v>5.8566119053777825</v>
      </c>
    </row>
    <row r="42" spans="1:5" x14ac:dyDescent="0.2">
      <c r="A42" t="e" vm="12">
        <v>#VALUE!</v>
      </c>
      <c r="B42" t="s">
        <v>148</v>
      </c>
      <c r="C42" s="7">
        <f>B13</f>
        <v>30113</v>
      </c>
      <c r="D42" s="7">
        <f>K13</f>
        <v>5141710</v>
      </c>
      <c r="E42" s="9">
        <f>L13</f>
        <v>5.8566119053777825</v>
      </c>
    </row>
    <row r="43" spans="1:5" x14ac:dyDescent="0.2">
      <c r="A43" t="e" vm="13">
        <v>#VALUE!</v>
      </c>
      <c r="B43" t="s">
        <v>150</v>
      </c>
      <c r="C43" s="7">
        <f>B15</f>
        <v>13696</v>
      </c>
      <c r="D43" s="7">
        <f>K15</f>
        <v>6142699</v>
      </c>
      <c r="E43" s="9">
        <f>L15</f>
        <v>2.2296387955848074</v>
      </c>
    </row>
    <row r="44" spans="1:5" x14ac:dyDescent="0.2">
      <c r="A44" t="e" vm="14">
        <v>#VALUE!</v>
      </c>
      <c r="B44" t="s">
        <v>149</v>
      </c>
      <c r="C44" s="7">
        <f>B14</f>
        <v>2168</v>
      </c>
      <c r="D44" s="7">
        <f>K14</f>
        <v>2135597</v>
      </c>
      <c r="E44" s="9">
        <f>L14</f>
        <v>1.0151728064798742</v>
      </c>
    </row>
    <row r="45" spans="1:5" x14ac:dyDescent="0.2">
      <c r="A45" t="e" vm="15">
        <v>#VALUE!</v>
      </c>
      <c r="B45" t="s">
        <v>151</v>
      </c>
      <c r="C45" s="7">
        <f>B16</f>
        <v>54471</v>
      </c>
      <c r="D45" s="7">
        <f>K16</f>
        <v>2959517</v>
      </c>
      <c r="E45" s="9">
        <f>L16</f>
        <v>18.405368173252594</v>
      </c>
    </row>
    <row r="46" spans="1:5" x14ac:dyDescent="0.2">
      <c r="A46" t="s">
        <v>439</v>
      </c>
      <c r="B46" t="s">
        <v>150</v>
      </c>
      <c r="C46" s="7">
        <f>B15</f>
        <v>13696</v>
      </c>
      <c r="D46" s="7">
        <f>K15</f>
        <v>6142699</v>
      </c>
      <c r="E46" s="9">
        <f>L15</f>
        <v>2.2296387955848074</v>
      </c>
    </row>
    <row r="48" spans="1:5" x14ac:dyDescent="0.2">
      <c r="A48" s="2" t="s">
        <v>440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434"/>
  <sheetViews>
    <sheetView workbookViewId="0">
      <selection activeCell="E10" sqref="E10"/>
    </sheetView>
  </sheetViews>
  <sheetFormatPr baseColWidth="10" defaultColWidth="8.83203125" defaultRowHeight="15" x14ac:dyDescent="0.2"/>
  <cols>
    <col min="1" max="1" width="8" customWidth="1"/>
    <col min="2" max="2" width="26" customWidth="1"/>
    <col min="3" max="3" width="14" customWidth="1"/>
    <col min="4" max="4" width="10" customWidth="1"/>
    <col min="5" max="5" width="12" customWidth="1"/>
  </cols>
  <sheetData>
    <row r="1" spans="1:5" ht="19" x14ac:dyDescent="0.25">
      <c r="A1" s="1" t="s">
        <v>155</v>
      </c>
    </row>
    <row r="2" spans="1:5" x14ac:dyDescent="0.2">
      <c r="A2" s="2" t="s">
        <v>156</v>
      </c>
    </row>
    <row r="4" spans="1:5" ht="30" customHeight="1" x14ac:dyDescent="0.2">
      <c r="A4" s="5" t="s">
        <v>98</v>
      </c>
      <c r="B4" s="5" t="s">
        <v>130</v>
      </c>
      <c r="C4" s="5" t="s">
        <v>111</v>
      </c>
      <c r="D4" s="5" t="s">
        <v>126</v>
      </c>
      <c r="E4" s="5" t="s">
        <v>99</v>
      </c>
    </row>
    <row r="5" spans="1:5" x14ac:dyDescent="0.2">
      <c r="A5">
        <v>2016</v>
      </c>
      <c r="B5" t="s">
        <v>140</v>
      </c>
      <c r="C5" t="s">
        <v>113</v>
      </c>
      <c r="D5">
        <v>1</v>
      </c>
      <c r="E5" s="15">
        <v>274</v>
      </c>
    </row>
    <row r="6" spans="1:5" x14ac:dyDescent="0.2">
      <c r="A6">
        <v>2016</v>
      </c>
      <c r="B6" t="s">
        <v>140</v>
      </c>
      <c r="C6" t="s">
        <v>114</v>
      </c>
      <c r="D6">
        <v>2</v>
      </c>
      <c r="E6" s="15">
        <v>3645</v>
      </c>
    </row>
    <row r="7" spans="1:5" x14ac:dyDescent="0.2">
      <c r="A7">
        <v>2016</v>
      </c>
      <c r="B7" t="s">
        <v>140</v>
      </c>
      <c r="C7" t="s">
        <v>115</v>
      </c>
      <c r="D7">
        <v>3</v>
      </c>
      <c r="E7" s="15">
        <v>2589</v>
      </c>
    </row>
    <row r="8" spans="1:5" x14ac:dyDescent="0.2">
      <c r="A8">
        <v>2016</v>
      </c>
      <c r="B8" t="s">
        <v>140</v>
      </c>
      <c r="C8" t="s">
        <v>116</v>
      </c>
      <c r="D8">
        <v>4</v>
      </c>
      <c r="E8" s="15">
        <v>1093</v>
      </c>
    </row>
    <row r="9" spans="1:5" x14ac:dyDescent="0.2">
      <c r="A9">
        <v>2016</v>
      </c>
      <c r="B9" t="s">
        <v>140</v>
      </c>
      <c r="C9" t="s">
        <v>117</v>
      </c>
      <c r="D9">
        <v>5</v>
      </c>
      <c r="E9" s="15">
        <v>2684</v>
      </c>
    </row>
    <row r="10" spans="1:5" x14ac:dyDescent="0.2">
      <c r="A10">
        <v>2016</v>
      </c>
      <c r="B10" t="s">
        <v>140</v>
      </c>
      <c r="C10" t="s">
        <v>118</v>
      </c>
      <c r="D10">
        <v>6</v>
      </c>
      <c r="E10" s="15">
        <v>3418</v>
      </c>
    </row>
    <row r="11" spans="1:5" x14ac:dyDescent="0.2">
      <c r="A11">
        <v>2016</v>
      </c>
      <c r="B11" t="s">
        <v>140</v>
      </c>
      <c r="C11" t="s">
        <v>119</v>
      </c>
      <c r="D11">
        <v>7</v>
      </c>
      <c r="E11" s="15">
        <v>2226</v>
      </c>
    </row>
    <row r="12" spans="1:5" x14ac:dyDescent="0.2">
      <c r="A12">
        <v>2016</v>
      </c>
      <c r="B12" t="s">
        <v>140</v>
      </c>
      <c r="C12" t="s">
        <v>120</v>
      </c>
      <c r="D12">
        <v>8</v>
      </c>
      <c r="E12" s="15">
        <v>10029</v>
      </c>
    </row>
    <row r="13" spans="1:5" x14ac:dyDescent="0.2">
      <c r="A13">
        <v>2016</v>
      </c>
      <c r="B13" t="s">
        <v>140</v>
      </c>
      <c r="C13" t="s">
        <v>121</v>
      </c>
      <c r="D13">
        <v>9</v>
      </c>
      <c r="E13" s="15">
        <v>8410</v>
      </c>
    </row>
    <row r="14" spans="1:5" x14ac:dyDescent="0.2">
      <c r="A14">
        <v>2016</v>
      </c>
      <c r="B14" t="s">
        <v>140</v>
      </c>
      <c r="C14" t="s">
        <v>122</v>
      </c>
      <c r="D14">
        <v>10</v>
      </c>
      <c r="E14" s="15">
        <v>7764</v>
      </c>
    </row>
    <row r="15" spans="1:5" x14ac:dyDescent="0.2">
      <c r="A15">
        <v>2016</v>
      </c>
      <c r="B15" t="s">
        <v>140</v>
      </c>
      <c r="C15" t="s">
        <v>123</v>
      </c>
      <c r="D15">
        <v>11</v>
      </c>
      <c r="E15" s="15">
        <v>31506</v>
      </c>
    </row>
    <row r="16" spans="1:5" x14ac:dyDescent="0.2">
      <c r="A16">
        <v>2016</v>
      </c>
      <c r="B16" t="s">
        <v>141</v>
      </c>
      <c r="C16" t="s">
        <v>113</v>
      </c>
      <c r="D16">
        <v>1</v>
      </c>
      <c r="E16" s="15">
        <v>504</v>
      </c>
    </row>
    <row r="17" spans="1:5" x14ac:dyDescent="0.2">
      <c r="A17">
        <v>2016</v>
      </c>
      <c r="B17" t="s">
        <v>141</v>
      </c>
      <c r="C17" t="s">
        <v>114</v>
      </c>
      <c r="D17">
        <v>2</v>
      </c>
      <c r="E17" s="15">
        <v>5329</v>
      </c>
    </row>
    <row r="18" spans="1:5" x14ac:dyDescent="0.2">
      <c r="A18">
        <v>2016</v>
      </c>
      <c r="B18" t="s">
        <v>141</v>
      </c>
      <c r="C18" t="s">
        <v>115</v>
      </c>
      <c r="D18">
        <v>3</v>
      </c>
      <c r="E18" s="15">
        <v>3869</v>
      </c>
    </row>
    <row r="19" spans="1:5" x14ac:dyDescent="0.2">
      <c r="A19">
        <v>2016</v>
      </c>
      <c r="B19" t="s">
        <v>141</v>
      </c>
      <c r="C19" t="s">
        <v>116</v>
      </c>
      <c r="D19">
        <v>4</v>
      </c>
      <c r="E19" s="15">
        <v>1528</v>
      </c>
    </row>
    <row r="20" spans="1:5" x14ac:dyDescent="0.2">
      <c r="A20">
        <v>2016</v>
      </c>
      <c r="B20" t="s">
        <v>141</v>
      </c>
      <c r="C20" t="s">
        <v>117</v>
      </c>
      <c r="D20">
        <v>5</v>
      </c>
      <c r="E20" s="15">
        <v>4838</v>
      </c>
    </row>
    <row r="21" spans="1:5" x14ac:dyDescent="0.2">
      <c r="A21">
        <v>2016</v>
      </c>
      <c r="B21" t="s">
        <v>141</v>
      </c>
      <c r="C21" t="s">
        <v>118</v>
      </c>
      <c r="D21">
        <v>6</v>
      </c>
      <c r="E21" s="15">
        <v>8054</v>
      </c>
    </row>
    <row r="22" spans="1:5" x14ac:dyDescent="0.2">
      <c r="A22">
        <v>2016</v>
      </c>
      <c r="B22" t="s">
        <v>141</v>
      </c>
      <c r="C22" t="s">
        <v>119</v>
      </c>
      <c r="D22">
        <v>7</v>
      </c>
      <c r="E22" s="15">
        <v>6391</v>
      </c>
    </row>
    <row r="23" spans="1:5" x14ac:dyDescent="0.2">
      <c r="A23">
        <v>2016</v>
      </c>
      <c r="B23" t="s">
        <v>141</v>
      </c>
      <c r="C23" t="s">
        <v>120</v>
      </c>
      <c r="D23">
        <v>8</v>
      </c>
      <c r="E23" s="15">
        <v>23794</v>
      </c>
    </row>
    <row r="24" spans="1:5" x14ac:dyDescent="0.2">
      <c r="A24">
        <v>2016</v>
      </c>
      <c r="B24" t="s">
        <v>141</v>
      </c>
      <c r="C24" t="s">
        <v>121</v>
      </c>
      <c r="D24">
        <v>9</v>
      </c>
      <c r="E24" s="15">
        <v>17226</v>
      </c>
    </row>
    <row r="25" spans="1:5" x14ac:dyDescent="0.2">
      <c r="A25">
        <v>2016</v>
      </c>
      <c r="B25" t="s">
        <v>141</v>
      </c>
      <c r="C25" t="s">
        <v>122</v>
      </c>
      <c r="D25">
        <v>10</v>
      </c>
      <c r="E25" s="15">
        <v>15261</v>
      </c>
    </row>
    <row r="26" spans="1:5" x14ac:dyDescent="0.2">
      <c r="A26">
        <v>2016</v>
      </c>
      <c r="B26" t="s">
        <v>141</v>
      </c>
      <c r="C26" t="s">
        <v>123</v>
      </c>
      <c r="D26">
        <v>11</v>
      </c>
      <c r="E26" s="15">
        <v>52043</v>
      </c>
    </row>
    <row r="27" spans="1:5" x14ac:dyDescent="0.2">
      <c r="A27">
        <v>2016</v>
      </c>
      <c r="B27" t="s">
        <v>142</v>
      </c>
      <c r="C27" t="s">
        <v>113</v>
      </c>
      <c r="D27">
        <v>1</v>
      </c>
      <c r="E27" s="15">
        <v>60</v>
      </c>
    </row>
    <row r="28" spans="1:5" x14ac:dyDescent="0.2">
      <c r="A28">
        <v>2016</v>
      </c>
      <c r="B28" t="s">
        <v>142</v>
      </c>
      <c r="C28" t="s">
        <v>114</v>
      </c>
      <c r="D28">
        <v>2</v>
      </c>
      <c r="E28" s="15">
        <v>1024</v>
      </c>
    </row>
    <row r="29" spans="1:5" x14ac:dyDescent="0.2">
      <c r="A29">
        <v>2016</v>
      </c>
      <c r="B29" t="s">
        <v>142</v>
      </c>
      <c r="C29" t="s">
        <v>115</v>
      </c>
      <c r="D29">
        <v>3</v>
      </c>
      <c r="E29" s="15">
        <v>637</v>
      </c>
    </row>
    <row r="30" spans="1:5" x14ac:dyDescent="0.2">
      <c r="A30">
        <v>2016</v>
      </c>
      <c r="B30" t="s">
        <v>142</v>
      </c>
      <c r="C30" t="s">
        <v>116</v>
      </c>
      <c r="D30">
        <v>4</v>
      </c>
      <c r="E30" s="15">
        <v>202</v>
      </c>
    </row>
    <row r="31" spans="1:5" x14ac:dyDescent="0.2">
      <c r="A31">
        <v>2016</v>
      </c>
      <c r="B31" t="s">
        <v>142</v>
      </c>
      <c r="C31" t="s">
        <v>117</v>
      </c>
      <c r="D31">
        <v>5</v>
      </c>
      <c r="E31" s="15">
        <v>538</v>
      </c>
    </row>
    <row r="32" spans="1:5" x14ac:dyDescent="0.2">
      <c r="A32">
        <v>2016</v>
      </c>
      <c r="B32" t="s">
        <v>142</v>
      </c>
      <c r="C32" t="s">
        <v>118</v>
      </c>
      <c r="D32">
        <v>6</v>
      </c>
      <c r="E32" s="15">
        <v>1303</v>
      </c>
    </row>
    <row r="33" spans="1:5" x14ac:dyDescent="0.2">
      <c r="A33">
        <v>2016</v>
      </c>
      <c r="B33" t="s">
        <v>142</v>
      </c>
      <c r="C33" t="s">
        <v>119</v>
      </c>
      <c r="D33">
        <v>7</v>
      </c>
      <c r="E33" s="15">
        <v>1277</v>
      </c>
    </row>
    <row r="34" spans="1:5" x14ac:dyDescent="0.2">
      <c r="A34">
        <v>2016</v>
      </c>
      <c r="B34" t="s">
        <v>142</v>
      </c>
      <c r="C34" t="s">
        <v>120</v>
      </c>
      <c r="D34">
        <v>8</v>
      </c>
      <c r="E34" s="15">
        <v>4863</v>
      </c>
    </row>
    <row r="35" spans="1:5" x14ac:dyDescent="0.2">
      <c r="A35">
        <v>2016</v>
      </c>
      <c r="B35" t="s">
        <v>142</v>
      </c>
      <c r="C35" t="s">
        <v>121</v>
      </c>
      <c r="D35">
        <v>9</v>
      </c>
      <c r="E35" s="15">
        <v>3337</v>
      </c>
    </row>
    <row r="36" spans="1:5" x14ac:dyDescent="0.2">
      <c r="A36">
        <v>2016</v>
      </c>
      <c r="B36" t="s">
        <v>142</v>
      </c>
      <c r="C36" t="s">
        <v>122</v>
      </c>
      <c r="D36">
        <v>10</v>
      </c>
      <c r="E36" s="15">
        <v>2557</v>
      </c>
    </row>
    <row r="37" spans="1:5" x14ac:dyDescent="0.2">
      <c r="A37">
        <v>2016</v>
      </c>
      <c r="B37" t="s">
        <v>142</v>
      </c>
      <c r="C37" t="s">
        <v>123</v>
      </c>
      <c r="D37">
        <v>11</v>
      </c>
      <c r="E37" s="15">
        <v>8224</v>
      </c>
    </row>
    <row r="38" spans="1:5" x14ac:dyDescent="0.2">
      <c r="A38">
        <v>2016</v>
      </c>
      <c r="B38" t="s">
        <v>143</v>
      </c>
      <c r="C38" t="s">
        <v>113</v>
      </c>
      <c r="D38">
        <v>1</v>
      </c>
      <c r="E38" s="15">
        <v>62</v>
      </c>
    </row>
    <row r="39" spans="1:5" x14ac:dyDescent="0.2">
      <c r="A39">
        <v>2016</v>
      </c>
      <c r="B39" t="s">
        <v>143</v>
      </c>
      <c r="C39" t="s">
        <v>114</v>
      </c>
      <c r="D39">
        <v>2</v>
      </c>
      <c r="E39" s="15">
        <v>1282</v>
      </c>
    </row>
    <row r="40" spans="1:5" x14ac:dyDescent="0.2">
      <c r="A40">
        <v>2016</v>
      </c>
      <c r="B40" t="s">
        <v>143</v>
      </c>
      <c r="C40" t="s">
        <v>115</v>
      </c>
      <c r="D40">
        <v>3</v>
      </c>
      <c r="E40" s="15">
        <v>821</v>
      </c>
    </row>
    <row r="41" spans="1:5" x14ac:dyDescent="0.2">
      <c r="A41">
        <v>2016</v>
      </c>
      <c r="B41" t="s">
        <v>143</v>
      </c>
      <c r="C41" t="s">
        <v>116</v>
      </c>
      <c r="D41">
        <v>4</v>
      </c>
      <c r="E41" s="15">
        <v>323</v>
      </c>
    </row>
    <row r="42" spans="1:5" x14ac:dyDescent="0.2">
      <c r="A42">
        <v>2016</v>
      </c>
      <c r="B42" t="s">
        <v>143</v>
      </c>
      <c r="C42" t="s">
        <v>117</v>
      </c>
      <c r="D42">
        <v>5</v>
      </c>
      <c r="E42" s="15">
        <v>719</v>
      </c>
    </row>
    <row r="43" spans="1:5" x14ac:dyDescent="0.2">
      <c r="A43">
        <v>2016</v>
      </c>
      <c r="B43" t="s">
        <v>143</v>
      </c>
      <c r="C43" t="s">
        <v>118</v>
      </c>
      <c r="D43">
        <v>6</v>
      </c>
      <c r="E43" s="15">
        <v>927</v>
      </c>
    </row>
    <row r="44" spans="1:5" x14ac:dyDescent="0.2">
      <c r="A44">
        <v>2016</v>
      </c>
      <c r="B44" t="s">
        <v>143</v>
      </c>
      <c r="C44" t="s">
        <v>119</v>
      </c>
      <c r="D44">
        <v>7</v>
      </c>
      <c r="E44" s="15">
        <v>750</v>
      </c>
    </row>
    <row r="45" spans="1:5" x14ac:dyDescent="0.2">
      <c r="A45">
        <v>2016</v>
      </c>
      <c r="B45" t="s">
        <v>143</v>
      </c>
      <c r="C45" t="s">
        <v>120</v>
      </c>
      <c r="D45">
        <v>8</v>
      </c>
      <c r="E45" s="15">
        <v>3319</v>
      </c>
    </row>
    <row r="46" spans="1:5" x14ac:dyDescent="0.2">
      <c r="A46">
        <v>2016</v>
      </c>
      <c r="B46" t="s">
        <v>143</v>
      </c>
      <c r="C46" t="s">
        <v>121</v>
      </c>
      <c r="D46">
        <v>9</v>
      </c>
      <c r="E46" s="15">
        <v>2258</v>
      </c>
    </row>
    <row r="47" spans="1:5" x14ac:dyDescent="0.2">
      <c r="A47">
        <v>2016</v>
      </c>
      <c r="B47" t="s">
        <v>143</v>
      </c>
      <c r="C47" t="s">
        <v>122</v>
      </c>
      <c r="D47">
        <v>10</v>
      </c>
      <c r="E47" s="15">
        <v>1951</v>
      </c>
    </row>
    <row r="48" spans="1:5" x14ac:dyDescent="0.2">
      <c r="A48">
        <v>2016</v>
      </c>
      <c r="B48" t="s">
        <v>143</v>
      </c>
      <c r="C48" t="s">
        <v>123</v>
      </c>
      <c r="D48">
        <v>11</v>
      </c>
      <c r="E48" s="15">
        <v>9203</v>
      </c>
    </row>
    <row r="49" spans="1:5" x14ac:dyDescent="0.2">
      <c r="A49">
        <v>2016</v>
      </c>
      <c r="B49" t="s">
        <v>144</v>
      </c>
      <c r="C49" t="s">
        <v>113</v>
      </c>
      <c r="D49">
        <v>1</v>
      </c>
      <c r="E49" s="15">
        <v>128</v>
      </c>
    </row>
    <row r="50" spans="1:5" x14ac:dyDescent="0.2">
      <c r="A50">
        <v>2016</v>
      </c>
      <c r="B50" t="s">
        <v>144</v>
      </c>
      <c r="C50" t="s">
        <v>114</v>
      </c>
      <c r="D50">
        <v>2</v>
      </c>
      <c r="E50" s="15">
        <v>2068</v>
      </c>
    </row>
    <row r="51" spans="1:5" x14ac:dyDescent="0.2">
      <c r="A51">
        <v>2016</v>
      </c>
      <c r="B51" t="s">
        <v>144</v>
      </c>
      <c r="C51" t="s">
        <v>115</v>
      </c>
      <c r="D51">
        <v>3</v>
      </c>
      <c r="E51" s="15">
        <v>1455</v>
      </c>
    </row>
    <row r="52" spans="1:5" x14ac:dyDescent="0.2">
      <c r="A52">
        <v>2016</v>
      </c>
      <c r="B52" t="s">
        <v>144</v>
      </c>
      <c r="C52" t="s">
        <v>116</v>
      </c>
      <c r="D52">
        <v>4</v>
      </c>
      <c r="E52" s="15">
        <v>575</v>
      </c>
    </row>
    <row r="53" spans="1:5" x14ac:dyDescent="0.2">
      <c r="A53">
        <v>2016</v>
      </c>
      <c r="B53" t="s">
        <v>144</v>
      </c>
      <c r="C53" t="s">
        <v>117</v>
      </c>
      <c r="D53">
        <v>5</v>
      </c>
      <c r="E53" s="15">
        <v>1413</v>
      </c>
    </row>
    <row r="54" spans="1:5" x14ac:dyDescent="0.2">
      <c r="A54">
        <v>2016</v>
      </c>
      <c r="B54" t="s">
        <v>144</v>
      </c>
      <c r="C54" t="s">
        <v>118</v>
      </c>
      <c r="D54">
        <v>6</v>
      </c>
      <c r="E54" s="15">
        <v>2218</v>
      </c>
    </row>
    <row r="55" spans="1:5" x14ac:dyDescent="0.2">
      <c r="A55">
        <v>2016</v>
      </c>
      <c r="B55" t="s">
        <v>144</v>
      </c>
      <c r="C55" t="s">
        <v>119</v>
      </c>
      <c r="D55">
        <v>7</v>
      </c>
      <c r="E55" s="15">
        <v>1797</v>
      </c>
    </row>
    <row r="56" spans="1:5" x14ac:dyDescent="0.2">
      <c r="A56">
        <v>2016</v>
      </c>
      <c r="B56" t="s">
        <v>144</v>
      </c>
      <c r="C56" t="s">
        <v>120</v>
      </c>
      <c r="D56">
        <v>8</v>
      </c>
      <c r="E56" s="15">
        <v>7632</v>
      </c>
    </row>
    <row r="57" spans="1:5" x14ac:dyDescent="0.2">
      <c r="A57">
        <v>2016</v>
      </c>
      <c r="B57" t="s">
        <v>144</v>
      </c>
      <c r="C57" t="s">
        <v>121</v>
      </c>
      <c r="D57">
        <v>9</v>
      </c>
      <c r="E57" s="15">
        <v>5612</v>
      </c>
    </row>
    <row r="58" spans="1:5" x14ac:dyDescent="0.2">
      <c r="A58">
        <v>2016</v>
      </c>
      <c r="B58" t="s">
        <v>144</v>
      </c>
      <c r="C58" t="s">
        <v>122</v>
      </c>
      <c r="D58">
        <v>10</v>
      </c>
      <c r="E58" s="15">
        <v>5090</v>
      </c>
    </row>
    <row r="59" spans="1:5" x14ac:dyDescent="0.2">
      <c r="A59">
        <v>2016</v>
      </c>
      <c r="B59" t="s">
        <v>144</v>
      </c>
      <c r="C59" t="s">
        <v>123</v>
      </c>
      <c r="D59">
        <v>11</v>
      </c>
      <c r="E59" s="15">
        <v>20296</v>
      </c>
    </row>
    <row r="60" spans="1:5" x14ac:dyDescent="0.2">
      <c r="A60">
        <v>2016</v>
      </c>
      <c r="B60" t="s">
        <v>145</v>
      </c>
      <c r="C60" t="s">
        <v>113</v>
      </c>
      <c r="D60">
        <v>1</v>
      </c>
      <c r="E60" s="15">
        <v>11</v>
      </c>
    </row>
    <row r="61" spans="1:5" x14ac:dyDescent="0.2">
      <c r="A61">
        <v>2016</v>
      </c>
      <c r="B61" t="s">
        <v>145</v>
      </c>
      <c r="C61" t="s">
        <v>114</v>
      </c>
      <c r="D61">
        <v>2</v>
      </c>
      <c r="E61" s="15">
        <v>273</v>
      </c>
    </row>
    <row r="62" spans="1:5" x14ac:dyDescent="0.2">
      <c r="A62">
        <v>2016</v>
      </c>
      <c r="B62" t="s">
        <v>145</v>
      </c>
      <c r="C62" t="s">
        <v>115</v>
      </c>
      <c r="D62">
        <v>3</v>
      </c>
      <c r="E62" s="15">
        <v>261</v>
      </c>
    </row>
    <row r="63" spans="1:5" x14ac:dyDescent="0.2">
      <c r="A63">
        <v>2016</v>
      </c>
      <c r="B63" t="s">
        <v>145</v>
      </c>
      <c r="C63" t="s">
        <v>116</v>
      </c>
      <c r="D63">
        <v>4</v>
      </c>
      <c r="E63" s="15">
        <v>115</v>
      </c>
    </row>
    <row r="64" spans="1:5" x14ac:dyDescent="0.2">
      <c r="A64">
        <v>2016</v>
      </c>
      <c r="B64" t="s">
        <v>145</v>
      </c>
      <c r="C64" t="s">
        <v>117</v>
      </c>
      <c r="D64">
        <v>5</v>
      </c>
      <c r="E64" s="15">
        <v>277</v>
      </c>
    </row>
    <row r="65" spans="1:5" x14ac:dyDescent="0.2">
      <c r="A65">
        <v>2016</v>
      </c>
      <c r="B65" t="s">
        <v>145</v>
      </c>
      <c r="C65" t="s">
        <v>118</v>
      </c>
      <c r="D65">
        <v>6</v>
      </c>
      <c r="E65" s="15">
        <v>1227</v>
      </c>
    </row>
    <row r="66" spans="1:5" x14ac:dyDescent="0.2">
      <c r="A66">
        <v>2016</v>
      </c>
      <c r="B66" t="s">
        <v>145</v>
      </c>
      <c r="C66" t="s">
        <v>119</v>
      </c>
      <c r="D66">
        <v>7</v>
      </c>
      <c r="E66" s="15">
        <v>1385</v>
      </c>
    </row>
    <row r="67" spans="1:5" x14ac:dyDescent="0.2">
      <c r="A67">
        <v>2016</v>
      </c>
      <c r="B67" t="s">
        <v>145</v>
      </c>
      <c r="C67" t="s">
        <v>120</v>
      </c>
      <c r="D67">
        <v>8</v>
      </c>
      <c r="E67" s="15">
        <v>4469</v>
      </c>
    </row>
    <row r="68" spans="1:5" x14ac:dyDescent="0.2">
      <c r="A68">
        <v>2016</v>
      </c>
      <c r="B68" t="s">
        <v>145</v>
      </c>
      <c r="C68" t="s">
        <v>121</v>
      </c>
      <c r="D68">
        <v>9</v>
      </c>
      <c r="E68" s="15">
        <v>2769</v>
      </c>
    </row>
    <row r="69" spans="1:5" x14ac:dyDescent="0.2">
      <c r="A69">
        <v>2016</v>
      </c>
      <c r="B69" t="s">
        <v>145</v>
      </c>
      <c r="C69" t="s">
        <v>122</v>
      </c>
      <c r="D69">
        <v>10</v>
      </c>
      <c r="E69" s="15">
        <v>1901</v>
      </c>
    </row>
    <row r="70" spans="1:5" x14ac:dyDescent="0.2">
      <c r="A70">
        <v>2016</v>
      </c>
      <c r="B70" t="s">
        <v>145</v>
      </c>
      <c r="C70" t="s">
        <v>123</v>
      </c>
      <c r="D70">
        <v>11</v>
      </c>
      <c r="E70" s="15">
        <v>4464</v>
      </c>
    </row>
    <row r="71" spans="1:5" x14ac:dyDescent="0.2">
      <c r="A71">
        <v>2016</v>
      </c>
      <c r="B71" t="s">
        <v>146</v>
      </c>
      <c r="C71" t="s">
        <v>113</v>
      </c>
      <c r="D71">
        <v>1</v>
      </c>
      <c r="E71" s="15">
        <v>169</v>
      </c>
    </row>
    <row r="72" spans="1:5" x14ac:dyDescent="0.2">
      <c r="A72">
        <v>2016</v>
      </c>
      <c r="B72" t="s">
        <v>146</v>
      </c>
      <c r="C72" t="s">
        <v>114</v>
      </c>
      <c r="D72">
        <v>2</v>
      </c>
      <c r="E72" s="15">
        <v>2193</v>
      </c>
    </row>
    <row r="73" spans="1:5" x14ac:dyDescent="0.2">
      <c r="A73">
        <v>2016</v>
      </c>
      <c r="B73" t="s">
        <v>146</v>
      </c>
      <c r="C73" t="s">
        <v>115</v>
      </c>
      <c r="D73">
        <v>3</v>
      </c>
      <c r="E73" s="15">
        <v>1738</v>
      </c>
    </row>
    <row r="74" spans="1:5" x14ac:dyDescent="0.2">
      <c r="A74">
        <v>2016</v>
      </c>
      <c r="B74" t="s">
        <v>146</v>
      </c>
      <c r="C74" t="s">
        <v>116</v>
      </c>
      <c r="D74">
        <v>4</v>
      </c>
      <c r="E74" s="15">
        <v>779</v>
      </c>
    </row>
    <row r="75" spans="1:5" x14ac:dyDescent="0.2">
      <c r="A75">
        <v>2016</v>
      </c>
      <c r="B75" t="s">
        <v>146</v>
      </c>
      <c r="C75" t="s">
        <v>117</v>
      </c>
      <c r="D75">
        <v>5</v>
      </c>
      <c r="E75" s="15">
        <v>2041</v>
      </c>
    </row>
    <row r="76" spans="1:5" x14ac:dyDescent="0.2">
      <c r="A76">
        <v>2016</v>
      </c>
      <c r="B76" t="s">
        <v>146</v>
      </c>
      <c r="C76" t="s">
        <v>118</v>
      </c>
      <c r="D76">
        <v>6</v>
      </c>
      <c r="E76" s="15">
        <v>4057</v>
      </c>
    </row>
    <row r="77" spans="1:5" x14ac:dyDescent="0.2">
      <c r="A77">
        <v>2016</v>
      </c>
      <c r="B77" t="s">
        <v>146</v>
      </c>
      <c r="C77" t="s">
        <v>119</v>
      </c>
      <c r="D77">
        <v>7</v>
      </c>
      <c r="E77" s="15">
        <v>3325</v>
      </c>
    </row>
    <row r="78" spans="1:5" x14ac:dyDescent="0.2">
      <c r="A78">
        <v>2016</v>
      </c>
      <c r="B78" t="s">
        <v>146</v>
      </c>
      <c r="C78" t="s">
        <v>120</v>
      </c>
      <c r="D78">
        <v>8</v>
      </c>
      <c r="E78" s="15">
        <v>12343</v>
      </c>
    </row>
    <row r="79" spans="1:5" x14ac:dyDescent="0.2">
      <c r="A79">
        <v>2016</v>
      </c>
      <c r="B79" t="s">
        <v>146</v>
      </c>
      <c r="C79" t="s">
        <v>121</v>
      </c>
      <c r="D79">
        <v>9</v>
      </c>
      <c r="E79" s="15">
        <v>8310</v>
      </c>
    </row>
    <row r="80" spans="1:5" x14ac:dyDescent="0.2">
      <c r="A80">
        <v>2016</v>
      </c>
      <c r="B80" t="s">
        <v>146</v>
      </c>
      <c r="C80" t="s">
        <v>122</v>
      </c>
      <c r="D80">
        <v>10</v>
      </c>
      <c r="E80" s="15">
        <v>7378</v>
      </c>
    </row>
    <row r="81" spans="1:5" x14ac:dyDescent="0.2">
      <c r="A81">
        <v>2016</v>
      </c>
      <c r="B81" t="s">
        <v>146</v>
      </c>
      <c r="C81" t="s">
        <v>123</v>
      </c>
      <c r="D81">
        <v>11</v>
      </c>
      <c r="E81" s="15">
        <v>30050</v>
      </c>
    </row>
    <row r="82" spans="1:5" x14ac:dyDescent="0.2">
      <c r="A82">
        <v>2016</v>
      </c>
      <c r="B82" t="s">
        <v>147</v>
      </c>
      <c r="C82" t="s">
        <v>113</v>
      </c>
      <c r="D82">
        <v>1</v>
      </c>
      <c r="E82" s="15">
        <v>392</v>
      </c>
    </row>
    <row r="83" spans="1:5" x14ac:dyDescent="0.2">
      <c r="A83">
        <v>2016</v>
      </c>
      <c r="B83" t="s">
        <v>147</v>
      </c>
      <c r="C83" t="s">
        <v>114</v>
      </c>
      <c r="D83">
        <v>2</v>
      </c>
      <c r="E83" s="15">
        <v>5013</v>
      </c>
    </row>
    <row r="84" spans="1:5" x14ac:dyDescent="0.2">
      <c r="A84">
        <v>2016</v>
      </c>
      <c r="B84" t="s">
        <v>147</v>
      </c>
      <c r="C84" t="s">
        <v>115</v>
      </c>
      <c r="D84">
        <v>3</v>
      </c>
      <c r="E84" s="15">
        <v>3709</v>
      </c>
    </row>
    <row r="85" spans="1:5" x14ac:dyDescent="0.2">
      <c r="A85">
        <v>2016</v>
      </c>
      <c r="B85" t="s">
        <v>147</v>
      </c>
      <c r="C85" t="s">
        <v>116</v>
      </c>
      <c r="D85">
        <v>4</v>
      </c>
      <c r="E85" s="15">
        <v>1531</v>
      </c>
    </row>
    <row r="86" spans="1:5" x14ac:dyDescent="0.2">
      <c r="A86">
        <v>2016</v>
      </c>
      <c r="B86" t="s">
        <v>147</v>
      </c>
      <c r="C86" t="s">
        <v>117</v>
      </c>
      <c r="D86">
        <v>5</v>
      </c>
      <c r="E86" s="15">
        <v>4316</v>
      </c>
    </row>
    <row r="87" spans="1:5" x14ac:dyDescent="0.2">
      <c r="A87">
        <v>2016</v>
      </c>
      <c r="B87" t="s">
        <v>147</v>
      </c>
      <c r="C87" t="s">
        <v>118</v>
      </c>
      <c r="D87">
        <v>6</v>
      </c>
      <c r="E87" s="15">
        <v>6804</v>
      </c>
    </row>
    <row r="88" spans="1:5" x14ac:dyDescent="0.2">
      <c r="A88">
        <v>2016</v>
      </c>
      <c r="B88" t="s">
        <v>147</v>
      </c>
      <c r="C88" t="s">
        <v>119</v>
      </c>
      <c r="D88">
        <v>7</v>
      </c>
      <c r="E88" s="15">
        <v>4724</v>
      </c>
    </row>
    <row r="89" spans="1:5" x14ac:dyDescent="0.2">
      <c r="A89">
        <v>2016</v>
      </c>
      <c r="B89" t="s">
        <v>147</v>
      </c>
      <c r="C89" t="s">
        <v>120</v>
      </c>
      <c r="D89">
        <v>8</v>
      </c>
      <c r="E89" s="15">
        <v>20708</v>
      </c>
    </row>
    <row r="90" spans="1:5" x14ac:dyDescent="0.2">
      <c r="A90">
        <v>2016</v>
      </c>
      <c r="B90" t="s">
        <v>147</v>
      </c>
      <c r="C90" t="s">
        <v>121</v>
      </c>
      <c r="D90">
        <v>9</v>
      </c>
      <c r="E90" s="15">
        <v>15628</v>
      </c>
    </row>
    <row r="91" spans="1:5" x14ac:dyDescent="0.2">
      <c r="A91">
        <v>2016</v>
      </c>
      <c r="B91" t="s">
        <v>147</v>
      </c>
      <c r="C91" t="s">
        <v>122</v>
      </c>
      <c r="D91">
        <v>10</v>
      </c>
      <c r="E91" s="15">
        <v>14094</v>
      </c>
    </row>
    <row r="92" spans="1:5" x14ac:dyDescent="0.2">
      <c r="A92">
        <v>2016</v>
      </c>
      <c r="B92" t="s">
        <v>147</v>
      </c>
      <c r="C92" t="s">
        <v>123</v>
      </c>
      <c r="D92">
        <v>11</v>
      </c>
      <c r="E92" s="15">
        <v>57718</v>
      </c>
    </row>
    <row r="93" spans="1:5" x14ac:dyDescent="0.2">
      <c r="A93">
        <v>2016</v>
      </c>
      <c r="B93" t="s">
        <v>148</v>
      </c>
      <c r="C93" t="s">
        <v>113</v>
      </c>
      <c r="D93">
        <v>1</v>
      </c>
      <c r="E93" s="15">
        <v>95</v>
      </c>
    </row>
    <row r="94" spans="1:5" x14ac:dyDescent="0.2">
      <c r="A94">
        <v>2016</v>
      </c>
      <c r="B94" t="s">
        <v>148</v>
      </c>
      <c r="C94" t="s">
        <v>114</v>
      </c>
      <c r="D94">
        <v>2</v>
      </c>
      <c r="E94" s="15">
        <v>1043</v>
      </c>
    </row>
    <row r="95" spans="1:5" x14ac:dyDescent="0.2">
      <c r="A95">
        <v>2016</v>
      </c>
      <c r="B95" t="s">
        <v>148</v>
      </c>
      <c r="C95" t="s">
        <v>115</v>
      </c>
      <c r="D95">
        <v>3</v>
      </c>
      <c r="E95" s="15">
        <v>836</v>
      </c>
    </row>
    <row r="96" spans="1:5" x14ac:dyDescent="0.2">
      <c r="A96">
        <v>2016</v>
      </c>
      <c r="B96" t="s">
        <v>148</v>
      </c>
      <c r="C96" t="s">
        <v>116</v>
      </c>
      <c r="D96">
        <v>4</v>
      </c>
      <c r="E96" s="15">
        <v>370</v>
      </c>
    </row>
    <row r="97" spans="1:5" x14ac:dyDescent="0.2">
      <c r="A97">
        <v>2016</v>
      </c>
      <c r="B97" t="s">
        <v>148</v>
      </c>
      <c r="C97" t="s">
        <v>117</v>
      </c>
      <c r="D97">
        <v>5</v>
      </c>
      <c r="E97" s="15">
        <v>855</v>
      </c>
    </row>
    <row r="98" spans="1:5" x14ac:dyDescent="0.2">
      <c r="A98">
        <v>2016</v>
      </c>
      <c r="B98" t="s">
        <v>148</v>
      </c>
      <c r="C98" t="s">
        <v>118</v>
      </c>
      <c r="D98">
        <v>6</v>
      </c>
      <c r="E98" s="15">
        <v>1271</v>
      </c>
    </row>
    <row r="99" spans="1:5" x14ac:dyDescent="0.2">
      <c r="A99">
        <v>2016</v>
      </c>
      <c r="B99" t="s">
        <v>148</v>
      </c>
      <c r="C99" t="s">
        <v>119</v>
      </c>
      <c r="D99">
        <v>7</v>
      </c>
      <c r="E99" s="15">
        <v>943</v>
      </c>
    </row>
    <row r="100" spans="1:5" x14ac:dyDescent="0.2">
      <c r="A100">
        <v>2016</v>
      </c>
      <c r="B100" t="s">
        <v>148</v>
      </c>
      <c r="C100" t="s">
        <v>120</v>
      </c>
      <c r="D100">
        <v>8</v>
      </c>
      <c r="E100" s="15">
        <v>4275</v>
      </c>
    </row>
    <row r="101" spans="1:5" x14ac:dyDescent="0.2">
      <c r="A101">
        <v>2016</v>
      </c>
      <c r="B101" t="s">
        <v>148</v>
      </c>
      <c r="C101" t="s">
        <v>121</v>
      </c>
      <c r="D101">
        <v>9</v>
      </c>
      <c r="E101" s="15">
        <v>3553</v>
      </c>
    </row>
    <row r="102" spans="1:5" x14ac:dyDescent="0.2">
      <c r="A102">
        <v>2016</v>
      </c>
      <c r="B102" t="s">
        <v>148</v>
      </c>
      <c r="C102" t="s">
        <v>122</v>
      </c>
      <c r="D102">
        <v>10</v>
      </c>
      <c r="E102" s="15">
        <v>3274</v>
      </c>
    </row>
    <row r="103" spans="1:5" x14ac:dyDescent="0.2">
      <c r="A103">
        <v>2016</v>
      </c>
      <c r="B103" t="s">
        <v>148</v>
      </c>
      <c r="C103" t="s">
        <v>123</v>
      </c>
      <c r="D103">
        <v>11</v>
      </c>
      <c r="E103" s="15">
        <v>11783</v>
      </c>
    </row>
    <row r="104" spans="1:5" x14ac:dyDescent="0.2">
      <c r="A104">
        <v>2016</v>
      </c>
      <c r="B104" t="s">
        <v>149</v>
      </c>
      <c r="C104" t="s">
        <v>113</v>
      </c>
      <c r="D104">
        <v>1</v>
      </c>
      <c r="E104" s="15">
        <v>12</v>
      </c>
    </row>
    <row r="105" spans="1:5" x14ac:dyDescent="0.2">
      <c r="A105">
        <v>2016</v>
      </c>
      <c r="B105" t="s">
        <v>149</v>
      </c>
      <c r="C105" t="s">
        <v>114</v>
      </c>
      <c r="D105">
        <v>2</v>
      </c>
      <c r="E105" s="15">
        <v>111</v>
      </c>
    </row>
    <row r="106" spans="1:5" x14ac:dyDescent="0.2">
      <c r="A106">
        <v>2016</v>
      </c>
      <c r="B106" t="s">
        <v>149</v>
      </c>
      <c r="C106" t="s">
        <v>115</v>
      </c>
      <c r="D106">
        <v>3</v>
      </c>
      <c r="E106" s="15">
        <v>62</v>
      </c>
    </row>
    <row r="107" spans="1:5" x14ac:dyDescent="0.2">
      <c r="A107">
        <v>2016</v>
      </c>
      <c r="B107" t="s">
        <v>149</v>
      </c>
      <c r="C107" t="s">
        <v>116</v>
      </c>
      <c r="D107">
        <v>4</v>
      </c>
      <c r="E107" s="15">
        <v>30</v>
      </c>
    </row>
    <row r="108" spans="1:5" x14ac:dyDescent="0.2">
      <c r="A108">
        <v>2016</v>
      </c>
      <c r="B108" t="s">
        <v>149</v>
      </c>
      <c r="C108" t="s">
        <v>117</v>
      </c>
      <c r="D108">
        <v>5</v>
      </c>
      <c r="E108" s="15">
        <v>90</v>
      </c>
    </row>
    <row r="109" spans="1:5" x14ac:dyDescent="0.2">
      <c r="A109">
        <v>2016</v>
      </c>
      <c r="B109" t="s">
        <v>149</v>
      </c>
      <c r="C109" t="s">
        <v>118</v>
      </c>
      <c r="D109">
        <v>6</v>
      </c>
      <c r="E109" s="15">
        <v>114</v>
      </c>
    </row>
    <row r="110" spans="1:5" x14ac:dyDescent="0.2">
      <c r="A110">
        <v>2016</v>
      </c>
      <c r="B110" t="s">
        <v>149</v>
      </c>
      <c r="C110" t="s">
        <v>119</v>
      </c>
      <c r="D110">
        <v>7</v>
      </c>
      <c r="E110" s="15">
        <v>83</v>
      </c>
    </row>
    <row r="111" spans="1:5" x14ac:dyDescent="0.2">
      <c r="A111">
        <v>2016</v>
      </c>
      <c r="B111" t="s">
        <v>149</v>
      </c>
      <c r="C111" t="s">
        <v>120</v>
      </c>
      <c r="D111">
        <v>8</v>
      </c>
      <c r="E111" s="15">
        <v>352</v>
      </c>
    </row>
    <row r="112" spans="1:5" x14ac:dyDescent="0.2">
      <c r="A112">
        <v>2016</v>
      </c>
      <c r="B112" t="s">
        <v>149</v>
      </c>
      <c r="C112" t="s">
        <v>121</v>
      </c>
      <c r="D112">
        <v>9</v>
      </c>
      <c r="E112" s="15">
        <v>267</v>
      </c>
    </row>
    <row r="113" spans="1:5" x14ac:dyDescent="0.2">
      <c r="A113">
        <v>2016</v>
      </c>
      <c r="B113" t="s">
        <v>149</v>
      </c>
      <c r="C113" t="s">
        <v>122</v>
      </c>
      <c r="D113">
        <v>10</v>
      </c>
      <c r="E113" s="15">
        <v>173</v>
      </c>
    </row>
    <row r="114" spans="1:5" x14ac:dyDescent="0.2">
      <c r="A114">
        <v>2016</v>
      </c>
      <c r="B114" t="s">
        <v>149</v>
      </c>
      <c r="C114" t="s">
        <v>123</v>
      </c>
      <c r="D114">
        <v>11</v>
      </c>
      <c r="E114" s="15">
        <v>307</v>
      </c>
    </row>
    <row r="115" spans="1:5" x14ac:dyDescent="0.2">
      <c r="A115">
        <v>2016</v>
      </c>
      <c r="B115" t="s">
        <v>150</v>
      </c>
      <c r="C115" t="s">
        <v>113</v>
      </c>
      <c r="D115">
        <v>1</v>
      </c>
      <c r="E115" s="15">
        <v>36</v>
      </c>
    </row>
    <row r="116" spans="1:5" x14ac:dyDescent="0.2">
      <c r="A116">
        <v>2016</v>
      </c>
      <c r="B116" t="s">
        <v>150</v>
      </c>
      <c r="C116" t="s">
        <v>114</v>
      </c>
      <c r="D116">
        <v>2</v>
      </c>
      <c r="E116" s="15">
        <v>501</v>
      </c>
    </row>
    <row r="117" spans="1:5" x14ac:dyDescent="0.2">
      <c r="A117">
        <v>2016</v>
      </c>
      <c r="B117" t="s">
        <v>150</v>
      </c>
      <c r="C117" t="s">
        <v>115</v>
      </c>
      <c r="D117">
        <v>3</v>
      </c>
      <c r="E117" s="15">
        <v>394</v>
      </c>
    </row>
    <row r="118" spans="1:5" x14ac:dyDescent="0.2">
      <c r="A118">
        <v>2016</v>
      </c>
      <c r="B118" t="s">
        <v>150</v>
      </c>
      <c r="C118" t="s">
        <v>116</v>
      </c>
      <c r="D118">
        <v>4</v>
      </c>
      <c r="E118" s="15">
        <v>112</v>
      </c>
    </row>
    <row r="119" spans="1:5" x14ac:dyDescent="0.2">
      <c r="A119">
        <v>2016</v>
      </c>
      <c r="B119" t="s">
        <v>150</v>
      </c>
      <c r="C119" t="s">
        <v>117</v>
      </c>
      <c r="D119">
        <v>5</v>
      </c>
      <c r="E119" s="15">
        <v>286</v>
      </c>
    </row>
    <row r="120" spans="1:5" x14ac:dyDescent="0.2">
      <c r="A120">
        <v>2016</v>
      </c>
      <c r="B120" t="s">
        <v>150</v>
      </c>
      <c r="C120" t="s">
        <v>118</v>
      </c>
      <c r="D120">
        <v>6</v>
      </c>
      <c r="E120" s="15">
        <v>806</v>
      </c>
    </row>
    <row r="121" spans="1:5" x14ac:dyDescent="0.2">
      <c r="A121">
        <v>2016</v>
      </c>
      <c r="B121" t="s">
        <v>150</v>
      </c>
      <c r="C121" t="s">
        <v>119</v>
      </c>
      <c r="D121">
        <v>7</v>
      </c>
      <c r="E121" s="15">
        <v>836</v>
      </c>
    </row>
    <row r="122" spans="1:5" x14ac:dyDescent="0.2">
      <c r="A122">
        <v>2016</v>
      </c>
      <c r="B122" t="s">
        <v>150</v>
      </c>
      <c r="C122" t="s">
        <v>120</v>
      </c>
      <c r="D122">
        <v>8</v>
      </c>
      <c r="E122" s="15">
        <v>2863</v>
      </c>
    </row>
    <row r="123" spans="1:5" x14ac:dyDescent="0.2">
      <c r="A123">
        <v>2016</v>
      </c>
      <c r="B123" t="s">
        <v>150</v>
      </c>
      <c r="C123" t="s">
        <v>121</v>
      </c>
      <c r="D123">
        <v>9</v>
      </c>
      <c r="E123" s="15">
        <v>1847</v>
      </c>
    </row>
    <row r="124" spans="1:5" x14ac:dyDescent="0.2">
      <c r="A124">
        <v>2016</v>
      </c>
      <c r="B124" t="s">
        <v>150</v>
      </c>
      <c r="C124" t="s">
        <v>122</v>
      </c>
      <c r="D124">
        <v>10</v>
      </c>
      <c r="E124" s="15">
        <v>1283</v>
      </c>
    </row>
    <row r="125" spans="1:5" x14ac:dyDescent="0.2">
      <c r="A125">
        <v>2016</v>
      </c>
      <c r="B125" t="s">
        <v>150</v>
      </c>
      <c r="C125" t="s">
        <v>123</v>
      </c>
      <c r="D125">
        <v>11</v>
      </c>
      <c r="E125" s="15">
        <v>2763</v>
      </c>
    </row>
    <row r="126" spans="1:5" x14ac:dyDescent="0.2">
      <c r="A126">
        <v>2016</v>
      </c>
      <c r="B126" t="s">
        <v>151</v>
      </c>
      <c r="C126" t="s">
        <v>113</v>
      </c>
      <c r="D126">
        <v>1</v>
      </c>
      <c r="E126" s="15">
        <v>130</v>
      </c>
    </row>
    <row r="127" spans="1:5" x14ac:dyDescent="0.2">
      <c r="A127">
        <v>2016</v>
      </c>
      <c r="B127" t="s">
        <v>151</v>
      </c>
      <c r="C127" t="s">
        <v>114</v>
      </c>
      <c r="D127">
        <v>2</v>
      </c>
      <c r="E127" s="15">
        <v>1808</v>
      </c>
    </row>
    <row r="128" spans="1:5" x14ac:dyDescent="0.2">
      <c r="A128">
        <v>2016</v>
      </c>
      <c r="B128" t="s">
        <v>151</v>
      </c>
      <c r="C128" t="s">
        <v>115</v>
      </c>
      <c r="D128">
        <v>3</v>
      </c>
      <c r="E128" s="15">
        <v>1300</v>
      </c>
    </row>
    <row r="129" spans="1:5" x14ac:dyDescent="0.2">
      <c r="A129">
        <v>2016</v>
      </c>
      <c r="B129" t="s">
        <v>151</v>
      </c>
      <c r="C129" t="s">
        <v>116</v>
      </c>
      <c r="D129">
        <v>4</v>
      </c>
      <c r="E129" s="15">
        <v>614</v>
      </c>
    </row>
    <row r="130" spans="1:5" x14ac:dyDescent="0.2">
      <c r="A130">
        <v>2016</v>
      </c>
      <c r="B130" t="s">
        <v>151</v>
      </c>
      <c r="C130" t="s">
        <v>117</v>
      </c>
      <c r="D130">
        <v>5</v>
      </c>
      <c r="E130" s="15">
        <v>1401</v>
      </c>
    </row>
    <row r="131" spans="1:5" x14ac:dyDescent="0.2">
      <c r="A131">
        <v>2016</v>
      </c>
      <c r="B131" t="s">
        <v>151</v>
      </c>
      <c r="C131" t="s">
        <v>118</v>
      </c>
      <c r="D131">
        <v>6</v>
      </c>
      <c r="E131" s="15">
        <v>2401</v>
      </c>
    </row>
    <row r="132" spans="1:5" x14ac:dyDescent="0.2">
      <c r="A132">
        <v>2016</v>
      </c>
      <c r="B132" t="s">
        <v>151</v>
      </c>
      <c r="C132" t="s">
        <v>119</v>
      </c>
      <c r="D132">
        <v>7</v>
      </c>
      <c r="E132" s="15">
        <v>2101</v>
      </c>
    </row>
    <row r="133" spans="1:5" x14ac:dyDescent="0.2">
      <c r="A133">
        <v>2016</v>
      </c>
      <c r="B133" t="s">
        <v>151</v>
      </c>
      <c r="C133" t="s">
        <v>120</v>
      </c>
      <c r="D133">
        <v>8</v>
      </c>
      <c r="E133" s="15">
        <v>8562</v>
      </c>
    </row>
    <row r="134" spans="1:5" x14ac:dyDescent="0.2">
      <c r="A134">
        <v>2016</v>
      </c>
      <c r="B134" t="s">
        <v>151</v>
      </c>
      <c r="C134" t="s">
        <v>121</v>
      </c>
      <c r="D134">
        <v>9</v>
      </c>
      <c r="E134" s="15">
        <v>5857</v>
      </c>
    </row>
    <row r="135" spans="1:5" x14ac:dyDescent="0.2">
      <c r="A135">
        <v>2016</v>
      </c>
      <c r="B135" t="s">
        <v>151</v>
      </c>
      <c r="C135" t="s">
        <v>122</v>
      </c>
      <c r="D135">
        <v>10</v>
      </c>
      <c r="E135" s="15">
        <v>4600</v>
      </c>
    </row>
    <row r="136" spans="1:5" x14ac:dyDescent="0.2">
      <c r="A136">
        <v>2016</v>
      </c>
      <c r="B136" t="s">
        <v>151</v>
      </c>
      <c r="C136" t="s">
        <v>123</v>
      </c>
      <c r="D136">
        <v>11</v>
      </c>
      <c r="E136" s="15">
        <v>19481</v>
      </c>
    </row>
    <row r="137" spans="1:5" x14ac:dyDescent="0.2">
      <c r="A137">
        <v>2016</v>
      </c>
      <c r="B137" t="s">
        <v>152</v>
      </c>
      <c r="C137" t="s">
        <v>113</v>
      </c>
      <c r="D137">
        <v>1</v>
      </c>
      <c r="E137" s="15">
        <v>0</v>
      </c>
    </row>
    <row r="138" spans="1:5" x14ac:dyDescent="0.2">
      <c r="A138">
        <v>2016</v>
      </c>
      <c r="B138" t="s">
        <v>152</v>
      </c>
      <c r="C138" t="s">
        <v>114</v>
      </c>
      <c r="D138">
        <v>2</v>
      </c>
      <c r="E138" s="15">
        <v>26</v>
      </c>
    </row>
    <row r="139" spans="1:5" x14ac:dyDescent="0.2">
      <c r="A139">
        <v>2016</v>
      </c>
      <c r="B139" t="s">
        <v>152</v>
      </c>
      <c r="C139" t="s">
        <v>115</v>
      </c>
      <c r="D139">
        <v>3</v>
      </c>
      <c r="E139" s="15">
        <v>93</v>
      </c>
    </row>
    <row r="140" spans="1:5" x14ac:dyDescent="0.2">
      <c r="A140">
        <v>2016</v>
      </c>
      <c r="B140" t="s">
        <v>152</v>
      </c>
      <c r="C140" t="s">
        <v>116</v>
      </c>
      <c r="D140">
        <v>4</v>
      </c>
      <c r="E140" s="15">
        <v>105</v>
      </c>
    </row>
    <row r="141" spans="1:5" x14ac:dyDescent="0.2">
      <c r="A141">
        <v>2016</v>
      </c>
      <c r="B141" t="s">
        <v>152</v>
      </c>
      <c r="C141" t="s">
        <v>117</v>
      </c>
      <c r="D141">
        <v>5</v>
      </c>
      <c r="E141" s="15">
        <v>578</v>
      </c>
    </row>
    <row r="142" spans="1:5" x14ac:dyDescent="0.2">
      <c r="A142">
        <v>2016</v>
      </c>
      <c r="B142" t="s">
        <v>152</v>
      </c>
      <c r="C142" t="s">
        <v>118</v>
      </c>
      <c r="D142">
        <v>6</v>
      </c>
      <c r="E142" s="15">
        <v>2261</v>
      </c>
    </row>
    <row r="143" spans="1:5" x14ac:dyDescent="0.2">
      <c r="A143">
        <v>2016</v>
      </c>
      <c r="B143" t="s">
        <v>152</v>
      </c>
      <c r="C143" t="s">
        <v>119</v>
      </c>
      <c r="D143">
        <v>7</v>
      </c>
      <c r="E143" s="15">
        <v>2170</v>
      </c>
    </row>
    <row r="144" spans="1:5" x14ac:dyDescent="0.2">
      <c r="A144">
        <v>2016</v>
      </c>
      <c r="B144" t="s">
        <v>152</v>
      </c>
      <c r="C144" t="s">
        <v>120</v>
      </c>
      <c r="D144">
        <v>8</v>
      </c>
      <c r="E144" s="15">
        <v>6750</v>
      </c>
    </row>
    <row r="145" spans="1:5" x14ac:dyDescent="0.2">
      <c r="A145">
        <v>2016</v>
      </c>
      <c r="B145" t="s">
        <v>152</v>
      </c>
      <c r="C145" t="s">
        <v>121</v>
      </c>
      <c r="D145">
        <v>9</v>
      </c>
      <c r="E145" s="15">
        <v>3549</v>
      </c>
    </row>
    <row r="146" spans="1:5" x14ac:dyDescent="0.2">
      <c r="A146">
        <v>2016</v>
      </c>
      <c r="B146" t="s">
        <v>152</v>
      </c>
      <c r="C146" t="s">
        <v>122</v>
      </c>
      <c r="D146">
        <v>10</v>
      </c>
      <c r="E146" s="15">
        <v>2368</v>
      </c>
    </row>
    <row r="147" spans="1:5" x14ac:dyDescent="0.2">
      <c r="A147">
        <v>2016</v>
      </c>
      <c r="B147" t="s">
        <v>152</v>
      </c>
      <c r="C147" t="s">
        <v>123</v>
      </c>
      <c r="D147">
        <v>11</v>
      </c>
      <c r="E147" s="15">
        <v>4809</v>
      </c>
    </row>
    <row r="148" spans="1:5" x14ac:dyDescent="0.2">
      <c r="A148">
        <v>2017</v>
      </c>
      <c r="B148" t="s">
        <v>140</v>
      </c>
      <c r="C148" t="s">
        <v>113</v>
      </c>
      <c r="D148">
        <v>1</v>
      </c>
      <c r="E148" s="15">
        <v>301</v>
      </c>
    </row>
    <row r="149" spans="1:5" x14ac:dyDescent="0.2">
      <c r="A149">
        <v>2017</v>
      </c>
      <c r="B149" t="s">
        <v>140</v>
      </c>
      <c r="C149" t="s">
        <v>114</v>
      </c>
      <c r="D149">
        <v>2</v>
      </c>
      <c r="E149" s="15">
        <v>3565</v>
      </c>
    </row>
    <row r="150" spans="1:5" x14ac:dyDescent="0.2">
      <c r="A150">
        <v>2017</v>
      </c>
      <c r="B150" t="s">
        <v>140</v>
      </c>
      <c r="C150" t="s">
        <v>115</v>
      </c>
      <c r="D150">
        <v>3</v>
      </c>
      <c r="E150" s="15">
        <v>2496</v>
      </c>
    </row>
    <row r="151" spans="1:5" x14ac:dyDescent="0.2">
      <c r="A151">
        <v>2017</v>
      </c>
      <c r="B151" t="s">
        <v>140</v>
      </c>
      <c r="C151" t="s">
        <v>116</v>
      </c>
      <c r="D151">
        <v>4</v>
      </c>
      <c r="E151" s="15">
        <v>1061</v>
      </c>
    </row>
    <row r="152" spans="1:5" x14ac:dyDescent="0.2">
      <c r="A152">
        <v>2017</v>
      </c>
      <c r="B152" t="s">
        <v>140</v>
      </c>
      <c r="C152" t="s">
        <v>117</v>
      </c>
      <c r="D152">
        <v>5</v>
      </c>
      <c r="E152" s="15">
        <v>2707</v>
      </c>
    </row>
    <row r="153" spans="1:5" x14ac:dyDescent="0.2">
      <c r="A153">
        <v>2017</v>
      </c>
      <c r="B153" t="s">
        <v>140</v>
      </c>
      <c r="C153" t="s">
        <v>118</v>
      </c>
      <c r="D153">
        <v>6</v>
      </c>
      <c r="E153" s="15">
        <v>3459</v>
      </c>
    </row>
    <row r="154" spans="1:5" x14ac:dyDescent="0.2">
      <c r="A154">
        <v>2017</v>
      </c>
      <c r="B154" t="s">
        <v>140</v>
      </c>
      <c r="C154" t="s">
        <v>119</v>
      </c>
      <c r="D154">
        <v>7</v>
      </c>
      <c r="E154" s="15">
        <v>2300</v>
      </c>
    </row>
    <row r="155" spans="1:5" x14ac:dyDescent="0.2">
      <c r="A155">
        <v>2017</v>
      </c>
      <c r="B155" t="s">
        <v>140</v>
      </c>
      <c r="C155" t="s">
        <v>120</v>
      </c>
      <c r="D155">
        <v>8</v>
      </c>
      <c r="E155" s="15">
        <v>9434</v>
      </c>
    </row>
    <row r="156" spans="1:5" x14ac:dyDescent="0.2">
      <c r="A156">
        <v>2017</v>
      </c>
      <c r="B156" t="s">
        <v>140</v>
      </c>
      <c r="C156" t="s">
        <v>121</v>
      </c>
      <c r="D156">
        <v>9</v>
      </c>
      <c r="E156" s="15">
        <v>8494</v>
      </c>
    </row>
    <row r="157" spans="1:5" x14ac:dyDescent="0.2">
      <c r="A157">
        <v>2017</v>
      </c>
      <c r="B157" t="s">
        <v>140</v>
      </c>
      <c r="C157" t="s">
        <v>122</v>
      </c>
      <c r="D157">
        <v>10</v>
      </c>
      <c r="E157" s="15">
        <v>8081</v>
      </c>
    </row>
    <row r="158" spans="1:5" x14ac:dyDescent="0.2">
      <c r="A158">
        <v>2017</v>
      </c>
      <c r="B158" t="s">
        <v>140</v>
      </c>
      <c r="C158" t="s">
        <v>123</v>
      </c>
      <c r="D158">
        <v>11</v>
      </c>
      <c r="E158" s="15">
        <v>32257</v>
      </c>
    </row>
    <row r="159" spans="1:5" x14ac:dyDescent="0.2">
      <c r="A159">
        <v>2017</v>
      </c>
      <c r="B159" t="s">
        <v>141</v>
      </c>
      <c r="C159" t="s">
        <v>113</v>
      </c>
      <c r="D159">
        <v>1</v>
      </c>
      <c r="E159" s="15">
        <v>424</v>
      </c>
    </row>
    <row r="160" spans="1:5" x14ac:dyDescent="0.2">
      <c r="A160">
        <v>2017</v>
      </c>
      <c r="B160" t="s">
        <v>141</v>
      </c>
      <c r="C160" t="s">
        <v>114</v>
      </c>
      <c r="D160">
        <v>2</v>
      </c>
      <c r="E160" s="15">
        <v>5271</v>
      </c>
    </row>
    <row r="161" spans="1:5" x14ac:dyDescent="0.2">
      <c r="A161">
        <v>2017</v>
      </c>
      <c r="B161" t="s">
        <v>141</v>
      </c>
      <c r="C161" t="s">
        <v>115</v>
      </c>
      <c r="D161">
        <v>3</v>
      </c>
      <c r="E161" s="15">
        <v>3673</v>
      </c>
    </row>
    <row r="162" spans="1:5" x14ac:dyDescent="0.2">
      <c r="A162">
        <v>2017</v>
      </c>
      <c r="B162" t="s">
        <v>141</v>
      </c>
      <c r="C162" t="s">
        <v>116</v>
      </c>
      <c r="D162">
        <v>4</v>
      </c>
      <c r="E162" s="15">
        <v>1533</v>
      </c>
    </row>
    <row r="163" spans="1:5" x14ac:dyDescent="0.2">
      <c r="A163">
        <v>2017</v>
      </c>
      <c r="B163" t="s">
        <v>141</v>
      </c>
      <c r="C163" t="s">
        <v>117</v>
      </c>
      <c r="D163">
        <v>5</v>
      </c>
      <c r="E163" s="15">
        <v>4867</v>
      </c>
    </row>
    <row r="164" spans="1:5" x14ac:dyDescent="0.2">
      <c r="A164">
        <v>2017</v>
      </c>
      <c r="B164" t="s">
        <v>141</v>
      </c>
      <c r="C164" t="s">
        <v>118</v>
      </c>
      <c r="D164">
        <v>6</v>
      </c>
      <c r="E164" s="15">
        <v>8041</v>
      </c>
    </row>
    <row r="165" spans="1:5" x14ac:dyDescent="0.2">
      <c r="A165">
        <v>2017</v>
      </c>
      <c r="B165" t="s">
        <v>141</v>
      </c>
      <c r="C165" t="s">
        <v>119</v>
      </c>
      <c r="D165">
        <v>7</v>
      </c>
      <c r="E165" s="15">
        <v>6192</v>
      </c>
    </row>
    <row r="166" spans="1:5" x14ac:dyDescent="0.2">
      <c r="A166">
        <v>2017</v>
      </c>
      <c r="B166" t="s">
        <v>141</v>
      </c>
      <c r="C166" t="s">
        <v>120</v>
      </c>
      <c r="D166">
        <v>8</v>
      </c>
      <c r="E166" s="15">
        <v>22112</v>
      </c>
    </row>
    <row r="167" spans="1:5" x14ac:dyDescent="0.2">
      <c r="A167">
        <v>2017</v>
      </c>
      <c r="B167" t="s">
        <v>141</v>
      </c>
      <c r="C167" t="s">
        <v>121</v>
      </c>
      <c r="D167">
        <v>9</v>
      </c>
      <c r="E167" s="15">
        <v>17602</v>
      </c>
    </row>
    <row r="168" spans="1:5" x14ac:dyDescent="0.2">
      <c r="A168">
        <v>2017</v>
      </c>
      <c r="B168" t="s">
        <v>141</v>
      </c>
      <c r="C168" t="s">
        <v>122</v>
      </c>
      <c r="D168">
        <v>10</v>
      </c>
      <c r="E168" s="15">
        <v>15883</v>
      </c>
    </row>
    <row r="169" spans="1:5" x14ac:dyDescent="0.2">
      <c r="A169">
        <v>2017</v>
      </c>
      <c r="B169" t="s">
        <v>141</v>
      </c>
      <c r="C169" t="s">
        <v>123</v>
      </c>
      <c r="D169">
        <v>11</v>
      </c>
      <c r="E169" s="15">
        <v>53317</v>
      </c>
    </row>
    <row r="170" spans="1:5" x14ac:dyDescent="0.2">
      <c r="A170">
        <v>2017</v>
      </c>
      <c r="B170" t="s">
        <v>142</v>
      </c>
      <c r="C170" t="s">
        <v>113</v>
      </c>
      <c r="D170">
        <v>1</v>
      </c>
      <c r="E170" s="15">
        <v>73</v>
      </c>
    </row>
    <row r="171" spans="1:5" x14ac:dyDescent="0.2">
      <c r="A171">
        <v>2017</v>
      </c>
      <c r="B171" t="s">
        <v>142</v>
      </c>
      <c r="C171" t="s">
        <v>114</v>
      </c>
      <c r="D171">
        <v>2</v>
      </c>
      <c r="E171" s="15">
        <v>1027</v>
      </c>
    </row>
    <row r="172" spans="1:5" x14ac:dyDescent="0.2">
      <c r="A172">
        <v>2017</v>
      </c>
      <c r="B172" t="s">
        <v>142</v>
      </c>
      <c r="C172" t="s">
        <v>115</v>
      </c>
      <c r="D172">
        <v>3</v>
      </c>
      <c r="E172" s="15">
        <v>638</v>
      </c>
    </row>
    <row r="173" spans="1:5" x14ac:dyDescent="0.2">
      <c r="A173">
        <v>2017</v>
      </c>
      <c r="B173" t="s">
        <v>142</v>
      </c>
      <c r="C173" t="s">
        <v>116</v>
      </c>
      <c r="D173">
        <v>4</v>
      </c>
      <c r="E173" s="15">
        <v>218</v>
      </c>
    </row>
    <row r="174" spans="1:5" x14ac:dyDescent="0.2">
      <c r="A174">
        <v>2017</v>
      </c>
      <c r="B174" t="s">
        <v>142</v>
      </c>
      <c r="C174" t="s">
        <v>117</v>
      </c>
      <c r="D174">
        <v>5</v>
      </c>
      <c r="E174" s="15">
        <v>546</v>
      </c>
    </row>
    <row r="175" spans="1:5" x14ac:dyDescent="0.2">
      <c r="A175">
        <v>2017</v>
      </c>
      <c r="B175" t="s">
        <v>142</v>
      </c>
      <c r="C175" t="s">
        <v>118</v>
      </c>
      <c r="D175">
        <v>6</v>
      </c>
      <c r="E175" s="15">
        <v>1239</v>
      </c>
    </row>
    <row r="176" spans="1:5" x14ac:dyDescent="0.2">
      <c r="A176">
        <v>2017</v>
      </c>
      <c r="B176" t="s">
        <v>142</v>
      </c>
      <c r="C176" t="s">
        <v>119</v>
      </c>
      <c r="D176">
        <v>7</v>
      </c>
      <c r="E176" s="15">
        <v>1213</v>
      </c>
    </row>
    <row r="177" spans="1:5" x14ac:dyDescent="0.2">
      <c r="A177">
        <v>2017</v>
      </c>
      <c r="B177" t="s">
        <v>142</v>
      </c>
      <c r="C177" t="s">
        <v>120</v>
      </c>
      <c r="D177">
        <v>8</v>
      </c>
      <c r="E177" s="15">
        <v>4574</v>
      </c>
    </row>
    <row r="178" spans="1:5" x14ac:dyDescent="0.2">
      <c r="A178">
        <v>2017</v>
      </c>
      <c r="B178" t="s">
        <v>142</v>
      </c>
      <c r="C178" t="s">
        <v>121</v>
      </c>
      <c r="D178">
        <v>9</v>
      </c>
      <c r="E178" s="15">
        <v>3533</v>
      </c>
    </row>
    <row r="179" spans="1:5" x14ac:dyDescent="0.2">
      <c r="A179">
        <v>2017</v>
      </c>
      <c r="B179" t="s">
        <v>142</v>
      </c>
      <c r="C179" t="s">
        <v>122</v>
      </c>
      <c r="D179">
        <v>10</v>
      </c>
      <c r="E179" s="15">
        <v>2723</v>
      </c>
    </row>
    <row r="180" spans="1:5" x14ac:dyDescent="0.2">
      <c r="A180">
        <v>2017</v>
      </c>
      <c r="B180" t="s">
        <v>142</v>
      </c>
      <c r="C180" t="s">
        <v>123</v>
      </c>
      <c r="D180">
        <v>11</v>
      </c>
      <c r="E180" s="15">
        <v>8584</v>
      </c>
    </row>
    <row r="181" spans="1:5" x14ac:dyDescent="0.2">
      <c r="A181">
        <v>2017</v>
      </c>
      <c r="B181" t="s">
        <v>143</v>
      </c>
      <c r="C181" t="s">
        <v>113</v>
      </c>
      <c r="D181">
        <v>1</v>
      </c>
      <c r="E181" s="15">
        <v>52</v>
      </c>
    </row>
    <row r="182" spans="1:5" x14ac:dyDescent="0.2">
      <c r="A182">
        <v>2017</v>
      </c>
      <c r="B182" t="s">
        <v>143</v>
      </c>
      <c r="C182" t="s">
        <v>114</v>
      </c>
      <c r="D182">
        <v>2</v>
      </c>
      <c r="E182" s="15">
        <v>1210</v>
      </c>
    </row>
    <row r="183" spans="1:5" x14ac:dyDescent="0.2">
      <c r="A183">
        <v>2017</v>
      </c>
      <c r="B183" t="s">
        <v>143</v>
      </c>
      <c r="C183" t="s">
        <v>115</v>
      </c>
      <c r="D183">
        <v>3</v>
      </c>
      <c r="E183" s="15">
        <v>828</v>
      </c>
    </row>
    <row r="184" spans="1:5" x14ac:dyDescent="0.2">
      <c r="A184">
        <v>2017</v>
      </c>
      <c r="B184" t="s">
        <v>143</v>
      </c>
      <c r="C184" t="s">
        <v>116</v>
      </c>
      <c r="D184">
        <v>4</v>
      </c>
      <c r="E184" s="15">
        <v>306</v>
      </c>
    </row>
    <row r="185" spans="1:5" x14ac:dyDescent="0.2">
      <c r="A185">
        <v>2017</v>
      </c>
      <c r="B185" t="s">
        <v>143</v>
      </c>
      <c r="C185" t="s">
        <v>117</v>
      </c>
      <c r="D185">
        <v>5</v>
      </c>
      <c r="E185" s="15">
        <v>725</v>
      </c>
    </row>
    <row r="186" spans="1:5" x14ac:dyDescent="0.2">
      <c r="A186">
        <v>2017</v>
      </c>
      <c r="B186" t="s">
        <v>143</v>
      </c>
      <c r="C186" t="s">
        <v>118</v>
      </c>
      <c r="D186">
        <v>6</v>
      </c>
      <c r="E186" s="15">
        <v>919</v>
      </c>
    </row>
    <row r="187" spans="1:5" x14ac:dyDescent="0.2">
      <c r="A187">
        <v>2017</v>
      </c>
      <c r="B187" t="s">
        <v>143</v>
      </c>
      <c r="C187" t="s">
        <v>119</v>
      </c>
      <c r="D187">
        <v>7</v>
      </c>
      <c r="E187" s="15">
        <v>651</v>
      </c>
    </row>
    <row r="188" spans="1:5" x14ac:dyDescent="0.2">
      <c r="A188">
        <v>2017</v>
      </c>
      <c r="B188" t="s">
        <v>143</v>
      </c>
      <c r="C188" t="s">
        <v>120</v>
      </c>
      <c r="D188">
        <v>8</v>
      </c>
      <c r="E188" s="15">
        <v>3038</v>
      </c>
    </row>
    <row r="189" spans="1:5" x14ac:dyDescent="0.2">
      <c r="A189">
        <v>2017</v>
      </c>
      <c r="B189" t="s">
        <v>143</v>
      </c>
      <c r="C189" t="s">
        <v>121</v>
      </c>
      <c r="D189">
        <v>9</v>
      </c>
      <c r="E189" s="15">
        <v>2323</v>
      </c>
    </row>
    <row r="190" spans="1:5" x14ac:dyDescent="0.2">
      <c r="A190">
        <v>2017</v>
      </c>
      <c r="B190" t="s">
        <v>143</v>
      </c>
      <c r="C190" t="s">
        <v>122</v>
      </c>
      <c r="D190">
        <v>10</v>
      </c>
      <c r="E190" s="15">
        <v>1997</v>
      </c>
    </row>
    <row r="191" spans="1:5" x14ac:dyDescent="0.2">
      <c r="A191">
        <v>2017</v>
      </c>
      <c r="B191" t="s">
        <v>143</v>
      </c>
      <c r="C191" t="s">
        <v>123</v>
      </c>
      <c r="D191">
        <v>11</v>
      </c>
      <c r="E191" s="15">
        <v>9151</v>
      </c>
    </row>
    <row r="192" spans="1:5" x14ac:dyDescent="0.2">
      <c r="A192">
        <v>2017</v>
      </c>
      <c r="B192" t="s">
        <v>144</v>
      </c>
      <c r="C192" t="s">
        <v>113</v>
      </c>
      <c r="D192">
        <v>1</v>
      </c>
      <c r="E192" s="15">
        <v>115</v>
      </c>
    </row>
    <row r="193" spans="1:5" x14ac:dyDescent="0.2">
      <c r="A193">
        <v>2017</v>
      </c>
      <c r="B193" t="s">
        <v>144</v>
      </c>
      <c r="C193" t="s">
        <v>114</v>
      </c>
      <c r="D193">
        <v>2</v>
      </c>
      <c r="E193" s="15">
        <v>2079</v>
      </c>
    </row>
    <row r="194" spans="1:5" x14ac:dyDescent="0.2">
      <c r="A194">
        <v>2017</v>
      </c>
      <c r="B194" t="s">
        <v>144</v>
      </c>
      <c r="C194" t="s">
        <v>115</v>
      </c>
      <c r="D194">
        <v>3</v>
      </c>
      <c r="E194" s="15">
        <v>1447</v>
      </c>
    </row>
    <row r="195" spans="1:5" x14ac:dyDescent="0.2">
      <c r="A195">
        <v>2017</v>
      </c>
      <c r="B195" t="s">
        <v>144</v>
      </c>
      <c r="C195" t="s">
        <v>116</v>
      </c>
      <c r="D195">
        <v>4</v>
      </c>
      <c r="E195" s="15">
        <v>589</v>
      </c>
    </row>
    <row r="196" spans="1:5" x14ac:dyDescent="0.2">
      <c r="A196">
        <v>2017</v>
      </c>
      <c r="B196" t="s">
        <v>144</v>
      </c>
      <c r="C196" t="s">
        <v>117</v>
      </c>
      <c r="D196">
        <v>5</v>
      </c>
      <c r="E196" s="15">
        <v>1419</v>
      </c>
    </row>
    <row r="197" spans="1:5" x14ac:dyDescent="0.2">
      <c r="A197">
        <v>2017</v>
      </c>
      <c r="B197" t="s">
        <v>144</v>
      </c>
      <c r="C197" t="s">
        <v>118</v>
      </c>
      <c r="D197">
        <v>6</v>
      </c>
      <c r="E197" s="15">
        <v>2086</v>
      </c>
    </row>
    <row r="198" spans="1:5" x14ac:dyDescent="0.2">
      <c r="A198">
        <v>2017</v>
      </c>
      <c r="B198" t="s">
        <v>144</v>
      </c>
      <c r="C198" t="s">
        <v>119</v>
      </c>
      <c r="D198">
        <v>7</v>
      </c>
      <c r="E198" s="15">
        <v>1725</v>
      </c>
    </row>
    <row r="199" spans="1:5" x14ac:dyDescent="0.2">
      <c r="A199">
        <v>2017</v>
      </c>
      <c r="B199" t="s">
        <v>144</v>
      </c>
      <c r="C199" t="s">
        <v>120</v>
      </c>
      <c r="D199">
        <v>8</v>
      </c>
      <c r="E199" s="15">
        <v>6971</v>
      </c>
    </row>
    <row r="200" spans="1:5" x14ac:dyDescent="0.2">
      <c r="A200">
        <v>2017</v>
      </c>
      <c r="B200" t="s">
        <v>144</v>
      </c>
      <c r="C200" t="s">
        <v>121</v>
      </c>
      <c r="D200">
        <v>9</v>
      </c>
      <c r="E200" s="15">
        <v>5764</v>
      </c>
    </row>
    <row r="201" spans="1:5" x14ac:dyDescent="0.2">
      <c r="A201">
        <v>2017</v>
      </c>
      <c r="B201" t="s">
        <v>144</v>
      </c>
      <c r="C201" t="s">
        <v>122</v>
      </c>
      <c r="D201">
        <v>10</v>
      </c>
      <c r="E201" s="15">
        <v>5247</v>
      </c>
    </row>
    <row r="202" spans="1:5" x14ac:dyDescent="0.2">
      <c r="A202">
        <v>2017</v>
      </c>
      <c r="B202" t="s">
        <v>144</v>
      </c>
      <c r="C202" t="s">
        <v>123</v>
      </c>
      <c r="D202">
        <v>11</v>
      </c>
      <c r="E202" s="15">
        <v>20550</v>
      </c>
    </row>
    <row r="203" spans="1:5" x14ac:dyDescent="0.2">
      <c r="A203">
        <v>2017</v>
      </c>
      <c r="B203" t="s">
        <v>145</v>
      </c>
      <c r="C203" t="s">
        <v>113</v>
      </c>
      <c r="D203">
        <v>1</v>
      </c>
      <c r="E203" s="15">
        <v>10</v>
      </c>
    </row>
    <row r="204" spans="1:5" x14ac:dyDescent="0.2">
      <c r="A204">
        <v>2017</v>
      </c>
      <c r="B204" t="s">
        <v>145</v>
      </c>
      <c r="C204" t="s">
        <v>114</v>
      </c>
      <c r="D204">
        <v>2</v>
      </c>
      <c r="E204" s="15">
        <v>278</v>
      </c>
    </row>
    <row r="205" spans="1:5" x14ac:dyDescent="0.2">
      <c r="A205">
        <v>2017</v>
      </c>
      <c r="B205" t="s">
        <v>145</v>
      </c>
      <c r="C205" t="s">
        <v>115</v>
      </c>
      <c r="D205">
        <v>3</v>
      </c>
      <c r="E205" s="15">
        <v>269</v>
      </c>
    </row>
    <row r="206" spans="1:5" x14ac:dyDescent="0.2">
      <c r="A206">
        <v>2017</v>
      </c>
      <c r="B206" t="s">
        <v>145</v>
      </c>
      <c r="C206" t="s">
        <v>116</v>
      </c>
      <c r="D206">
        <v>4</v>
      </c>
      <c r="E206" s="15">
        <v>108</v>
      </c>
    </row>
    <row r="207" spans="1:5" x14ac:dyDescent="0.2">
      <c r="A207">
        <v>2017</v>
      </c>
      <c r="B207" t="s">
        <v>145</v>
      </c>
      <c r="C207" t="s">
        <v>117</v>
      </c>
      <c r="D207">
        <v>5</v>
      </c>
      <c r="E207" s="15">
        <v>273</v>
      </c>
    </row>
    <row r="208" spans="1:5" x14ac:dyDescent="0.2">
      <c r="A208">
        <v>2017</v>
      </c>
      <c r="B208" t="s">
        <v>145</v>
      </c>
      <c r="C208" t="s">
        <v>118</v>
      </c>
      <c r="D208">
        <v>6</v>
      </c>
      <c r="E208" s="15">
        <v>1127</v>
      </c>
    </row>
    <row r="209" spans="1:5" x14ac:dyDescent="0.2">
      <c r="A209">
        <v>2017</v>
      </c>
      <c r="B209" t="s">
        <v>145</v>
      </c>
      <c r="C209" t="s">
        <v>119</v>
      </c>
      <c r="D209">
        <v>7</v>
      </c>
      <c r="E209" s="15">
        <v>1260</v>
      </c>
    </row>
    <row r="210" spans="1:5" x14ac:dyDescent="0.2">
      <c r="A210">
        <v>2017</v>
      </c>
      <c r="B210" t="s">
        <v>145</v>
      </c>
      <c r="C210" t="s">
        <v>120</v>
      </c>
      <c r="D210">
        <v>8</v>
      </c>
      <c r="E210" s="15">
        <v>4211</v>
      </c>
    </row>
    <row r="211" spans="1:5" x14ac:dyDescent="0.2">
      <c r="A211">
        <v>2017</v>
      </c>
      <c r="B211" t="s">
        <v>145</v>
      </c>
      <c r="C211" t="s">
        <v>121</v>
      </c>
      <c r="D211">
        <v>9</v>
      </c>
      <c r="E211" s="15">
        <v>2864</v>
      </c>
    </row>
    <row r="212" spans="1:5" x14ac:dyDescent="0.2">
      <c r="A212">
        <v>2017</v>
      </c>
      <c r="B212" t="s">
        <v>145</v>
      </c>
      <c r="C212" t="s">
        <v>122</v>
      </c>
      <c r="D212">
        <v>10</v>
      </c>
      <c r="E212" s="15">
        <v>2048</v>
      </c>
    </row>
    <row r="213" spans="1:5" x14ac:dyDescent="0.2">
      <c r="A213">
        <v>2017</v>
      </c>
      <c r="B213" t="s">
        <v>145</v>
      </c>
      <c r="C213" t="s">
        <v>123</v>
      </c>
      <c r="D213">
        <v>11</v>
      </c>
      <c r="E213" s="15">
        <v>4614</v>
      </c>
    </row>
    <row r="214" spans="1:5" x14ac:dyDescent="0.2">
      <c r="A214">
        <v>2017</v>
      </c>
      <c r="B214" t="s">
        <v>146</v>
      </c>
      <c r="C214" t="s">
        <v>113</v>
      </c>
      <c r="D214">
        <v>1</v>
      </c>
      <c r="E214" s="15">
        <v>172</v>
      </c>
    </row>
    <row r="215" spans="1:5" x14ac:dyDescent="0.2">
      <c r="A215">
        <v>2017</v>
      </c>
      <c r="B215" t="s">
        <v>146</v>
      </c>
      <c r="C215" t="s">
        <v>114</v>
      </c>
      <c r="D215">
        <v>2</v>
      </c>
      <c r="E215" s="15">
        <v>2091</v>
      </c>
    </row>
    <row r="216" spans="1:5" x14ac:dyDescent="0.2">
      <c r="A216">
        <v>2017</v>
      </c>
      <c r="B216" t="s">
        <v>146</v>
      </c>
      <c r="C216" t="s">
        <v>115</v>
      </c>
      <c r="D216">
        <v>3</v>
      </c>
      <c r="E216" s="15">
        <v>1645</v>
      </c>
    </row>
    <row r="217" spans="1:5" x14ac:dyDescent="0.2">
      <c r="A217">
        <v>2017</v>
      </c>
      <c r="B217" t="s">
        <v>146</v>
      </c>
      <c r="C217" t="s">
        <v>116</v>
      </c>
      <c r="D217">
        <v>4</v>
      </c>
      <c r="E217" s="15">
        <v>776</v>
      </c>
    </row>
    <row r="218" spans="1:5" x14ac:dyDescent="0.2">
      <c r="A218">
        <v>2017</v>
      </c>
      <c r="B218" t="s">
        <v>146</v>
      </c>
      <c r="C218" t="s">
        <v>117</v>
      </c>
      <c r="D218">
        <v>5</v>
      </c>
      <c r="E218" s="15">
        <v>2091</v>
      </c>
    </row>
    <row r="219" spans="1:5" x14ac:dyDescent="0.2">
      <c r="A219">
        <v>2017</v>
      </c>
      <c r="B219" t="s">
        <v>146</v>
      </c>
      <c r="C219" t="s">
        <v>118</v>
      </c>
      <c r="D219">
        <v>6</v>
      </c>
      <c r="E219" s="15">
        <v>4150</v>
      </c>
    </row>
    <row r="220" spans="1:5" x14ac:dyDescent="0.2">
      <c r="A220">
        <v>2017</v>
      </c>
      <c r="B220" t="s">
        <v>146</v>
      </c>
      <c r="C220" t="s">
        <v>119</v>
      </c>
      <c r="D220">
        <v>7</v>
      </c>
      <c r="E220" s="15">
        <v>3252</v>
      </c>
    </row>
    <row r="221" spans="1:5" x14ac:dyDescent="0.2">
      <c r="A221">
        <v>2017</v>
      </c>
      <c r="B221" t="s">
        <v>146</v>
      </c>
      <c r="C221" t="s">
        <v>120</v>
      </c>
      <c r="D221">
        <v>8</v>
      </c>
      <c r="E221" s="15">
        <v>11758</v>
      </c>
    </row>
    <row r="222" spans="1:5" x14ac:dyDescent="0.2">
      <c r="A222">
        <v>2017</v>
      </c>
      <c r="B222" t="s">
        <v>146</v>
      </c>
      <c r="C222" t="s">
        <v>121</v>
      </c>
      <c r="D222">
        <v>9</v>
      </c>
      <c r="E222" s="15">
        <v>8943</v>
      </c>
    </row>
    <row r="223" spans="1:5" x14ac:dyDescent="0.2">
      <c r="A223">
        <v>2017</v>
      </c>
      <c r="B223" t="s">
        <v>146</v>
      </c>
      <c r="C223" t="s">
        <v>122</v>
      </c>
      <c r="D223">
        <v>10</v>
      </c>
      <c r="E223" s="15">
        <v>7588</v>
      </c>
    </row>
    <row r="224" spans="1:5" x14ac:dyDescent="0.2">
      <c r="A224">
        <v>2017</v>
      </c>
      <c r="B224" t="s">
        <v>146</v>
      </c>
      <c r="C224" t="s">
        <v>123</v>
      </c>
      <c r="D224">
        <v>11</v>
      </c>
      <c r="E224" s="15">
        <v>30911</v>
      </c>
    </row>
    <row r="225" spans="1:5" x14ac:dyDescent="0.2">
      <c r="A225">
        <v>2017</v>
      </c>
      <c r="B225" t="s">
        <v>147</v>
      </c>
      <c r="C225" t="s">
        <v>113</v>
      </c>
      <c r="D225">
        <v>1</v>
      </c>
      <c r="E225" s="15">
        <v>378</v>
      </c>
    </row>
    <row r="226" spans="1:5" x14ac:dyDescent="0.2">
      <c r="A226">
        <v>2017</v>
      </c>
      <c r="B226" t="s">
        <v>147</v>
      </c>
      <c r="C226" t="s">
        <v>114</v>
      </c>
      <c r="D226">
        <v>2</v>
      </c>
      <c r="E226" s="15">
        <v>4783</v>
      </c>
    </row>
    <row r="227" spans="1:5" x14ac:dyDescent="0.2">
      <c r="A227">
        <v>2017</v>
      </c>
      <c r="B227" t="s">
        <v>147</v>
      </c>
      <c r="C227" t="s">
        <v>115</v>
      </c>
      <c r="D227">
        <v>3</v>
      </c>
      <c r="E227" s="15">
        <v>3601</v>
      </c>
    </row>
    <row r="228" spans="1:5" x14ac:dyDescent="0.2">
      <c r="A228">
        <v>2017</v>
      </c>
      <c r="B228" t="s">
        <v>147</v>
      </c>
      <c r="C228" t="s">
        <v>116</v>
      </c>
      <c r="D228">
        <v>4</v>
      </c>
      <c r="E228" s="15">
        <v>1530</v>
      </c>
    </row>
    <row r="229" spans="1:5" x14ac:dyDescent="0.2">
      <c r="A229">
        <v>2017</v>
      </c>
      <c r="B229" t="s">
        <v>147</v>
      </c>
      <c r="C229" t="s">
        <v>117</v>
      </c>
      <c r="D229">
        <v>5</v>
      </c>
      <c r="E229" s="15">
        <v>4369</v>
      </c>
    </row>
    <row r="230" spans="1:5" x14ac:dyDescent="0.2">
      <c r="A230">
        <v>2017</v>
      </c>
      <c r="B230" t="s">
        <v>147</v>
      </c>
      <c r="C230" t="s">
        <v>118</v>
      </c>
      <c r="D230">
        <v>6</v>
      </c>
      <c r="E230" s="15">
        <v>6829</v>
      </c>
    </row>
    <row r="231" spans="1:5" x14ac:dyDescent="0.2">
      <c r="A231">
        <v>2017</v>
      </c>
      <c r="B231" t="s">
        <v>147</v>
      </c>
      <c r="C231" t="s">
        <v>119</v>
      </c>
      <c r="D231">
        <v>7</v>
      </c>
      <c r="E231" s="15">
        <v>4583</v>
      </c>
    </row>
    <row r="232" spans="1:5" x14ac:dyDescent="0.2">
      <c r="A232">
        <v>2017</v>
      </c>
      <c r="B232" t="s">
        <v>147</v>
      </c>
      <c r="C232" t="s">
        <v>120</v>
      </c>
      <c r="D232">
        <v>8</v>
      </c>
      <c r="E232" s="15">
        <v>19401</v>
      </c>
    </row>
    <row r="233" spans="1:5" x14ac:dyDescent="0.2">
      <c r="A233">
        <v>2017</v>
      </c>
      <c r="B233" t="s">
        <v>147</v>
      </c>
      <c r="C233" t="s">
        <v>121</v>
      </c>
      <c r="D233">
        <v>9</v>
      </c>
      <c r="E233" s="15">
        <v>16335</v>
      </c>
    </row>
    <row r="234" spans="1:5" x14ac:dyDescent="0.2">
      <c r="A234">
        <v>2017</v>
      </c>
      <c r="B234" t="s">
        <v>147</v>
      </c>
      <c r="C234" t="s">
        <v>122</v>
      </c>
      <c r="D234">
        <v>10</v>
      </c>
      <c r="E234" s="15">
        <v>14654</v>
      </c>
    </row>
    <row r="235" spans="1:5" x14ac:dyDescent="0.2">
      <c r="A235">
        <v>2017</v>
      </c>
      <c r="B235" t="s">
        <v>147</v>
      </c>
      <c r="C235" t="s">
        <v>123</v>
      </c>
      <c r="D235">
        <v>11</v>
      </c>
      <c r="E235" s="15">
        <v>59278</v>
      </c>
    </row>
    <row r="236" spans="1:5" x14ac:dyDescent="0.2">
      <c r="A236">
        <v>2017</v>
      </c>
      <c r="B236" t="s">
        <v>148</v>
      </c>
      <c r="C236" t="s">
        <v>113</v>
      </c>
      <c r="D236">
        <v>1</v>
      </c>
      <c r="E236" s="15">
        <v>98</v>
      </c>
    </row>
    <row r="237" spans="1:5" x14ac:dyDescent="0.2">
      <c r="A237">
        <v>2017</v>
      </c>
      <c r="B237" t="s">
        <v>148</v>
      </c>
      <c r="C237" t="s">
        <v>114</v>
      </c>
      <c r="D237">
        <v>2</v>
      </c>
      <c r="E237" s="15">
        <v>1000</v>
      </c>
    </row>
    <row r="238" spans="1:5" x14ac:dyDescent="0.2">
      <c r="A238">
        <v>2017</v>
      </c>
      <c r="B238" t="s">
        <v>148</v>
      </c>
      <c r="C238" t="s">
        <v>115</v>
      </c>
      <c r="D238">
        <v>3</v>
      </c>
      <c r="E238" s="15">
        <v>787</v>
      </c>
    </row>
    <row r="239" spans="1:5" x14ac:dyDescent="0.2">
      <c r="A239">
        <v>2017</v>
      </c>
      <c r="B239" t="s">
        <v>148</v>
      </c>
      <c r="C239" t="s">
        <v>116</v>
      </c>
      <c r="D239">
        <v>4</v>
      </c>
      <c r="E239" s="15">
        <v>356</v>
      </c>
    </row>
    <row r="240" spans="1:5" x14ac:dyDescent="0.2">
      <c r="A240">
        <v>2017</v>
      </c>
      <c r="B240" t="s">
        <v>148</v>
      </c>
      <c r="C240" t="s">
        <v>117</v>
      </c>
      <c r="D240">
        <v>5</v>
      </c>
      <c r="E240" s="15">
        <v>841</v>
      </c>
    </row>
    <row r="241" spans="1:5" x14ac:dyDescent="0.2">
      <c r="A241">
        <v>2017</v>
      </c>
      <c r="B241" t="s">
        <v>148</v>
      </c>
      <c r="C241" t="s">
        <v>118</v>
      </c>
      <c r="D241">
        <v>6</v>
      </c>
      <c r="E241" s="15">
        <v>1198</v>
      </c>
    </row>
    <row r="242" spans="1:5" x14ac:dyDescent="0.2">
      <c r="A242">
        <v>2017</v>
      </c>
      <c r="B242" t="s">
        <v>148</v>
      </c>
      <c r="C242" t="s">
        <v>119</v>
      </c>
      <c r="D242">
        <v>7</v>
      </c>
      <c r="E242" s="15">
        <v>887</v>
      </c>
    </row>
    <row r="243" spans="1:5" x14ac:dyDescent="0.2">
      <c r="A243">
        <v>2017</v>
      </c>
      <c r="B243" t="s">
        <v>148</v>
      </c>
      <c r="C243" t="s">
        <v>120</v>
      </c>
      <c r="D243">
        <v>8</v>
      </c>
      <c r="E243" s="15">
        <v>3831</v>
      </c>
    </row>
    <row r="244" spans="1:5" x14ac:dyDescent="0.2">
      <c r="A244">
        <v>2017</v>
      </c>
      <c r="B244" t="s">
        <v>148</v>
      </c>
      <c r="C244" t="s">
        <v>121</v>
      </c>
      <c r="D244">
        <v>9</v>
      </c>
      <c r="E244" s="15">
        <v>3512</v>
      </c>
    </row>
    <row r="245" spans="1:5" x14ac:dyDescent="0.2">
      <c r="A245">
        <v>2017</v>
      </c>
      <c r="B245" t="s">
        <v>148</v>
      </c>
      <c r="C245" t="s">
        <v>122</v>
      </c>
      <c r="D245">
        <v>10</v>
      </c>
      <c r="E245" s="15">
        <v>3304</v>
      </c>
    </row>
    <row r="246" spans="1:5" x14ac:dyDescent="0.2">
      <c r="A246">
        <v>2017</v>
      </c>
      <c r="B246" t="s">
        <v>148</v>
      </c>
      <c r="C246" t="s">
        <v>123</v>
      </c>
      <c r="D246">
        <v>11</v>
      </c>
      <c r="E246" s="15">
        <v>11857</v>
      </c>
    </row>
    <row r="247" spans="1:5" x14ac:dyDescent="0.2">
      <c r="A247">
        <v>2017</v>
      </c>
      <c r="B247" t="s">
        <v>149</v>
      </c>
      <c r="C247" t="s">
        <v>113</v>
      </c>
      <c r="D247">
        <v>1</v>
      </c>
      <c r="E247" s="15">
        <v>8</v>
      </c>
    </row>
    <row r="248" spans="1:5" x14ac:dyDescent="0.2">
      <c r="A248">
        <v>2017</v>
      </c>
      <c r="B248" t="s">
        <v>149</v>
      </c>
      <c r="C248" t="s">
        <v>114</v>
      </c>
      <c r="D248">
        <v>2</v>
      </c>
      <c r="E248" s="15">
        <v>114</v>
      </c>
    </row>
    <row r="249" spans="1:5" x14ac:dyDescent="0.2">
      <c r="A249">
        <v>2017</v>
      </c>
      <c r="B249" t="s">
        <v>149</v>
      </c>
      <c r="C249" t="s">
        <v>115</v>
      </c>
      <c r="D249">
        <v>3</v>
      </c>
      <c r="E249" s="15">
        <v>64</v>
      </c>
    </row>
    <row r="250" spans="1:5" x14ac:dyDescent="0.2">
      <c r="A250">
        <v>2017</v>
      </c>
      <c r="B250" t="s">
        <v>149</v>
      </c>
      <c r="C250" t="s">
        <v>116</v>
      </c>
      <c r="D250">
        <v>4</v>
      </c>
      <c r="E250" s="15">
        <v>33</v>
      </c>
    </row>
    <row r="251" spans="1:5" x14ac:dyDescent="0.2">
      <c r="A251">
        <v>2017</v>
      </c>
      <c r="B251" t="s">
        <v>149</v>
      </c>
      <c r="C251" t="s">
        <v>117</v>
      </c>
      <c r="D251">
        <v>5</v>
      </c>
      <c r="E251" s="15">
        <v>96</v>
      </c>
    </row>
    <row r="252" spans="1:5" x14ac:dyDescent="0.2">
      <c r="A252">
        <v>2017</v>
      </c>
      <c r="B252" t="s">
        <v>149</v>
      </c>
      <c r="C252" t="s">
        <v>118</v>
      </c>
      <c r="D252">
        <v>6</v>
      </c>
      <c r="E252" s="15">
        <v>132</v>
      </c>
    </row>
    <row r="253" spans="1:5" x14ac:dyDescent="0.2">
      <c r="A253">
        <v>2017</v>
      </c>
      <c r="B253" t="s">
        <v>149</v>
      </c>
      <c r="C253" t="s">
        <v>119</v>
      </c>
      <c r="D253">
        <v>7</v>
      </c>
      <c r="E253" s="15">
        <v>77</v>
      </c>
    </row>
    <row r="254" spans="1:5" x14ac:dyDescent="0.2">
      <c r="A254">
        <v>2017</v>
      </c>
      <c r="B254" t="s">
        <v>149</v>
      </c>
      <c r="C254" t="s">
        <v>120</v>
      </c>
      <c r="D254">
        <v>8</v>
      </c>
      <c r="E254" s="15">
        <v>370</v>
      </c>
    </row>
    <row r="255" spans="1:5" x14ac:dyDescent="0.2">
      <c r="A255">
        <v>2017</v>
      </c>
      <c r="B255" t="s">
        <v>149</v>
      </c>
      <c r="C255" t="s">
        <v>121</v>
      </c>
      <c r="D255">
        <v>9</v>
      </c>
      <c r="E255" s="15">
        <v>264</v>
      </c>
    </row>
    <row r="256" spans="1:5" x14ac:dyDescent="0.2">
      <c r="A256">
        <v>2017</v>
      </c>
      <c r="B256" t="s">
        <v>149</v>
      </c>
      <c r="C256" t="s">
        <v>122</v>
      </c>
      <c r="D256">
        <v>10</v>
      </c>
      <c r="E256" s="15">
        <v>213</v>
      </c>
    </row>
    <row r="257" spans="1:5" x14ac:dyDescent="0.2">
      <c r="A257">
        <v>2017</v>
      </c>
      <c r="B257" t="s">
        <v>149</v>
      </c>
      <c r="C257" t="s">
        <v>123</v>
      </c>
      <c r="D257">
        <v>11</v>
      </c>
      <c r="E257" s="15">
        <v>358</v>
      </c>
    </row>
    <row r="258" spans="1:5" x14ac:dyDescent="0.2">
      <c r="A258">
        <v>2017</v>
      </c>
      <c r="B258" t="s">
        <v>150</v>
      </c>
      <c r="C258" t="s">
        <v>113</v>
      </c>
      <c r="D258">
        <v>1</v>
      </c>
      <c r="E258" s="15">
        <v>26</v>
      </c>
    </row>
    <row r="259" spans="1:5" x14ac:dyDescent="0.2">
      <c r="A259">
        <v>2017</v>
      </c>
      <c r="B259" t="s">
        <v>150</v>
      </c>
      <c r="C259" t="s">
        <v>114</v>
      </c>
      <c r="D259">
        <v>2</v>
      </c>
      <c r="E259" s="15">
        <v>496</v>
      </c>
    </row>
    <row r="260" spans="1:5" x14ac:dyDescent="0.2">
      <c r="A260">
        <v>2017</v>
      </c>
      <c r="B260" t="s">
        <v>150</v>
      </c>
      <c r="C260" t="s">
        <v>115</v>
      </c>
      <c r="D260">
        <v>3</v>
      </c>
      <c r="E260" s="15">
        <v>373</v>
      </c>
    </row>
    <row r="261" spans="1:5" x14ac:dyDescent="0.2">
      <c r="A261">
        <v>2017</v>
      </c>
      <c r="B261" t="s">
        <v>150</v>
      </c>
      <c r="C261" t="s">
        <v>116</v>
      </c>
      <c r="D261">
        <v>4</v>
      </c>
      <c r="E261" s="15">
        <v>122</v>
      </c>
    </row>
    <row r="262" spans="1:5" x14ac:dyDescent="0.2">
      <c r="A262">
        <v>2017</v>
      </c>
      <c r="B262" t="s">
        <v>150</v>
      </c>
      <c r="C262" t="s">
        <v>117</v>
      </c>
      <c r="D262">
        <v>5</v>
      </c>
      <c r="E262" s="15">
        <v>266</v>
      </c>
    </row>
    <row r="263" spans="1:5" x14ac:dyDescent="0.2">
      <c r="A263">
        <v>2017</v>
      </c>
      <c r="B263" t="s">
        <v>150</v>
      </c>
      <c r="C263" t="s">
        <v>118</v>
      </c>
      <c r="D263">
        <v>6</v>
      </c>
      <c r="E263" s="15">
        <v>690</v>
      </c>
    </row>
    <row r="264" spans="1:5" x14ac:dyDescent="0.2">
      <c r="A264">
        <v>2017</v>
      </c>
      <c r="B264" t="s">
        <v>150</v>
      </c>
      <c r="C264" t="s">
        <v>119</v>
      </c>
      <c r="D264">
        <v>7</v>
      </c>
      <c r="E264" s="15">
        <v>763</v>
      </c>
    </row>
    <row r="265" spans="1:5" x14ac:dyDescent="0.2">
      <c r="A265">
        <v>2017</v>
      </c>
      <c r="B265" t="s">
        <v>150</v>
      </c>
      <c r="C265" t="s">
        <v>120</v>
      </c>
      <c r="D265">
        <v>8</v>
      </c>
      <c r="E265" s="15">
        <v>2652</v>
      </c>
    </row>
    <row r="266" spans="1:5" x14ac:dyDescent="0.2">
      <c r="A266">
        <v>2017</v>
      </c>
      <c r="B266" t="s">
        <v>150</v>
      </c>
      <c r="C266" t="s">
        <v>121</v>
      </c>
      <c r="D266">
        <v>9</v>
      </c>
      <c r="E266" s="15">
        <v>1928</v>
      </c>
    </row>
    <row r="267" spans="1:5" x14ac:dyDescent="0.2">
      <c r="A267">
        <v>2017</v>
      </c>
      <c r="B267" t="s">
        <v>150</v>
      </c>
      <c r="C267" t="s">
        <v>122</v>
      </c>
      <c r="D267">
        <v>10</v>
      </c>
      <c r="E267" s="15">
        <v>1372</v>
      </c>
    </row>
    <row r="268" spans="1:5" x14ac:dyDescent="0.2">
      <c r="A268">
        <v>2017</v>
      </c>
      <c r="B268" t="s">
        <v>150</v>
      </c>
      <c r="C268" t="s">
        <v>123</v>
      </c>
      <c r="D268">
        <v>11</v>
      </c>
      <c r="E268" s="15">
        <v>2856</v>
      </c>
    </row>
    <row r="269" spans="1:5" x14ac:dyDescent="0.2">
      <c r="A269">
        <v>2017</v>
      </c>
      <c r="B269" t="s">
        <v>151</v>
      </c>
      <c r="C269" t="s">
        <v>113</v>
      </c>
      <c r="D269">
        <v>1</v>
      </c>
      <c r="E269" s="15">
        <v>125</v>
      </c>
    </row>
    <row r="270" spans="1:5" x14ac:dyDescent="0.2">
      <c r="A270">
        <v>2017</v>
      </c>
      <c r="B270" t="s">
        <v>151</v>
      </c>
      <c r="C270" t="s">
        <v>114</v>
      </c>
      <c r="D270">
        <v>2</v>
      </c>
      <c r="E270" s="15">
        <v>1786</v>
      </c>
    </row>
    <row r="271" spans="1:5" x14ac:dyDescent="0.2">
      <c r="A271">
        <v>2017</v>
      </c>
      <c r="B271" t="s">
        <v>151</v>
      </c>
      <c r="C271" t="s">
        <v>115</v>
      </c>
      <c r="D271">
        <v>3</v>
      </c>
      <c r="E271" s="15">
        <v>1258</v>
      </c>
    </row>
    <row r="272" spans="1:5" x14ac:dyDescent="0.2">
      <c r="A272">
        <v>2017</v>
      </c>
      <c r="B272" t="s">
        <v>151</v>
      </c>
      <c r="C272" t="s">
        <v>116</v>
      </c>
      <c r="D272">
        <v>4</v>
      </c>
      <c r="E272" s="15">
        <v>562</v>
      </c>
    </row>
    <row r="273" spans="1:5" x14ac:dyDescent="0.2">
      <c r="A273">
        <v>2017</v>
      </c>
      <c r="B273" t="s">
        <v>151</v>
      </c>
      <c r="C273" t="s">
        <v>117</v>
      </c>
      <c r="D273">
        <v>5</v>
      </c>
      <c r="E273" s="15">
        <v>1396</v>
      </c>
    </row>
    <row r="274" spans="1:5" x14ac:dyDescent="0.2">
      <c r="A274">
        <v>2017</v>
      </c>
      <c r="B274" t="s">
        <v>151</v>
      </c>
      <c r="C274" t="s">
        <v>118</v>
      </c>
      <c r="D274">
        <v>6</v>
      </c>
      <c r="E274" s="15">
        <v>2398</v>
      </c>
    </row>
    <row r="275" spans="1:5" x14ac:dyDescent="0.2">
      <c r="A275">
        <v>2017</v>
      </c>
      <c r="B275" t="s">
        <v>151</v>
      </c>
      <c r="C275" t="s">
        <v>119</v>
      </c>
      <c r="D275">
        <v>7</v>
      </c>
      <c r="E275" s="15">
        <v>2015</v>
      </c>
    </row>
    <row r="276" spans="1:5" x14ac:dyDescent="0.2">
      <c r="A276">
        <v>2017</v>
      </c>
      <c r="B276" t="s">
        <v>151</v>
      </c>
      <c r="C276" t="s">
        <v>120</v>
      </c>
      <c r="D276">
        <v>8</v>
      </c>
      <c r="E276" s="15">
        <v>8192</v>
      </c>
    </row>
    <row r="277" spans="1:5" x14ac:dyDescent="0.2">
      <c r="A277">
        <v>2017</v>
      </c>
      <c r="B277" t="s">
        <v>151</v>
      </c>
      <c r="C277" t="s">
        <v>121</v>
      </c>
      <c r="D277">
        <v>9</v>
      </c>
      <c r="E277" s="15">
        <v>6228</v>
      </c>
    </row>
    <row r="278" spans="1:5" x14ac:dyDescent="0.2">
      <c r="A278">
        <v>2017</v>
      </c>
      <c r="B278" t="s">
        <v>151</v>
      </c>
      <c r="C278" t="s">
        <v>122</v>
      </c>
      <c r="D278">
        <v>10</v>
      </c>
      <c r="E278" s="15">
        <v>4960</v>
      </c>
    </row>
    <row r="279" spans="1:5" x14ac:dyDescent="0.2">
      <c r="A279">
        <v>2017</v>
      </c>
      <c r="B279" t="s">
        <v>151</v>
      </c>
      <c r="C279" t="s">
        <v>123</v>
      </c>
      <c r="D279">
        <v>11</v>
      </c>
      <c r="E279" s="15">
        <v>19964</v>
      </c>
    </row>
    <row r="280" spans="1:5" x14ac:dyDescent="0.2">
      <c r="A280">
        <v>2017</v>
      </c>
      <c r="B280" t="s">
        <v>152</v>
      </c>
      <c r="C280" t="s">
        <v>113</v>
      </c>
      <c r="D280">
        <v>1</v>
      </c>
      <c r="E280" s="15">
        <v>0</v>
      </c>
    </row>
    <row r="281" spans="1:5" x14ac:dyDescent="0.2">
      <c r="A281">
        <v>2017</v>
      </c>
      <c r="B281" t="s">
        <v>152</v>
      </c>
      <c r="C281" t="s">
        <v>114</v>
      </c>
      <c r="D281">
        <v>2</v>
      </c>
      <c r="E281" s="15">
        <v>21</v>
      </c>
    </row>
    <row r="282" spans="1:5" x14ac:dyDescent="0.2">
      <c r="A282">
        <v>2017</v>
      </c>
      <c r="B282" t="s">
        <v>152</v>
      </c>
      <c r="C282" t="s">
        <v>115</v>
      </c>
      <c r="D282">
        <v>3</v>
      </c>
      <c r="E282" s="15">
        <v>91</v>
      </c>
    </row>
    <row r="283" spans="1:5" x14ac:dyDescent="0.2">
      <c r="A283">
        <v>2017</v>
      </c>
      <c r="B283" t="s">
        <v>152</v>
      </c>
      <c r="C283" t="s">
        <v>116</v>
      </c>
      <c r="D283">
        <v>4</v>
      </c>
      <c r="E283" s="15">
        <v>93</v>
      </c>
    </row>
    <row r="284" spans="1:5" x14ac:dyDescent="0.2">
      <c r="A284">
        <v>2017</v>
      </c>
      <c r="B284" t="s">
        <v>152</v>
      </c>
      <c r="C284" t="s">
        <v>117</v>
      </c>
      <c r="D284">
        <v>5</v>
      </c>
      <c r="E284" s="15">
        <v>558</v>
      </c>
    </row>
    <row r="285" spans="1:5" x14ac:dyDescent="0.2">
      <c r="A285">
        <v>2017</v>
      </c>
      <c r="B285" t="s">
        <v>152</v>
      </c>
      <c r="C285" t="s">
        <v>118</v>
      </c>
      <c r="D285">
        <v>6</v>
      </c>
      <c r="E285" s="15">
        <v>2132</v>
      </c>
    </row>
    <row r="286" spans="1:5" x14ac:dyDescent="0.2">
      <c r="A286">
        <v>2017</v>
      </c>
      <c r="B286" t="s">
        <v>152</v>
      </c>
      <c r="C286" t="s">
        <v>119</v>
      </c>
      <c r="D286">
        <v>7</v>
      </c>
      <c r="E286" s="15">
        <v>2006</v>
      </c>
    </row>
    <row r="287" spans="1:5" x14ac:dyDescent="0.2">
      <c r="A287">
        <v>2017</v>
      </c>
      <c r="B287" t="s">
        <v>152</v>
      </c>
      <c r="C287" t="s">
        <v>120</v>
      </c>
      <c r="D287">
        <v>8</v>
      </c>
      <c r="E287" s="15">
        <v>6235</v>
      </c>
    </row>
    <row r="288" spans="1:5" x14ac:dyDescent="0.2">
      <c r="A288">
        <v>2017</v>
      </c>
      <c r="B288" t="s">
        <v>152</v>
      </c>
      <c r="C288" t="s">
        <v>121</v>
      </c>
      <c r="D288">
        <v>9</v>
      </c>
      <c r="E288" s="15">
        <v>3712</v>
      </c>
    </row>
    <row r="289" spans="1:5" x14ac:dyDescent="0.2">
      <c r="A289">
        <v>2017</v>
      </c>
      <c r="B289" t="s">
        <v>152</v>
      </c>
      <c r="C289" t="s">
        <v>122</v>
      </c>
      <c r="D289">
        <v>10</v>
      </c>
      <c r="E289" s="15">
        <v>2478</v>
      </c>
    </row>
    <row r="290" spans="1:5" x14ac:dyDescent="0.2">
      <c r="A290">
        <v>2017</v>
      </c>
      <c r="B290" t="s">
        <v>152</v>
      </c>
      <c r="C290" t="s">
        <v>123</v>
      </c>
      <c r="D290">
        <v>11</v>
      </c>
      <c r="E290" s="15">
        <v>4979</v>
      </c>
    </row>
    <row r="291" spans="1:5" x14ac:dyDescent="0.2">
      <c r="A291">
        <v>2018</v>
      </c>
      <c r="B291" t="s">
        <v>140</v>
      </c>
      <c r="C291" t="s">
        <v>113</v>
      </c>
      <c r="D291">
        <v>1</v>
      </c>
      <c r="E291" s="15">
        <v>283</v>
      </c>
    </row>
    <row r="292" spans="1:5" x14ac:dyDescent="0.2">
      <c r="A292">
        <v>2018</v>
      </c>
      <c r="B292" t="s">
        <v>140</v>
      </c>
      <c r="C292" t="s">
        <v>114</v>
      </c>
      <c r="D292">
        <v>2</v>
      </c>
      <c r="E292" s="15">
        <v>3475</v>
      </c>
    </row>
    <row r="293" spans="1:5" x14ac:dyDescent="0.2">
      <c r="A293">
        <v>2018</v>
      </c>
      <c r="B293" t="s">
        <v>140</v>
      </c>
      <c r="C293" t="s">
        <v>115</v>
      </c>
      <c r="D293">
        <v>3</v>
      </c>
      <c r="E293" s="15">
        <v>2453</v>
      </c>
    </row>
    <row r="294" spans="1:5" x14ac:dyDescent="0.2">
      <c r="A294">
        <v>2018</v>
      </c>
      <c r="B294" t="s">
        <v>140</v>
      </c>
      <c r="C294" t="s">
        <v>116</v>
      </c>
      <c r="D294">
        <v>4</v>
      </c>
      <c r="E294" s="15">
        <v>1023</v>
      </c>
    </row>
    <row r="295" spans="1:5" x14ac:dyDescent="0.2">
      <c r="A295">
        <v>2018</v>
      </c>
      <c r="B295" t="s">
        <v>140</v>
      </c>
      <c r="C295" t="s">
        <v>117</v>
      </c>
      <c r="D295">
        <v>5</v>
      </c>
      <c r="E295" s="15">
        <v>2767</v>
      </c>
    </row>
    <row r="296" spans="1:5" x14ac:dyDescent="0.2">
      <c r="A296">
        <v>2018</v>
      </c>
      <c r="B296" t="s">
        <v>140</v>
      </c>
      <c r="C296" t="s">
        <v>118</v>
      </c>
      <c r="D296">
        <v>6</v>
      </c>
      <c r="E296" s="15">
        <v>3451</v>
      </c>
    </row>
    <row r="297" spans="1:5" x14ac:dyDescent="0.2">
      <c r="A297">
        <v>2018</v>
      </c>
      <c r="B297" t="s">
        <v>140</v>
      </c>
      <c r="C297" t="s">
        <v>119</v>
      </c>
      <c r="D297">
        <v>7</v>
      </c>
      <c r="E297" s="15">
        <v>2258</v>
      </c>
    </row>
    <row r="298" spans="1:5" x14ac:dyDescent="0.2">
      <c r="A298">
        <v>2018</v>
      </c>
      <c r="B298" t="s">
        <v>140</v>
      </c>
      <c r="C298" t="s">
        <v>120</v>
      </c>
      <c r="D298">
        <v>8</v>
      </c>
      <c r="E298" s="15">
        <v>8754</v>
      </c>
    </row>
    <row r="299" spans="1:5" x14ac:dyDescent="0.2">
      <c r="A299">
        <v>2018</v>
      </c>
      <c r="B299" t="s">
        <v>140</v>
      </c>
      <c r="C299" t="s">
        <v>121</v>
      </c>
      <c r="D299">
        <v>9</v>
      </c>
      <c r="E299" s="15">
        <v>8593</v>
      </c>
    </row>
    <row r="300" spans="1:5" x14ac:dyDescent="0.2">
      <c r="A300">
        <v>2018</v>
      </c>
      <c r="B300" t="s">
        <v>140</v>
      </c>
      <c r="C300" t="s">
        <v>122</v>
      </c>
      <c r="D300">
        <v>10</v>
      </c>
      <c r="E300" s="15">
        <v>8358</v>
      </c>
    </row>
    <row r="301" spans="1:5" x14ac:dyDescent="0.2">
      <c r="A301">
        <v>2018</v>
      </c>
      <c r="B301" t="s">
        <v>140</v>
      </c>
      <c r="C301" t="s">
        <v>123</v>
      </c>
      <c r="D301">
        <v>11</v>
      </c>
      <c r="E301" s="15">
        <v>33082</v>
      </c>
    </row>
    <row r="302" spans="1:5" x14ac:dyDescent="0.2">
      <c r="A302">
        <v>2018</v>
      </c>
      <c r="B302" t="s">
        <v>141</v>
      </c>
      <c r="C302" t="s">
        <v>113</v>
      </c>
      <c r="D302">
        <v>1</v>
      </c>
      <c r="E302" s="15">
        <v>474</v>
      </c>
    </row>
    <row r="303" spans="1:5" x14ac:dyDescent="0.2">
      <c r="A303">
        <v>2018</v>
      </c>
      <c r="B303" t="s">
        <v>141</v>
      </c>
      <c r="C303" t="s">
        <v>114</v>
      </c>
      <c r="D303">
        <v>2</v>
      </c>
      <c r="E303" s="15">
        <v>5096</v>
      </c>
    </row>
    <row r="304" spans="1:5" x14ac:dyDescent="0.2">
      <c r="A304">
        <v>2018</v>
      </c>
      <c r="B304" t="s">
        <v>141</v>
      </c>
      <c r="C304" t="s">
        <v>115</v>
      </c>
      <c r="D304">
        <v>3</v>
      </c>
      <c r="E304" s="15">
        <v>3523</v>
      </c>
    </row>
    <row r="305" spans="1:5" x14ac:dyDescent="0.2">
      <c r="A305">
        <v>2018</v>
      </c>
      <c r="B305" t="s">
        <v>141</v>
      </c>
      <c r="C305" t="s">
        <v>116</v>
      </c>
      <c r="D305">
        <v>4</v>
      </c>
      <c r="E305" s="15">
        <v>1531</v>
      </c>
    </row>
    <row r="306" spans="1:5" x14ac:dyDescent="0.2">
      <c r="A306">
        <v>2018</v>
      </c>
      <c r="B306" t="s">
        <v>141</v>
      </c>
      <c r="C306" t="s">
        <v>117</v>
      </c>
      <c r="D306">
        <v>5</v>
      </c>
      <c r="E306" s="15">
        <v>4862</v>
      </c>
    </row>
    <row r="307" spans="1:5" x14ac:dyDescent="0.2">
      <c r="A307">
        <v>2018</v>
      </c>
      <c r="B307" t="s">
        <v>141</v>
      </c>
      <c r="C307" t="s">
        <v>118</v>
      </c>
      <c r="D307">
        <v>6</v>
      </c>
      <c r="E307" s="15">
        <v>8029</v>
      </c>
    </row>
    <row r="308" spans="1:5" x14ac:dyDescent="0.2">
      <c r="A308">
        <v>2018</v>
      </c>
      <c r="B308" t="s">
        <v>141</v>
      </c>
      <c r="C308" t="s">
        <v>119</v>
      </c>
      <c r="D308">
        <v>7</v>
      </c>
      <c r="E308" s="15">
        <v>5959</v>
      </c>
    </row>
    <row r="309" spans="1:5" x14ac:dyDescent="0.2">
      <c r="A309">
        <v>2018</v>
      </c>
      <c r="B309" t="s">
        <v>141</v>
      </c>
      <c r="C309" t="s">
        <v>120</v>
      </c>
      <c r="D309">
        <v>8</v>
      </c>
      <c r="E309" s="15">
        <v>20366</v>
      </c>
    </row>
    <row r="310" spans="1:5" x14ac:dyDescent="0.2">
      <c r="A310">
        <v>2018</v>
      </c>
      <c r="B310" t="s">
        <v>141</v>
      </c>
      <c r="C310" t="s">
        <v>121</v>
      </c>
      <c r="D310">
        <v>9</v>
      </c>
      <c r="E310" s="15">
        <v>17801</v>
      </c>
    </row>
    <row r="311" spans="1:5" x14ac:dyDescent="0.2">
      <c r="A311">
        <v>2018</v>
      </c>
      <c r="B311" t="s">
        <v>141</v>
      </c>
      <c r="C311" t="s">
        <v>122</v>
      </c>
      <c r="D311">
        <v>10</v>
      </c>
      <c r="E311" s="15">
        <v>16274</v>
      </c>
    </row>
    <row r="312" spans="1:5" x14ac:dyDescent="0.2">
      <c r="A312">
        <v>2018</v>
      </c>
      <c r="B312" t="s">
        <v>141</v>
      </c>
      <c r="C312" t="s">
        <v>123</v>
      </c>
      <c r="D312">
        <v>11</v>
      </c>
      <c r="E312" s="15">
        <v>54477</v>
      </c>
    </row>
    <row r="313" spans="1:5" x14ac:dyDescent="0.2">
      <c r="A313">
        <v>2018</v>
      </c>
      <c r="B313" t="s">
        <v>142</v>
      </c>
      <c r="C313" t="s">
        <v>113</v>
      </c>
      <c r="D313">
        <v>1</v>
      </c>
      <c r="E313" s="15">
        <v>88</v>
      </c>
    </row>
    <row r="314" spans="1:5" x14ac:dyDescent="0.2">
      <c r="A314">
        <v>2018</v>
      </c>
      <c r="B314" t="s">
        <v>142</v>
      </c>
      <c r="C314" t="s">
        <v>114</v>
      </c>
      <c r="D314">
        <v>2</v>
      </c>
      <c r="E314" s="15">
        <v>998</v>
      </c>
    </row>
    <row r="315" spans="1:5" x14ac:dyDescent="0.2">
      <c r="A315">
        <v>2018</v>
      </c>
      <c r="B315" t="s">
        <v>142</v>
      </c>
      <c r="C315" t="s">
        <v>115</v>
      </c>
      <c r="D315">
        <v>3</v>
      </c>
      <c r="E315" s="15">
        <v>611</v>
      </c>
    </row>
    <row r="316" spans="1:5" x14ac:dyDescent="0.2">
      <c r="A316">
        <v>2018</v>
      </c>
      <c r="B316" t="s">
        <v>142</v>
      </c>
      <c r="C316" t="s">
        <v>116</v>
      </c>
      <c r="D316">
        <v>4</v>
      </c>
      <c r="E316" s="15">
        <v>247</v>
      </c>
    </row>
    <row r="317" spans="1:5" x14ac:dyDescent="0.2">
      <c r="A317">
        <v>2018</v>
      </c>
      <c r="B317" t="s">
        <v>142</v>
      </c>
      <c r="C317" t="s">
        <v>117</v>
      </c>
      <c r="D317">
        <v>5</v>
      </c>
      <c r="E317" s="15">
        <v>570</v>
      </c>
    </row>
    <row r="318" spans="1:5" x14ac:dyDescent="0.2">
      <c r="A318">
        <v>2018</v>
      </c>
      <c r="B318" t="s">
        <v>142</v>
      </c>
      <c r="C318" t="s">
        <v>118</v>
      </c>
      <c r="D318">
        <v>6</v>
      </c>
      <c r="E318" s="15">
        <v>1234</v>
      </c>
    </row>
    <row r="319" spans="1:5" x14ac:dyDescent="0.2">
      <c r="A319">
        <v>2018</v>
      </c>
      <c r="B319" t="s">
        <v>142</v>
      </c>
      <c r="C319" t="s">
        <v>119</v>
      </c>
      <c r="D319">
        <v>7</v>
      </c>
      <c r="E319" s="15">
        <v>1131</v>
      </c>
    </row>
    <row r="320" spans="1:5" x14ac:dyDescent="0.2">
      <c r="A320">
        <v>2018</v>
      </c>
      <c r="B320" t="s">
        <v>142</v>
      </c>
      <c r="C320" t="s">
        <v>120</v>
      </c>
      <c r="D320">
        <v>8</v>
      </c>
      <c r="E320" s="15">
        <v>4288</v>
      </c>
    </row>
    <row r="321" spans="1:5" x14ac:dyDescent="0.2">
      <c r="A321">
        <v>2018</v>
      </c>
      <c r="B321" t="s">
        <v>142</v>
      </c>
      <c r="C321" t="s">
        <v>121</v>
      </c>
      <c r="D321">
        <v>9</v>
      </c>
      <c r="E321" s="15">
        <v>3552</v>
      </c>
    </row>
    <row r="322" spans="1:5" x14ac:dyDescent="0.2">
      <c r="A322">
        <v>2018</v>
      </c>
      <c r="B322" t="s">
        <v>142</v>
      </c>
      <c r="C322" t="s">
        <v>122</v>
      </c>
      <c r="D322">
        <v>10</v>
      </c>
      <c r="E322" s="15">
        <v>2944</v>
      </c>
    </row>
    <row r="323" spans="1:5" x14ac:dyDescent="0.2">
      <c r="A323">
        <v>2018</v>
      </c>
      <c r="B323" t="s">
        <v>142</v>
      </c>
      <c r="C323" t="s">
        <v>123</v>
      </c>
      <c r="D323">
        <v>11</v>
      </c>
      <c r="E323" s="15">
        <v>8735</v>
      </c>
    </row>
    <row r="324" spans="1:5" x14ac:dyDescent="0.2">
      <c r="A324">
        <v>2018</v>
      </c>
      <c r="B324" t="s">
        <v>143</v>
      </c>
      <c r="C324" t="s">
        <v>113</v>
      </c>
      <c r="D324">
        <v>1</v>
      </c>
      <c r="E324" s="15">
        <v>46</v>
      </c>
    </row>
    <row r="325" spans="1:5" x14ac:dyDescent="0.2">
      <c r="A325">
        <v>2018</v>
      </c>
      <c r="B325" t="s">
        <v>143</v>
      </c>
      <c r="C325" t="s">
        <v>114</v>
      </c>
      <c r="D325">
        <v>2</v>
      </c>
      <c r="E325" s="15">
        <v>1169</v>
      </c>
    </row>
    <row r="326" spans="1:5" x14ac:dyDescent="0.2">
      <c r="A326">
        <v>2018</v>
      </c>
      <c r="B326" t="s">
        <v>143</v>
      </c>
      <c r="C326" t="s">
        <v>115</v>
      </c>
      <c r="D326">
        <v>3</v>
      </c>
      <c r="E326" s="15">
        <v>827</v>
      </c>
    </row>
    <row r="327" spans="1:5" x14ac:dyDescent="0.2">
      <c r="A327">
        <v>2018</v>
      </c>
      <c r="B327" t="s">
        <v>143</v>
      </c>
      <c r="C327" t="s">
        <v>116</v>
      </c>
      <c r="D327">
        <v>4</v>
      </c>
      <c r="E327" s="15">
        <v>292</v>
      </c>
    </row>
    <row r="328" spans="1:5" x14ac:dyDescent="0.2">
      <c r="A328">
        <v>2018</v>
      </c>
      <c r="B328" t="s">
        <v>143</v>
      </c>
      <c r="C328" t="s">
        <v>117</v>
      </c>
      <c r="D328">
        <v>5</v>
      </c>
      <c r="E328" s="15">
        <v>779</v>
      </c>
    </row>
    <row r="329" spans="1:5" x14ac:dyDescent="0.2">
      <c r="A329">
        <v>2018</v>
      </c>
      <c r="B329" t="s">
        <v>143</v>
      </c>
      <c r="C329" t="s">
        <v>118</v>
      </c>
      <c r="D329">
        <v>6</v>
      </c>
      <c r="E329" s="15">
        <v>917</v>
      </c>
    </row>
    <row r="330" spans="1:5" x14ac:dyDescent="0.2">
      <c r="A330">
        <v>2018</v>
      </c>
      <c r="B330" t="s">
        <v>143</v>
      </c>
      <c r="C330" t="s">
        <v>119</v>
      </c>
      <c r="D330">
        <v>7</v>
      </c>
      <c r="E330" s="15">
        <v>602</v>
      </c>
    </row>
    <row r="331" spans="1:5" x14ac:dyDescent="0.2">
      <c r="A331">
        <v>2018</v>
      </c>
      <c r="B331" t="s">
        <v>143</v>
      </c>
      <c r="C331" t="s">
        <v>120</v>
      </c>
      <c r="D331">
        <v>8</v>
      </c>
      <c r="E331" s="15">
        <v>2744</v>
      </c>
    </row>
    <row r="332" spans="1:5" x14ac:dyDescent="0.2">
      <c r="A332">
        <v>2018</v>
      </c>
      <c r="B332" t="s">
        <v>143</v>
      </c>
      <c r="C332" t="s">
        <v>121</v>
      </c>
      <c r="D332">
        <v>9</v>
      </c>
      <c r="E332" s="15">
        <v>2297</v>
      </c>
    </row>
    <row r="333" spans="1:5" x14ac:dyDescent="0.2">
      <c r="A333">
        <v>2018</v>
      </c>
      <c r="B333" t="s">
        <v>143</v>
      </c>
      <c r="C333" t="s">
        <v>122</v>
      </c>
      <c r="D333">
        <v>10</v>
      </c>
      <c r="E333" s="15">
        <v>2044</v>
      </c>
    </row>
    <row r="334" spans="1:5" x14ac:dyDescent="0.2">
      <c r="A334">
        <v>2018</v>
      </c>
      <c r="B334" t="s">
        <v>143</v>
      </c>
      <c r="C334" t="s">
        <v>123</v>
      </c>
      <c r="D334">
        <v>11</v>
      </c>
      <c r="E334" s="15">
        <v>9391</v>
      </c>
    </row>
    <row r="335" spans="1:5" x14ac:dyDescent="0.2">
      <c r="A335">
        <v>2018</v>
      </c>
      <c r="B335" t="s">
        <v>144</v>
      </c>
      <c r="C335" t="s">
        <v>113</v>
      </c>
      <c r="D335">
        <v>1</v>
      </c>
      <c r="E335" s="15">
        <v>117</v>
      </c>
    </row>
    <row r="336" spans="1:5" x14ac:dyDescent="0.2">
      <c r="A336">
        <v>2018</v>
      </c>
      <c r="B336" t="s">
        <v>144</v>
      </c>
      <c r="C336" t="s">
        <v>114</v>
      </c>
      <c r="D336">
        <v>2</v>
      </c>
      <c r="E336" s="15">
        <v>2115</v>
      </c>
    </row>
    <row r="337" spans="1:5" x14ac:dyDescent="0.2">
      <c r="A337">
        <v>2018</v>
      </c>
      <c r="B337" t="s">
        <v>144</v>
      </c>
      <c r="C337" t="s">
        <v>115</v>
      </c>
      <c r="D337">
        <v>3</v>
      </c>
      <c r="E337" s="15">
        <v>1356</v>
      </c>
    </row>
    <row r="338" spans="1:5" x14ac:dyDescent="0.2">
      <c r="A338">
        <v>2018</v>
      </c>
      <c r="B338" t="s">
        <v>144</v>
      </c>
      <c r="C338" t="s">
        <v>116</v>
      </c>
      <c r="D338">
        <v>4</v>
      </c>
      <c r="E338" s="15">
        <v>583</v>
      </c>
    </row>
    <row r="339" spans="1:5" x14ac:dyDescent="0.2">
      <c r="A339">
        <v>2018</v>
      </c>
      <c r="B339" t="s">
        <v>144</v>
      </c>
      <c r="C339" t="s">
        <v>117</v>
      </c>
      <c r="D339">
        <v>5</v>
      </c>
      <c r="E339" s="15">
        <v>1459</v>
      </c>
    </row>
    <row r="340" spans="1:5" x14ac:dyDescent="0.2">
      <c r="A340">
        <v>2018</v>
      </c>
      <c r="B340" t="s">
        <v>144</v>
      </c>
      <c r="C340" t="s">
        <v>118</v>
      </c>
      <c r="D340">
        <v>6</v>
      </c>
      <c r="E340" s="15">
        <v>2042</v>
      </c>
    </row>
    <row r="341" spans="1:5" x14ac:dyDescent="0.2">
      <c r="A341">
        <v>2018</v>
      </c>
      <c r="B341" t="s">
        <v>144</v>
      </c>
      <c r="C341" t="s">
        <v>119</v>
      </c>
      <c r="D341">
        <v>7</v>
      </c>
      <c r="E341" s="15">
        <v>1655</v>
      </c>
    </row>
    <row r="342" spans="1:5" x14ac:dyDescent="0.2">
      <c r="A342">
        <v>2018</v>
      </c>
      <c r="B342" t="s">
        <v>144</v>
      </c>
      <c r="C342" t="s">
        <v>120</v>
      </c>
      <c r="D342">
        <v>8</v>
      </c>
      <c r="E342" s="15">
        <v>6368</v>
      </c>
    </row>
    <row r="343" spans="1:5" x14ac:dyDescent="0.2">
      <c r="A343">
        <v>2018</v>
      </c>
      <c r="B343" t="s">
        <v>144</v>
      </c>
      <c r="C343" t="s">
        <v>121</v>
      </c>
      <c r="D343">
        <v>9</v>
      </c>
      <c r="E343" s="15">
        <v>5864</v>
      </c>
    </row>
    <row r="344" spans="1:5" x14ac:dyDescent="0.2">
      <c r="A344">
        <v>2018</v>
      </c>
      <c r="B344" t="s">
        <v>144</v>
      </c>
      <c r="C344" t="s">
        <v>122</v>
      </c>
      <c r="D344">
        <v>10</v>
      </c>
      <c r="E344" s="15">
        <v>5382</v>
      </c>
    </row>
    <row r="345" spans="1:5" x14ac:dyDescent="0.2">
      <c r="A345">
        <v>2018</v>
      </c>
      <c r="B345" t="s">
        <v>144</v>
      </c>
      <c r="C345" t="s">
        <v>123</v>
      </c>
      <c r="D345">
        <v>11</v>
      </c>
      <c r="E345" s="15">
        <v>20673</v>
      </c>
    </row>
    <row r="346" spans="1:5" x14ac:dyDescent="0.2">
      <c r="A346">
        <v>2018</v>
      </c>
      <c r="B346" t="s">
        <v>145</v>
      </c>
      <c r="C346" t="s">
        <v>113</v>
      </c>
      <c r="D346">
        <v>1</v>
      </c>
      <c r="E346" s="15">
        <v>5</v>
      </c>
    </row>
    <row r="347" spans="1:5" x14ac:dyDescent="0.2">
      <c r="A347">
        <v>2018</v>
      </c>
      <c r="B347" t="s">
        <v>145</v>
      </c>
      <c r="C347" t="s">
        <v>114</v>
      </c>
      <c r="D347">
        <v>2</v>
      </c>
      <c r="E347" s="15">
        <v>268</v>
      </c>
    </row>
    <row r="348" spans="1:5" x14ac:dyDescent="0.2">
      <c r="A348">
        <v>2018</v>
      </c>
      <c r="B348" t="s">
        <v>145</v>
      </c>
      <c r="C348" t="s">
        <v>115</v>
      </c>
      <c r="D348">
        <v>3</v>
      </c>
      <c r="E348" s="15">
        <v>260</v>
      </c>
    </row>
    <row r="349" spans="1:5" x14ac:dyDescent="0.2">
      <c r="A349">
        <v>2018</v>
      </c>
      <c r="B349" t="s">
        <v>145</v>
      </c>
      <c r="C349" t="s">
        <v>116</v>
      </c>
      <c r="D349">
        <v>4</v>
      </c>
      <c r="E349" s="15">
        <v>101</v>
      </c>
    </row>
    <row r="350" spans="1:5" x14ac:dyDescent="0.2">
      <c r="A350">
        <v>2018</v>
      </c>
      <c r="B350" t="s">
        <v>145</v>
      </c>
      <c r="C350" t="s">
        <v>117</v>
      </c>
      <c r="D350">
        <v>5</v>
      </c>
      <c r="E350" s="15">
        <v>302</v>
      </c>
    </row>
    <row r="351" spans="1:5" x14ac:dyDescent="0.2">
      <c r="A351">
        <v>2018</v>
      </c>
      <c r="B351" t="s">
        <v>145</v>
      </c>
      <c r="C351" t="s">
        <v>118</v>
      </c>
      <c r="D351">
        <v>6</v>
      </c>
      <c r="E351" s="15">
        <v>1044</v>
      </c>
    </row>
    <row r="352" spans="1:5" x14ac:dyDescent="0.2">
      <c r="A352">
        <v>2018</v>
      </c>
      <c r="B352" t="s">
        <v>145</v>
      </c>
      <c r="C352" t="s">
        <v>119</v>
      </c>
      <c r="D352">
        <v>7</v>
      </c>
      <c r="E352" s="15">
        <v>1145</v>
      </c>
    </row>
    <row r="353" spans="1:5" x14ac:dyDescent="0.2">
      <c r="A353">
        <v>2018</v>
      </c>
      <c r="B353" t="s">
        <v>145</v>
      </c>
      <c r="C353" t="s">
        <v>120</v>
      </c>
      <c r="D353">
        <v>8</v>
      </c>
      <c r="E353" s="15">
        <v>3776</v>
      </c>
    </row>
    <row r="354" spans="1:5" x14ac:dyDescent="0.2">
      <c r="A354">
        <v>2018</v>
      </c>
      <c r="B354" t="s">
        <v>145</v>
      </c>
      <c r="C354" t="s">
        <v>121</v>
      </c>
      <c r="D354">
        <v>9</v>
      </c>
      <c r="E354" s="15">
        <v>2837</v>
      </c>
    </row>
    <row r="355" spans="1:5" x14ac:dyDescent="0.2">
      <c r="A355">
        <v>2018</v>
      </c>
      <c r="B355" t="s">
        <v>145</v>
      </c>
      <c r="C355" t="s">
        <v>122</v>
      </c>
      <c r="D355">
        <v>10</v>
      </c>
      <c r="E355" s="15">
        <v>2193</v>
      </c>
    </row>
    <row r="356" spans="1:5" x14ac:dyDescent="0.2">
      <c r="A356">
        <v>2018</v>
      </c>
      <c r="B356" t="s">
        <v>145</v>
      </c>
      <c r="C356" t="s">
        <v>123</v>
      </c>
      <c r="D356">
        <v>11</v>
      </c>
      <c r="E356" s="15">
        <v>4655</v>
      </c>
    </row>
    <row r="357" spans="1:5" x14ac:dyDescent="0.2">
      <c r="A357">
        <v>2018</v>
      </c>
      <c r="B357" t="s">
        <v>146</v>
      </c>
      <c r="C357" t="s">
        <v>113</v>
      </c>
      <c r="D357">
        <v>1</v>
      </c>
      <c r="E357" s="15">
        <v>150</v>
      </c>
    </row>
    <row r="358" spans="1:5" x14ac:dyDescent="0.2">
      <c r="A358">
        <v>2018</v>
      </c>
      <c r="B358" t="s">
        <v>146</v>
      </c>
      <c r="C358" t="s">
        <v>114</v>
      </c>
      <c r="D358">
        <v>2</v>
      </c>
      <c r="E358" s="15">
        <v>2049</v>
      </c>
    </row>
    <row r="359" spans="1:5" x14ac:dyDescent="0.2">
      <c r="A359">
        <v>2018</v>
      </c>
      <c r="B359" t="s">
        <v>146</v>
      </c>
      <c r="C359" t="s">
        <v>115</v>
      </c>
      <c r="D359">
        <v>3</v>
      </c>
      <c r="E359" s="15">
        <v>1568</v>
      </c>
    </row>
    <row r="360" spans="1:5" x14ac:dyDescent="0.2">
      <c r="A360">
        <v>2018</v>
      </c>
      <c r="B360" t="s">
        <v>146</v>
      </c>
      <c r="C360" t="s">
        <v>116</v>
      </c>
      <c r="D360">
        <v>4</v>
      </c>
      <c r="E360" s="15">
        <v>701</v>
      </c>
    </row>
    <row r="361" spans="1:5" x14ac:dyDescent="0.2">
      <c r="A361">
        <v>2018</v>
      </c>
      <c r="B361" t="s">
        <v>146</v>
      </c>
      <c r="C361" t="s">
        <v>117</v>
      </c>
      <c r="D361">
        <v>5</v>
      </c>
      <c r="E361" s="15">
        <v>2108</v>
      </c>
    </row>
    <row r="362" spans="1:5" x14ac:dyDescent="0.2">
      <c r="A362">
        <v>2018</v>
      </c>
      <c r="B362" t="s">
        <v>146</v>
      </c>
      <c r="C362" t="s">
        <v>118</v>
      </c>
      <c r="D362">
        <v>6</v>
      </c>
      <c r="E362" s="15">
        <v>3911</v>
      </c>
    </row>
    <row r="363" spans="1:5" x14ac:dyDescent="0.2">
      <c r="A363">
        <v>2018</v>
      </c>
      <c r="B363" t="s">
        <v>146</v>
      </c>
      <c r="C363" t="s">
        <v>119</v>
      </c>
      <c r="D363">
        <v>7</v>
      </c>
      <c r="E363" s="15">
        <v>3007</v>
      </c>
    </row>
    <row r="364" spans="1:5" x14ac:dyDescent="0.2">
      <c r="A364">
        <v>2018</v>
      </c>
      <c r="B364" t="s">
        <v>146</v>
      </c>
      <c r="C364" t="s">
        <v>120</v>
      </c>
      <c r="D364">
        <v>8</v>
      </c>
      <c r="E364" s="15">
        <v>10785</v>
      </c>
    </row>
    <row r="365" spans="1:5" x14ac:dyDescent="0.2">
      <c r="A365">
        <v>2018</v>
      </c>
      <c r="B365" t="s">
        <v>146</v>
      </c>
      <c r="C365" t="s">
        <v>121</v>
      </c>
      <c r="D365">
        <v>9</v>
      </c>
      <c r="E365" s="15">
        <v>9047</v>
      </c>
    </row>
    <row r="366" spans="1:5" x14ac:dyDescent="0.2">
      <c r="A366">
        <v>2018</v>
      </c>
      <c r="B366" t="s">
        <v>146</v>
      </c>
      <c r="C366" t="s">
        <v>122</v>
      </c>
      <c r="D366">
        <v>10</v>
      </c>
      <c r="E366" s="15">
        <v>7882</v>
      </c>
    </row>
    <row r="367" spans="1:5" x14ac:dyDescent="0.2">
      <c r="A367">
        <v>2018</v>
      </c>
      <c r="B367" t="s">
        <v>146</v>
      </c>
      <c r="C367" t="s">
        <v>123</v>
      </c>
      <c r="D367">
        <v>11</v>
      </c>
      <c r="E367" s="15">
        <v>30981</v>
      </c>
    </row>
    <row r="368" spans="1:5" x14ac:dyDescent="0.2">
      <c r="A368">
        <v>2018</v>
      </c>
      <c r="B368" t="s">
        <v>147</v>
      </c>
      <c r="C368" t="s">
        <v>113</v>
      </c>
      <c r="D368">
        <v>1</v>
      </c>
      <c r="E368" s="15">
        <v>396</v>
      </c>
    </row>
    <row r="369" spans="1:5" x14ac:dyDescent="0.2">
      <c r="A369">
        <v>2018</v>
      </c>
      <c r="B369" t="s">
        <v>147</v>
      </c>
      <c r="C369" t="s">
        <v>114</v>
      </c>
      <c r="D369">
        <v>2</v>
      </c>
      <c r="E369" s="15">
        <v>4437</v>
      </c>
    </row>
    <row r="370" spans="1:5" x14ac:dyDescent="0.2">
      <c r="A370">
        <v>2018</v>
      </c>
      <c r="B370" t="s">
        <v>147</v>
      </c>
      <c r="C370" t="s">
        <v>115</v>
      </c>
      <c r="D370">
        <v>3</v>
      </c>
      <c r="E370" s="15">
        <v>3513</v>
      </c>
    </row>
    <row r="371" spans="1:5" x14ac:dyDescent="0.2">
      <c r="A371">
        <v>2018</v>
      </c>
      <c r="B371" t="s">
        <v>147</v>
      </c>
      <c r="C371" t="s">
        <v>116</v>
      </c>
      <c r="D371">
        <v>4</v>
      </c>
      <c r="E371" s="15">
        <v>1469</v>
      </c>
    </row>
    <row r="372" spans="1:5" x14ac:dyDescent="0.2">
      <c r="A372">
        <v>2018</v>
      </c>
      <c r="B372" t="s">
        <v>147</v>
      </c>
      <c r="C372" t="s">
        <v>117</v>
      </c>
      <c r="D372">
        <v>5</v>
      </c>
      <c r="E372" s="15">
        <v>4328</v>
      </c>
    </row>
    <row r="373" spans="1:5" x14ac:dyDescent="0.2">
      <c r="A373">
        <v>2018</v>
      </c>
      <c r="B373" t="s">
        <v>147</v>
      </c>
      <c r="C373" t="s">
        <v>118</v>
      </c>
      <c r="D373">
        <v>6</v>
      </c>
      <c r="E373" s="15">
        <v>6748</v>
      </c>
    </row>
    <row r="374" spans="1:5" x14ac:dyDescent="0.2">
      <c r="A374">
        <v>2018</v>
      </c>
      <c r="B374" t="s">
        <v>147</v>
      </c>
      <c r="C374" t="s">
        <v>119</v>
      </c>
      <c r="D374">
        <v>7</v>
      </c>
      <c r="E374" s="15">
        <v>4511</v>
      </c>
    </row>
    <row r="375" spans="1:5" x14ac:dyDescent="0.2">
      <c r="A375">
        <v>2018</v>
      </c>
      <c r="B375" t="s">
        <v>147</v>
      </c>
      <c r="C375" t="s">
        <v>120</v>
      </c>
      <c r="D375">
        <v>8</v>
      </c>
      <c r="E375" s="15">
        <v>17408</v>
      </c>
    </row>
    <row r="376" spans="1:5" x14ac:dyDescent="0.2">
      <c r="A376">
        <v>2018</v>
      </c>
      <c r="B376" t="s">
        <v>147</v>
      </c>
      <c r="C376" t="s">
        <v>121</v>
      </c>
      <c r="D376">
        <v>9</v>
      </c>
      <c r="E376" s="15">
        <v>16712</v>
      </c>
    </row>
    <row r="377" spans="1:5" x14ac:dyDescent="0.2">
      <c r="A377">
        <v>2018</v>
      </c>
      <c r="B377" t="s">
        <v>147</v>
      </c>
      <c r="C377" t="s">
        <v>122</v>
      </c>
      <c r="D377">
        <v>10</v>
      </c>
      <c r="E377" s="15">
        <v>14957</v>
      </c>
    </row>
    <row r="378" spans="1:5" x14ac:dyDescent="0.2">
      <c r="A378">
        <v>2018</v>
      </c>
      <c r="B378" t="s">
        <v>147</v>
      </c>
      <c r="C378" t="s">
        <v>123</v>
      </c>
      <c r="D378">
        <v>11</v>
      </c>
      <c r="E378" s="15">
        <v>59383</v>
      </c>
    </row>
    <row r="379" spans="1:5" x14ac:dyDescent="0.2">
      <c r="A379">
        <v>2018</v>
      </c>
      <c r="B379" t="s">
        <v>148</v>
      </c>
      <c r="C379" t="s">
        <v>113</v>
      </c>
      <c r="D379">
        <v>1</v>
      </c>
      <c r="E379" s="15">
        <v>116</v>
      </c>
    </row>
    <row r="380" spans="1:5" x14ac:dyDescent="0.2">
      <c r="A380">
        <v>2018</v>
      </c>
      <c r="B380" t="s">
        <v>148</v>
      </c>
      <c r="C380" t="s">
        <v>114</v>
      </c>
      <c r="D380">
        <v>2</v>
      </c>
      <c r="E380" s="15">
        <v>1006</v>
      </c>
    </row>
    <row r="381" spans="1:5" x14ac:dyDescent="0.2">
      <c r="A381">
        <v>2018</v>
      </c>
      <c r="B381" t="s">
        <v>148</v>
      </c>
      <c r="C381" t="s">
        <v>115</v>
      </c>
      <c r="D381">
        <v>3</v>
      </c>
      <c r="E381" s="15">
        <v>744</v>
      </c>
    </row>
    <row r="382" spans="1:5" x14ac:dyDescent="0.2">
      <c r="A382">
        <v>2018</v>
      </c>
      <c r="B382" t="s">
        <v>148</v>
      </c>
      <c r="C382" t="s">
        <v>116</v>
      </c>
      <c r="D382">
        <v>4</v>
      </c>
      <c r="E382" s="15">
        <v>306</v>
      </c>
    </row>
    <row r="383" spans="1:5" x14ac:dyDescent="0.2">
      <c r="A383">
        <v>2018</v>
      </c>
      <c r="B383" t="s">
        <v>148</v>
      </c>
      <c r="C383" t="s">
        <v>117</v>
      </c>
      <c r="D383">
        <v>5</v>
      </c>
      <c r="E383" s="15">
        <v>836</v>
      </c>
    </row>
    <row r="384" spans="1:5" x14ac:dyDescent="0.2">
      <c r="A384">
        <v>2018</v>
      </c>
      <c r="B384" t="s">
        <v>148</v>
      </c>
      <c r="C384" t="s">
        <v>118</v>
      </c>
      <c r="D384">
        <v>6</v>
      </c>
      <c r="E384" s="15">
        <v>1236</v>
      </c>
    </row>
    <row r="385" spans="1:5" x14ac:dyDescent="0.2">
      <c r="A385">
        <v>2018</v>
      </c>
      <c r="B385" t="s">
        <v>148</v>
      </c>
      <c r="C385" t="s">
        <v>119</v>
      </c>
      <c r="D385">
        <v>7</v>
      </c>
      <c r="E385" s="15">
        <v>943</v>
      </c>
    </row>
    <row r="386" spans="1:5" x14ac:dyDescent="0.2">
      <c r="A386">
        <v>2018</v>
      </c>
      <c r="B386" t="s">
        <v>148</v>
      </c>
      <c r="C386" t="s">
        <v>120</v>
      </c>
      <c r="D386">
        <v>8</v>
      </c>
      <c r="E386" s="15">
        <v>3757</v>
      </c>
    </row>
    <row r="387" spans="1:5" x14ac:dyDescent="0.2">
      <c r="A387">
        <v>2018</v>
      </c>
      <c r="B387" t="s">
        <v>148</v>
      </c>
      <c r="C387" t="s">
        <v>121</v>
      </c>
      <c r="D387">
        <v>9</v>
      </c>
      <c r="E387" s="15">
        <v>3620</v>
      </c>
    </row>
    <row r="388" spans="1:5" x14ac:dyDescent="0.2">
      <c r="A388">
        <v>2018</v>
      </c>
      <c r="B388" t="s">
        <v>148</v>
      </c>
      <c r="C388" t="s">
        <v>122</v>
      </c>
      <c r="D388">
        <v>10</v>
      </c>
      <c r="E388" s="15">
        <v>3492</v>
      </c>
    </row>
    <row r="389" spans="1:5" x14ac:dyDescent="0.2">
      <c r="A389">
        <v>2018</v>
      </c>
      <c r="B389" t="s">
        <v>148</v>
      </c>
      <c r="C389" t="s">
        <v>123</v>
      </c>
      <c r="D389">
        <v>11</v>
      </c>
      <c r="E389" s="15">
        <v>12312</v>
      </c>
    </row>
    <row r="390" spans="1:5" x14ac:dyDescent="0.2">
      <c r="A390">
        <v>2018</v>
      </c>
      <c r="B390" t="s">
        <v>149</v>
      </c>
      <c r="C390" t="s">
        <v>113</v>
      </c>
      <c r="D390">
        <v>1</v>
      </c>
      <c r="E390" s="15">
        <v>8</v>
      </c>
    </row>
    <row r="391" spans="1:5" x14ac:dyDescent="0.2">
      <c r="A391">
        <v>2018</v>
      </c>
      <c r="B391" t="s">
        <v>149</v>
      </c>
      <c r="C391" t="s">
        <v>114</v>
      </c>
      <c r="D391">
        <v>2</v>
      </c>
      <c r="E391" s="15">
        <v>120</v>
      </c>
    </row>
    <row r="392" spans="1:5" x14ac:dyDescent="0.2">
      <c r="A392">
        <v>2018</v>
      </c>
      <c r="B392" t="s">
        <v>149</v>
      </c>
      <c r="C392" t="s">
        <v>115</v>
      </c>
      <c r="D392">
        <v>3</v>
      </c>
      <c r="E392" s="15">
        <v>65</v>
      </c>
    </row>
    <row r="393" spans="1:5" x14ac:dyDescent="0.2">
      <c r="A393">
        <v>2018</v>
      </c>
      <c r="B393" t="s">
        <v>149</v>
      </c>
      <c r="C393" t="s">
        <v>116</v>
      </c>
      <c r="D393">
        <v>4</v>
      </c>
      <c r="E393" s="15">
        <v>46</v>
      </c>
    </row>
    <row r="394" spans="1:5" x14ac:dyDescent="0.2">
      <c r="A394">
        <v>2018</v>
      </c>
      <c r="B394" t="s">
        <v>149</v>
      </c>
      <c r="C394" t="s">
        <v>117</v>
      </c>
      <c r="D394">
        <v>5</v>
      </c>
      <c r="E394" s="15">
        <v>110</v>
      </c>
    </row>
    <row r="395" spans="1:5" x14ac:dyDescent="0.2">
      <c r="A395">
        <v>2018</v>
      </c>
      <c r="B395" t="s">
        <v>149</v>
      </c>
      <c r="C395" t="s">
        <v>118</v>
      </c>
      <c r="D395">
        <v>6</v>
      </c>
      <c r="E395" s="15">
        <v>128</v>
      </c>
    </row>
    <row r="396" spans="1:5" x14ac:dyDescent="0.2">
      <c r="A396">
        <v>2018</v>
      </c>
      <c r="B396" t="s">
        <v>149</v>
      </c>
      <c r="C396" t="s">
        <v>119</v>
      </c>
      <c r="D396">
        <v>7</v>
      </c>
      <c r="E396" s="15">
        <v>82</v>
      </c>
    </row>
    <row r="397" spans="1:5" x14ac:dyDescent="0.2">
      <c r="A397">
        <v>2018</v>
      </c>
      <c r="B397" t="s">
        <v>149</v>
      </c>
      <c r="C397" t="s">
        <v>120</v>
      </c>
      <c r="D397">
        <v>8</v>
      </c>
      <c r="E397" s="15">
        <v>357</v>
      </c>
    </row>
    <row r="398" spans="1:5" x14ac:dyDescent="0.2">
      <c r="A398">
        <v>2018</v>
      </c>
      <c r="B398" t="s">
        <v>149</v>
      </c>
      <c r="C398" t="s">
        <v>121</v>
      </c>
      <c r="D398">
        <v>9</v>
      </c>
      <c r="E398" s="15">
        <v>310</v>
      </c>
    </row>
    <row r="399" spans="1:5" x14ac:dyDescent="0.2">
      <c r="A399">
        <v>2018</v>
      </c>
      <c r="B399" t="s">
        <v>149</v>
      </c>
      <c r="C399" t="s">
        <v>122</v>
      </c>
      <c r="D399">
        <v>10</v>
      </c>
      <c r="E399" s="15">
        <v>245</v>
      </c>
    </row>
    <row r="400" spans="1:5" x14ac:dyDescent="0.2">
      <c r="A400">
        <v>2018</v>
      </c>
      <c r="B400" t="s">
        <v>149</v>
      </c>
      <c r="C400" t="s">
        <v>123</v>
      </c>
      <c r="D400">
        <v>11</v>
      </c>
      <c r="E400" s="15">
        <v>391</v>
      </c>
    </row>
    <row r="401" spans="1:5" x14ac:dyDescent="0.2">
      <c r="A401">
        <v>2018</v>
      </c>
      <c r="B401" t="s">
        <v>150</v>
      </c>
      <c r="C401" t="s">
        <v>113</v>
      </c>
      <c r="D401">
        <v>1</v>
      </c>
      <c r="E401" s="15">
        <v>29</v>
      </c>
    </row>
    <row r="402" spans="1:5" x14ac:dyDescent="0.2">
      <c r="A402">
        <v>2018</v>
      </c>
      <c r="B402" t="s">
        <v>150</v>
      </c>
      <c r="C402" t="s">
        <v>114</v>
      </c>
      <c r="D402">
        <v>2</v>
      </c>
      <c r="E402" s="15">
        <v>519</v>
      </c>
    </row>
    <row r="403" spans="1:5" x14ac:dyDescent="0.2">
      <c r="A403">
        <v>2018</v>
      </c>
      <c r="B403" t="s">
        <v>150</v>
      </c>
      <c r="C403" t="s">
        <v>115</v>
      </c>
      <c r="D403">
        <v>3</v>
      </c>
      <c r="E403" s="15">
        <v>333</v>
      </c>
    </row>
    <row r="404" spans="1:5" x14ac:dyDescent="0.2">
      <c r="A404">
        <v>2018</v>
      </c>
      <c r="B404" t="s">
        <v>150</v>
      </c>
      <c r="C404" t="s">
        <v>116</v>
      </c>
      <c r="D404">
        <v>4</v>
      </c>
      <c r="E404" s="15">
        <v>153</v>
      </c>
    </row>
    <row r="405" spans="1:5" x14ac:dyDescent="0.2">
      <c r="A405">
        <v>2018</v>
      </c>
      <c r="B405" t="s">
        <v>150</v>
      </c>
      <c r="C405" t="s">
        <v>117</v>
      </c>
      <c r="D405">
        <v>5</v>
      </c>
      <c r="E405" s="15">
        <v>309</v>
      </c>
    </row>
    <row r="406" spans="1:5" x14ac:dyDescent="0.2">
      <c r="A406">
        <v>2018</v>
      </c>
      <c r="B406" t="s">
        <v>150</v>
      </c>
      <c r="C406" t="s">
        <v>118</v>
      </c>
      <c r="D406">
        <v>6</v>
      </c>
      <c r="E406" s="15">
        <v>696</v>
      </c>
    </row>
    <row r="407" spans="1:5" x14ac:dyDescent="0.2">
      <c r="A407">
        <v>2018</v>
      </c>
      <c r="B407" t="s">
        <v>150</v>
      </c>
      <c r="C407" t="s">
        <v>119</v>
      </c>
      <c r="D407">
        <v>7</v>
      </c>
      <c r="E407" s="15">
        <v>780</v>
      </c>
    </row>
    <row r="408" spans="1:5" x14ac:dyDescent="0.2">
      <c r="A408">
        <v>2018</v>
      </c>
      <c r="B408" t="s">
        <v>150</v>
      </c>
      <c r="C408" t="s">
        <v>120</v>
      </c>
      <c r="D408">
        <v>8</v>
      </c>
      <c r="E408" s="15">
        <v>2623</v>
      </c>
    </row>
    <row r="409" spans="1:5" x14ac:dyDescent="0.2">
      <c r="A409">
        <v>2018</v>
      </c>
      <c r="B409" t="s">
        <v>150</v>
      </c>
      <c r="C409" t="s">
        <v>121</v>
      </c>
      <c r="D409">
        <v>9</v>
      </c>
      <c r="E409" s="15">
        <v>2040</v>
      </c>
    </row>
    <row r="410" spans="1:5" x14ac:dyDescent="0.2">
      <c r="A410">
        <v>2018</v>
      </c>
      <c r="B410" t="s">
        <v>150</v>
      </c>
      <c r="C410" t="s">
        <v>122</v>
      </c>
      <c r="D410">
        <v>10</v>
      </c>
      <c r="E410" s="15">
        <v>1601</v>
      </c>
    </row>
    <row r="411" spans="1:5" x14ac:dyDescent="0.2">
      <c r="A411">
        <v>2018</v>
      </c>
      <c r="B411" t="s">
        <v>150</v>
      </c>
      <c r="C411" t="s">
        <v>123</v>
      </c>
      <c r="D411">
        <v>11</v>
      </c>
      <c r="E411" s="15">
        <v>3358</v>
      </c>
    </row>
    <row r="412" spans="1:5" x14ac:dyDescent="0.2">
      <c r="A412">
        <v>2018</v>
      </c>
      <c r="B412" t="s">
        <v>151</v>
      </c>
      <c r="C412" t="s">
        <v>113</v>
      </c>
      <c r="D412">
        <v>1</v>
      </c>
      <c r="E412" s="15">
        <v>110</v>
      </c>
    </row>
    <row r="413" spans="1:5" x14ac:dyDescent="0.2">
      <c r="A413">
        <v>2018</v>
      </c>
      <c r="B413" t="s">
        <v>151</v>
      </c>
      <c r="C413" t="s">
        <v>114</v>
      </c>
      <c r="D413">
        <v>2</v>
      </c>
      <c r="E413" s="15">
        <v>1750</v>
      </c>
    </row>
    <row r="414" spans="1:5" x14ac:dyDescent="0.2">
      <c r="A414">
        <v>2018</v>
      </c>
      <c r="B414" t="s">
        <v>151</v>
      </c>
      <c r="C414" t="s">
        <v>115</v>
      </c>
      <c r="D414">
        <v>3</v>
      </c>
      <c r="E414" s="15">
        <v>1219</v>
      </c>
    </row>
    <row r="415" spans="1:5" x14ac:dyDescent="0.2">
      <c r="A415">
        <v>2018</v>
      </c>
      <c r="B415" t="s">
        <v>151</v>
      </c>
      <c r="C415" t="s">
        <v>116</v>
      </c>
      <c r="D415">
        <v>4</v>
      </c>
      <c r="E415" s="15">
        <v>550</v>
      </c>
    </row>
    <row r="416" spans="1:5" x14ac:dyDescent="0.2">
      <c r="A416">
        <v>2018</v>
      </c>
      <c r="B416" t="s">
        <v>151</v>
      </c>
      <c r="C416" t="s">
        <v>117</v>
      </c>
      <c r="D416">
        <v>5</v>
      </c>
      <c r="E416" s="15">
        <v>1415</v>
      </c>
    </row>
    <row r="417" spans="1:5" x14ac:dyDescent="0.2">
      <c r="A417">
        <v>2018</v>
      </c>
      <c r="B417" t="s">
        <v>151</v>
      </c>
      <c r="C417" t="s">
        <v>118</v>
      </c>
      <c r="D417">
        <v>6</v>
      </c>
      <c r="E417" s="15">
        <v>2328</v>
      </c>
    </row>
    <row r="418" spans="1:5" x14ac:dyDescent="0.2">
      <c r="A418">
        <v>2018</v>
      </c>
      <c r="B418" t="s">
        <v>151</v>
      </c>
      <c r="C418" t="s">
        <v>119</v>
      </c>
      <c r="D418">
        <v>7</v>
      </c>
      <c r="E418" s="15">
        <v>1875</v>
      </c>
    </row>
    <row r="419" spans="1:5" x14ac:dyDescent="0.2">
      <c r="A419">
        <v>2018</v>
      </c>
      <c r="B419" t="s">
        <v>151</v>
      </c>
      <c r="C419" t="s">
        <v>120</v>
      </c>
      <c r="D419">
        <v>8</v>
      </c>
      <c r="E419" s="15">
        <v>7476</v>
      </c>
    </row>
    <row r="420" spans="1:5" x14ac:dyDescent="0.2">
      <c r="A420">
        <v>2018</v>
      </c>
      <c r="B420" t="s">
        <v>151</v>
      </c>
      <c r="C420" t="s">
        <v>121</v>
      </c>
      <c r="D420">
        <v>9</v>
      </c>
      <c r="E420" s="15">
        <v>6547</v>
      </c>
    </row>
    <row r="421" spans="1:5" x14ac:dyDescent="0.2">
      <c r="A421">
        <v>2018</v>
      </c>
      <c r="B421" t="s">
        <v>151</v>
      </c>
      <c r="C421" t="s">
        <v>122</v>
      </c>
      <c r="D421">
        <v>10</v>
      </c>
      <c r="E421" s="15">
        <v>5284</v>
      </c>
    </row>
    <row r="422" spans="1:5" x14ac:dyDescent="0.2">
      <c r="A422">
        <v>2018</v>
      </c>
      <c r="B422" t="s">
        <v>151</v>
      </c>
      <c r="C422" t="s">
        <v>123</v>
      </c>
      <c r="D422">
        <v>11</v>
      </c>
      <c r="E422" s="15">
        <v>20548</v>
      </c>
    </row>
    <row r="423" spans="1:5" x14ac:dyDescent="0.2">
      <c r="A423">
        <v>2018</v>
      </c>
      <c r="B423" t="s">
        <v>152</v>
      </c>
      <c r="C423" t="s">
        <v>113</v>
      </c>
      <c r="D423">
        <v>1</v>
      </c>
      <c r="E423" s="15">
        <v>1</v>
      </c>
    </row>
    <row r="424" spans="1:5" x14ac:dyDescent="0.2">
      <c r="A424">
        <v>2018</v>
      </c>
      <c r="B424" t="s">
        <v>152</v>
      </c>
      <c r="C424" t="s">
        <v>114</v>
      </c>
      <c r="D424">
        <v>2</v>
      </c>
      <c r="E424" s="15">
        <v>18</v>
      </c>
    </row>
    <row r="425" spans="1:5" x14ac:dyDescent="0.2">
      <c r="A425">
        <v>2018</v>
      </c>
      <c r="B425" t="s">
        <v>152</v>
      </c>
      <c r="C425" t="s">
        <v>115</v>
      </c>
      <c r="D425">
        <v>3</v>
      </c>
      <c r="E425" s="15">
        <v>90</v>
      </c>
    </row>
    <row r="426" spans="1:5" x14ac:dyDescent="0.2">
      <c r="A426">
        <v>2018</v>
      </c>
      <c r="B426" t="s">
        <v>152</v>
      </c>
      <c r="C426" t="s">
        <v>116</v>
      </c>
      <c r="D426">
        <v>4</v>
      </c>
      <c r="E426" s="15">
        <v>98</v>
      </c>
    </row>
    <row r="427" spans="1:5" x14ac:dyDescent="0.2">
      <c r="A427">
        <v>2018</v>
      </c>
      <c r="B427" t="s">
        <v>152</v>
      </c>
      <c r="C427" t="s">
        <v>117</v>
      </c>
      <c r="D427">
        <v>5</v>
      </c>
      <c r="E427" s="15">
        <v>527</v>
      </c>
    </row>
    <row r="428" spans="1:5" x14ac:dyDescent="0.2">
      <c r="A428">
        <v>2018</v>
      </c>
      <c r="B428" t="s">
        <v>152</v>
      </c>
      <c r="C428" t="s">
        <v>118</v>
      </c>
      <c r="D428">
        <v>6</v>
      </c>
      <c r="E428" s="15">
        <v>1992</v>
      </c>
    </row>
    <row r="429" spans="1:5" x14ac:dyDescent="0.2">
      <c r="A429">
        <v>2018</v>
      </c>
      <c r="B429" t="s">
        <v>152</v>
      </c>
      <c r="C429" t="s">
        <v>119</v>
      </c>
      <c r="D429">
        <v>7</v>
      </c>
      <c r="E429" s="15">
        <v>1847</v>
      </c>
    </row>
    <row r="430" spans="1:5" x14ac:dyDescent="0.2">
      <c r="A430">
        <v>2018</v>
      </c>
      <c r="B430" t="s">
        <v>152</v>
      </c>
      <c r="C430" t="s">
        <v>120</v>
      </c>
      <c r="D430">
        <v>8</v>
      </c>
      <c r="E430" s="15">
        <v>5748</v>
      </c>
    </row>
    <row r="431" spans="1:5" x14ac:dyDescent="0.2">
      <c r="A431">
        <v>2018</v>
      </c>
      <c r="B431" t="s">
        <v>152</v>
      </c>
      <c r="C431" t="s">
        <v>121</v>
      </c>
      <c r="D431">
        <v>9</v>
      </c>
      <c r="E431" s="15">
        <v>3747</v>
      </c>
    </row>
    <row r="432" spans="1:5" x14ac:dyDescent="0.2">
      <c r="A432">
        <v>2018</v>
      </c>
      <c r="B432" t="s">
        <v>152</v>
      </c>
      <c r="C432" t="s">
        <v>122</v>
      </c>
      <c r="D432">
        <v>10</v>
      </c>
      <c r="E432" s="15">
        <v>2630</v>
      </c>
    </row>
    <row r="433" spans="1:5" x14ac:dyDescent="0.2">
      <c r="A433">
        <v>2018</v>
      </c>
      <c r="B433" t="s">
        <v>152</v>
      </c>
      <c r="C433" t="s">
        <v>123</v>
      </c>
      <c r="D433">
        <v>11</v>
      </c>
      <c r="E433" s="15">
        <v>5123</v>
      </c>
    </row>
    <row r="434" spans="1:5" x14ac:dyDescent="0.2">
      <c r="A434">
        <v>2019</v>
      </c>
      <c r="B434" t="s">
        <v>140</v>
      </c>
      <c r="C434" t="s">
        <v>113</v>
      </c>
      <c r="D434">
        <v>1</v>
      </c>
      <c r="E434" s="15">
        <v>253</v>
      </c>
    </row>
    <row r="435" spans="1:5" x14ac:dyDescent="0.2">
      <c r="A435">
        <v>2019</v>
      </c>
      <c r="B435" t="s">
        <v>140</v>
      </c>
      <c r="C435" t="s">
        <v>114</v>
      </c>
      <c r="D435">
        <v>2</v>
      </c>
      <c r="E435" s="15">
        <v>3334</v>
      </c>
    </row>
    <row r="436" spans="1:5" x14ac:dyDescent="0.2">
      <c r="A436">
        <v>2019</v>
      </c>
      <c r="B436" t="s">
        <v>140</v>
      </c>
      <c r="C436" t="s">
        <v>115</v>
      </c>
      <c r="D436">
        <v>3</v>
      </c>
      <c r="E436" s="15">
        <v>2415</v>
      </c>
    </row>
    <row r="437" spans="1:5" x14ac:dyDescent="0.2">
      <c r="A437">
        <v>2019</v>
      </c>
      <c r="B437" t="s">
        <v>140</v>
      </c>
      <c r="C437" t="s">
        <v>116</v>
      </c>
      <c r="D437">
        <v>4</v>
      </c>
      <c r="E437" s="15">
        <v>1017</v>
      </c>
    </row>
    <row r="438" spans="1:5" x14ac:dyDescent="0.2">
      <c r="A438">
        <v>2019</v>
      </c>
      <c r="B438" t="s">
        <v>140</v>
      </c>
      <c r="C438" t="s">
        <v>117</v>
      </c>
      <c r="D438">
        <v>5</v>
      </c>
      <c r="E438" s="15">
        <v>2806</v>
      </c>
    </row>
    <row r="439" spans="1:5" x14ac:dyDescent="0.2">
      <c r="A439">
        <v>2019</v>
      </c>
      <c r="B439" t="s">
        <v>140</v>
      </c>
      <c r="C439" t="s">
        <v>118</v>
      </c>
      <c r="D439">
        <v>6</v>
      </c>
      <c r="E439" s="15">
        <v>3472</v>
      </c>
    </row>
    <row r="440" spans="1:5" x14ac:dyDescent="0.2">
      <c r="A440">
        <v>2019</v>
      </c>
      <c r="B440" t="s">
        <v>140</v>
      </c>
      <c r="C440" t="s">
        <v>119</v>
      </c>
      <c r="D440">
        <v>7</v>
      </c>
      <c r="E440" s="15">
        <v>2332</v>
      </c>
    </row>
    <row r="441" spans="1:5" x14ac:dyDescent="0.2">
      <c r="A441">
        <v>2019</v>
      </c>
      <c r="B441" t="s">
        <v>140</v>
      </c>
      <c r="C441" t="s">
        <v>120</v>
      </c>
      <c r="D441">
        <v>8</v>
      </c>
      <c r="E441" s="15">
        <v>8060</v>
      </c>
    </row>
    <row r="442" spans="1:5" x14ac:dyDescent="0.2">
      <c r="A442">
        <v>2019</v>
      </c>
      <c r="B442" t="s">
        <v>140</v>
      </c>
      <c r="C442" t="s">
        <v>121</v>
      </c>
      <c r="D442">
        <v>9</v>
      </c>
      <c r="E442" s="15">
        <v>8555</v>
      </c>
    </row>
    <row r="443" spans="1:5" x14ac:dyDescent="0.2">
      <c r="A443">
        <v>2019</v>
      </c>
      <c r="B443" t="s">
        <v>140</v>
      </c>
      <c r="C443" t="s">
        <v>122</v>
      </c>
      <c r="D443">
        <v>10</v>
      </c>
      <c r="E443" s="15">
        <v>8718</v>
      </c>
    </row>
    <row r="444" spans="1:5" x14ac:dyDescent="0.2">
      <c r="A444">
        <v>2019</v>
      </c>
      <c r="B444" t="s">
        <v>140</v>
      </c>
      <c r="C444" t="s">
        <v>123</v>
      </c>
      <c r="D444">
        <v>11</v>
      </c>
      <c r="E444" s="15">
        <v>33305</v>
      </c>
    </row>
    <row r="445" spans="1:5" x14ac:dyDescent="0.2">
      <c r="A445">
        <v>2019</v>
      </c>
      <c r="B445" t="s">
        <v>141</v>
      </c>
      <c r="C445" t="s">
        <v>113</v>
      </c>
      <c r="D445">
        <v>1</v>
      </c>
      <c r="E445" s="15">
        <v>488</v>
      </c>
    </row>
    <row r="446" spans="1:5" x14ac:dyDescent="0.2">
      <c r="A446">
        <v>2019</v>
      </c>
      <c r="B446" t="s">
        <v>141</v>
      </c>
      <c r="C446" t="s">
        <v>114</v>
      </c>
      <c r="D446">
        <v>2</v>
      </c>
      <c r="E446" s="15">
        <v>5004</v>
      </c>
    </row>
    <row r="447" spans="1:5" x14ac:dyDescent="0.2">
      <c r="A447">
        <v>2019</v>
      </c>
      <c r="B447" t="s">
        <v>141</v>
      </c>
      <c r="C447" t="s">
        <v>115</v>
      </c>
      <c r="D447">
        <v>3</v>
      </c>
      <c r="E447" s="15">
        <v>3388</v>
      </c>
    </row>
    <row r="448" spans="1:5" x14ac:dyDescent="0.2">
      <c r="A448">
        <v>2019</v>
      </c>
      <c r="B448" t="s">
        <v>141</v>
      </c>
      <c r="C448" t="s">
        <v>116</v>
      </c>
      <c r="D448">
        <v>4</v>
      </c>
      <c r="E448" s="15">
        <v>1556</v>
      </c>
    </row>
    <row r="449" spans="1:5" x14ac:dyDescent="0.2">
      <c r="A449">
        <v>2019</v>
      </c>
      <c r="B449" t="s">
        <v>141</v>
      </c>
      <c r="C449" t="s">
        <v>117</v>
      </c>
      <c r="D449">
        <v>5</v>
      </c>
      <c r="E449" s="15">
        <v>4768</v>
      </c>
    </row>
    <row r="450" spans="1:5" x14ac:dyDescent="0.2">
      <c r="A450">
        <v>2019</v>
      </c>
      <c r="B450" t="s">
        <v>141</v>
      </c>
      <c r="C450" t="s">
        <v>118</v>
      </c>
      <c r="D450">
        <v>6</v>
      </c>
      <c r="E450" s="15">
        <v>8026</v>
      </c>
    </row>
    <row r="451" spans="1:5" x14ac:dyDescent="0.2">
      <c r="A451">
        <v>2019</v>
      </c>
      <c r="B451" t="s">
        <v>141</v>
      </c>
      <c r="C451" t="s">
        <v>119</v>
      </c>
      <c r="D451">
        <v>7</v>
      </c>
      <c r="E451" s="15">
        <v>5721</v>
      </c>
    </row>
    <row r="452" spans="1:5" x14ac:dyDescent="0.2">
      <c r="A452">
        <v>2019</v>
      </c>
      <c r="B452" t="s">
        <v>141</v>
      </c>
      <c r="C452" t="s">
        <v>120</v>
      </c>
      <c r="D452">
        <v>8</v>
      </c>
      <c r="E452" s="15">
        <v>18697</v>
      </c>
    </row>
    <row r="453" spans="1:5" x14ac:dyDescent="0.2">
      <c r="A453">
        <v>2019</v>
      </c>
      <c r="B453" t="s">
        <v>141</v>
      </c>
      <c r="C453" t="s">
        <v>121</v>
      </c>
      <c r="D453">
        <v>9</v>
      </c>
      <c r="E453" s="15">
        <v>17790</v>
      </c>
    </row>
    <row r="454" spans="1:5" x14ac:dyDescent="0.2">
      <c r="A454">
        <v>2019</v>
      </c>
      <c r="B454" t="s">
        <v>141</v>
      </c>
      <c r="C454" t="s">
        <v>122</v>
      </c>
      <c r="D454">
        <v>10</v>
      </c>
      <c r="E454" s="15">
        <v>16983</v>
      </c>
    </row>
    <row r="455" spans="1:5" x14ac:dyDescent="0.2">
      <c r="A455">
        <v>2019</v>
      </c>
      <c r="B455" t="s">
        <v>141</v>
      </c>
      <c r="C455" t="s">
        <v>123</v>
      </c>
      <c r="D455">
        <v>11</v>
      </c>
      <c r="E455" s="15">
        <v>55320</v>
      </c>
    </row>
    <row r="456" spans="1:5" x14ac:dyDescent="0.2">
      <c r="A456">
        <v>2019</v>
      </c>
      <c r="B456" t="s">
        <v>142</v>
      </c>
      <c r="C456" t="s">
        <v>113</v>
      </c>
      <c r="D456">
        <v>1</v>
      </c>
      <c r="E456" s="15">
        <v>80</v>
      </c>
    </row>
    <row r="457" spans="1:5" x14ac:dyDescent="0.2">
      <c r="A457">
        <v>2019</v>
      </c>
      <c r="B457" t="s">
        <v>142</v>
      </c>
      <c r="C457" t="s">
        <v>114</v>
      </c>
      <c r="D457">
        <v>2</v>
      </c>
      <c r="E457" s="15">
        <v>999</v>
      </c>
    </row>
    <row r="458" spans="1:5" x14ac:dyDescent="0.2">
      <c r="A458">
        <v>2019</v>
      </c>
      <c r="B458" t="s">
        <v>142</v>
      </c>
      <c r="C458" t="s">
        <v>115</v>
      </c>
      <c r="D458">
        <v>3</v>
      </c>
      <c r="E458" s="15">
        <v>626</v>
      </c>
    </row>
    <row r="459" spans="1:5" x14ac:dyDescent="0.2">
      <c r="A459">
        <v>2019</v>
      </c>
      <c r="B459" t="s">
        <v>142</v>
      </c>
      <c r="C459" t="s">
        <v>116</v>
      </c>
      <c r="D459">
        <v>4</v>
      </c>
      <c r="E459" s="15">
        <v>210</v>
      </c>
    </row>
    <row r="460" spans="1:5" x14ac:dyDescent="0.2">
      <c r="A460">
        <v>2019</v>
      </c>
      <c r="B460" t="s">
        <v>142</v>
      </c>
      <c r="C460" t="s">
        <v>117</v>
      </c>
      <c r="D460">
        <v>5</v>
      </c>
      <c r="E460" s="15">
        <v>597</v>
      </c>
    </row>
    <row r="461" spans="1:5" x14ac:dyDescent="0.2">
      <c r="A461">
        <v>2019</v>
      </c>
      <c r="B461" t="s">
        <v>142</v>
      </c>
      <c r="C461" t="s">
        <v>118</v>
      </c>
      <c r="D461">
        <v>6</v>
      </c>
      <c r="E461" s="15">
        <v>1285</v>
      </c>
    </row>
    <row r="462" spans="1:5" x14ac:dyDescent="0.2">
      <c r="A462">
        <v>2019</v>
      </c>
      <c r="B462" t="s">
        <v>142</v>
      </c>
      <c r="C462" t="s">
        <v>119</v>
      </c>
      <c r="D462">
        <v>7</v>
      </c>
      <c r="E462" s="15">
        <v>1182</v>
      </c>
    </row>
    <row r="463" spans="1:5" x14ac:dyDescent="0.2">
      <c r="A463">
        <v>2019</v>
      </c>
      <c r="B463" t="s">
        <v>142</v>
      </c>
      <c r="C463" t="s">
        <v>120</v>
      </c>
      <c r="D463">
        <v>8</v>
      </c>
      <c r="E463" s="15">
        <v>4073</v>
      </c>
    </row>
    <row r="464" spans="1:5" x14ac:dyDescent="0.2">
      <c r="A464">
        <v>2019</v>
      </c>
      <c r="B464" t="s">
        <v>142</v>
      </c>
      <c r="C464" t="s">
        <v>121</v>
      </c>
      <c r="D464">
        <v>9</v>
      </c>
      <c r="E464" s="15">
        <v>3629</v>
      </c>
    </row>
    <row r="465" spans="1:5" x14ac:dyDescent="0.2">
      <c r="A465">
        <v>2019</v>
      </c>
      <c r="B465" t="s">
        <v>142</v>
      </c>
      <c r="C465" t="s">
        <v>122</v>
      </c>
      <c r="D465">
        <v>10</v>
      </c>
      <c r="E465" s="15">
        <v>3336</v>
      </c>
    </row>
    <row r="466" spans="1:5" x14ac:dyDescent="0.2">
      <c r="A466">
        <v>2019</v>
      </c>
      <c r="B466" t="s">
        <v>142</v>
      </c>
      <c r="C466" t="s">
        <v>123</v>
      </c>
      <c r="D466">
        <v>11</v>
      </c>
      <c r="E466" s="15">
        <v>9211</v>
      </c>
    </row>
    <row r="467" spans="1:5" x14ac:dyDescent="0.2">
      <c r="A467">
        <v>2019</v>
      </c>
      <c r="B467" t="s">
        <v>143</v>
      </c>
      <c r="C467" t="s">
        <v>113</v>
      </c>
      <c r="D467">
        <v>1</v>
      </c>
      <c r="E467" s="15">
        <v>64</v>
      </c>
    </row>
    <row r="468" spans="1:5" x14ac:dyDescent="0.2">
      <c r="A468">
        <v>2019</v>
      </c>
      <c r="B468" t="s">
        <v>143</v>
      </c>
      <c r="C468" t="s">
        <v>114</v>
      </c>
      <c r="D468">
        <v>2</v>
      </c>
      <c r="E468" s="15">
        <v>1126</v>
      </c>
    </row>
    <row r="469" spans="1:5" x14ac:dyDescent="0.2">
      <c r="A469">
        <v>2019</v>
      </c>
      <c r="B469" t="s">
        <v>143</v>
      </c>
      <c r="C469" t="s">
        <v>115</v>
      </c>
      <c r="D469">
        <v>3</v>
      </c>
      <c r="E469" s="15">
        <v>831</v>
      </c>
    </row>
    <row r="470" spans="1:5" x14ac:dyDescent="0.2">
      <c r="A470">
        <v>2019</v>
      </c>
      <c r="B470" t="s">
        <v>143</v>
      </c>
      <c r="C470" t="s">
        <v>116</v>
      </c>
      <c r="D470">
        <v>4</v>
      </c>
      <c r="E470" s="15">
        <v>309</v>
      </c>
    </row>
    <row r="471" spans="1:5" x14ac:dyDescent="0.2">
      <c r="A471">
        <v>2019</v>
      </c>
      <c r="B471" t="s">
        <v>143</v>
      </c>
      <c r="C471" t="s">
        <v>117</v>
      </c>
      <c r="D471">
        <v>5</v>
      </c>
      <c r="E471" s="15">
        <v>779</v>
      </c>
    </row>
    <row r="472" spans="1:5" x14ac:dyDescent="0.2">
      <c r="A472">
        <v>2019</v>
      </c>
      <c r="B472" t="s">
        <v>143</v>
      </c>
      <c r="C472" t="s">
        <v>118</v>
      </c>
      <c r="D472">
        <v>6</v>
      </c>
      <c r="E472" s="15">
        <v>937</v>
      </c>
    </row>
    <row r="473" spans="1:5" x14ac:dyDescent="0.2">
      <c r="A473">
        <v>2019</v>
      </c>
      <c r="B473" t="s">
        <v>143</v>
      </c>
      <c r="C473" t="s">
        <v>119</v>
      </c>
      <c r="D473">
        <v>7</v>
      </c>
      <c r="E473" s="15">
        <v>552</v>
      </c>
    </row>
    <row r="474" spans="1:5" x14ac:dyDescent="0.2">
      <c r="A474">
        <v>2019</v>
      </c>
      <c r="B474" t="s">
        <v>143</v>
      </c>
      <c r="C474" t="s">
        <v>120</v>
      </c>
      <c r="D474">
        <v>8</v>
      </c>
      <c r="E474" s="15">
        <v>2460</v>
      </c>
    </row>
    <row r="475" spans="1:5" x14ac:dyDescent="0.2">
      <c r="A475">
        <v>2019</v>
      </c>
      <c r="B475" t="s">
        <v>143</v>
      </c>
      <c r="C475" t="s">
        <v>121</v>
      </c>
      <c r="D475">
        <v>9</v>
      </c>
      <c r="E475" s="15">
        <v>2346</v>
      </c>
    </row>
    <row r="476" spans="1:5" x14ac:dyDescent="0.2">
      <c r="A476">
        <v>2019</v>
      </c>
      <c r="B476" t="s">
        <v>143</v>
      </c>
      <c r="C476" t="s">
        <v>122</v>
      </c>
      <c r="D476">
        <v>10</v>
      </c>
      <c r="E476" s="15">
        <v>2134</v>
      </c>
    </row>
    <row r="477" spans="1:5" x14ac:dyDescent="0.2">
      <c r="A477">
        <v>2019</v>
      </c>
      <c r="B477" t="s">
        <v>143</v>
      </c>
      <c r="C477" t="s">
        <v>123</v>
      </c>
      <c r="D477">
        <v>11</v>
      </c>
      <c r="E477" s="15">
        <v>8802</v>
      </c>
    </row>
    <row r="478" spans="1:5" x14ac:dyDescent="0.2">
      <c r="A478">
        <v>2019</v>
      </c>
      <c r="B478" t="s">
        <v>144</v>
      </c>
      <c r="C478" t="s">
        <v>113</v>
      </c>
      <c r="D478">
        <v>1</v>
      </c>
      <c r="E478" s="15">
        <v>113</v>
      </c>
    </row>
    <row r="479" spans="1:5" x14ac:dyDescent="0.2">
      <c r="A479">
        <v>2019</v>
      </c>
      <c r="B479" t="s">
        <v>144</v>
      </c>
      <c r="C479" t="s">
        <v>114</v>
      </c>
      <c r="D479">
        <v>2</v>
      </c>
      <c r="E479" s="15">
        <v>2038</v>
      </c>
    </row>
    <row r="480" spans="1:5" x14ac:dyDescent="0.2">
      <c r="A480">
        <v>2019</v>
      </c>
      <c r="B480" t="s">
        <v>144</v>
      </c>
      <c r="C480" t="s">
        <v>115</v>
      </c>
      <c r="D480">
        <v>3</v>
      </c>
      <c r="E480" s="15">
        <v>1318</v>
      </c>
    </row>
    <row r="481" spans="1:5" x14ac:dyDescent="0.2">
      <c r="A481">
        <v>2019</v>
      </c>
      <c r="B481" t="s">
        <v>144</v>
      </c>
      <c r="C481" t="s">
        <v>116</v>
      </c>
      <c r="D481">
        <v>4</v>
      </c>
      <c r="E481" s="15">
        <v>608</v>
      </c>
    </row>
    <row r="482" spans="1:5" x14ac:dyDescent="0.2">
      <c r="A482">
        <v>2019</v>
      </c>
      <c r="B482" t="s">
        <v>144</v>
      </c>
      <c r="C482" t="s">
        <v>117</v>
      </c>
      <c r="D482">
        <v>5</v>
      </c>
      <c r="E482" s="15">
        <v>1531</v>
      </c>
    </row>
    <row r="483" spans="1:5" x14ac:dyDescent="0.2">
      <c r="A483">
        <v>2019</v>
      </c>
      <c r="B483" t="s">
        <v>144</v>
      </c>
      <c r="C483" t="s">
        <v>118</v>
      </c>
      <c r="D483">
        <v>6</v>
      </c>
      <c r="E483" s="15">
        <v>1971</v>
      </c>
    </row>
    <row r="484" spans="1:5" x14ac:dyDescent="0.2">
      <c r="A484">
        <v>2019</v>
      </c>
      <c r="B484" t="s">
        <v>144</v>
      </c>
      <c r="C484" t="s">
        <v>119</v>
      </c>
      <c r="D484">
        <v>7</v>
      </c>
      <c r="E484" s="15">
        <v>1551</v>
      </c>
    </row>
    <row r="485" spans="1:5" x14ac:dyDescent="0.2">
      <c r="A485">
        <v>2019</v>
      </c>
      <c r="B485" t="s">
        <v>144</v>
      </c>
      <c r="C485" t="s">
        <v>120</v>
      </c>
      <c r="D485">
        <v>8</v>
      </c>
      <c r="E485" s="15">
        <v>5709</v>
      </c>
    </row>
    <row r="486" spans="1:5" x14ac:dyDescent="0.2">
      <c r="A486">
        <v>2019</v>
      </c>
      <c r="B486" t="s">
        <v>144</v>
      </c>
      <c r="C486" t="s">
        <v>121</v>
      </c>
      <c r="D486">
        <v>9</v>
      </c>
      <c r="E486" s="15">
        <v>5738</v>
      </c>
    </row>
    <row r="487" spans="1:5" x14ac:dyDescent="0.2">
      <c r="A487">
        <v>2019</v>
      </c>
      <c r="B487" t="s">
        <v>144</v>
      </c>
      <c r="C487" t="s">
        <v>122</v>
      </c>
      <c r="D487">
        <v>10</v>
      </c>
      <c r="E487" s="15">
        <v>5558</v>
      </c>
    </row>
    <row r="488" spans="1:5" x14ac:dyDescent="0.2">
      <c r="A488">
        <v>2019</v>
      </c>
      <c r="B488" t="s">
        <v>144</v>
      </c>
      <c r="C488" t="s">
        <v>123</v>
      </c>
      <c r="D488">
        <v>11</v>
      </c>
      <c r="E488" s="15">
        <v>20665</v>
      </c>
    </row>
    <row r="489" spans="1:5" x14ac:dyDescent="0.2">
      <c r="A489">
        <v>2019</v>
      </c>
      <c r="B489" t="s">
        <v>145</v>
      </c>
      <c r="C489" t="s">
        <v>113</v>
      </c>
      <c r="D489">
        <v>1</v>
      </c>
      <c r="E489" s="15">
        <v>8</v>
      </c>
    </row>
    <row r="490" spans="1:5" x14ac:dyDescent="0.2">
      <c r="A490">
        <v>2019</v>
      </c>
      <c r="B490" t="s">
        <v>145</v>
      </c>
      <c r="C490" t="s">
        <v>114</v>
      </c>
      <c r="D490">
        <v>2</v>
      </c>
      <c r="E490" s="15">
        <v>248</v>
      </c>
    </row>
    <row r="491" spans="1:5" x14ac:dyDescent="0.2">
      <c r="A491">
        <v>2019</v>
      </c>
      <c r="B491" t="s">
        <v>145</v>
      </c>
      <c r="C491" t="s">
        <v>115</v>
      </c>
      <c r="D491">
        <v>3</v>
      </c>
      <c r="E491" s="15">
        <v>264</v>
      </c>
    </row>
    <row r="492" spans="1:5" x14ac:dyDescent="0.2">
      <c r="A492">
        <v>2019</v>
      </c>
      <c r="B492" t="s">
        <v>145</v>
      </c>
      <c r="C492" t="s">
        <v>116</v>
      </c>
      <c r="D492">
        <v>4</v>
      </c>
      <c r="E492" s="15">
        <v>107</v>
      </c>
    </row>
    <row r="493" spans="1:5" x14ac:dyDescent="0.2">
      <c r="A493">
        <v>2019</v>
      </c>
      <c r="B493" t="s">
        <v>145</v>
      </c>
      <c r="C493" t="s">
        <v>117</v>
      </c>
      <c r="D493">
        <v>5</v>
      </c>
      <c r="E493" s="15">
        <v>321</v>
      </c>
    </row>
    <row r="494" spans="1:5" x14ac:dyDescent="0.2">
      <c r="A494">
        <v>2019</v>
      </c>
      <c r="B494" t="s">
        <v>145</v>
      </c>
      <c r="C494" t="s">
        <v>118</v>
      </c>
      <c r="D494">
        <v>6</v>
      </c>
      <c r="E494" s="15">
        <v>1055</v>
      </c>
    </row>
    <row r="495" spans="1:5" x14ac:dyDescent="0.2">
      <c r="A495">
        <v>2019</v>
      </c>
      <c r="B495" t="s">
        <v>145</v>
      </c>
      <c r="C495" t="s">
        <v>119</v>
      </c>
      <c r="D495">
        <v>7</v>
      </c>
      <c r="E495" s="15">
        <v>1107</v>
      </c>
    </row>
    <row r="496" spans="1:5" x14ac:dyDescent="0.2">
      <c r="A496">
        <v>2019</v>
      </c>
      <c r="B496" t="s">
        <v>145</v>
      </c>
      <c r="C496" t="s">
        <v>120</v>
      </c>
      <c r="D496">
        <v>8</v>
      </c>
      <c r="E496" s="15">
        <v>3838</v>
      </c>
    </row>
    <row r="497" spans="1:5" x14ac:dyDescent="0.2">
      <c r="A497">
        <v>2019</v>
      </c>
      <c r="B497" t="s">
        <v>145</v>
      </c>
      <c r="C497" t="s">
        <v>121</v>
      </c>
      <c r="D497">
        <v>9</v>
      </c>
      <c r="E497" s="15">
        <v>3126</v>
      </c>
    </row>
    <row r="498" spans="1:5" x14ac:dyDescent="0.2">
      <c r="A498">
        <v>2019</v>
      </c>
      <c r="B498" t="s">
        <v>145</v>
      </c>
      <c r="C498" t="s">
        <v>122</v>
      </c>
      <c r="D498">
        <v>10</v>
      </c>
      <c r="E498" s="15">
        <v>2514</v>
      </c>
    </row>
    <row r="499" spans="1:5" x14ac:dyDescent="0.2">
      <c r="A499">
        <v>2019</v>
      </c>
      <c r="B499" t="s">
        <v>145</v>
      </c>
      <c r="C499" t="s">
        <v>123</v>
      </c>
      <c r="D499">
        <v>11</v>
      </c>
      <c r="E499" s="15">
        <v>5394</v>
      </c>
    </row>
    <row r="500" spans="1:5" x14ac:dyDescent="0.2">
      <c r="A500">
        <v>2019</v>
      </c>
      <c r="B500" t="s">
        <v>146</v>
      </c>
      <c r="C500" t="s">
        <v>113</v>
      </c>
      <c r="D500">
        <v>1</v>
      </c>
      <c r="E500" s="15">
        <v>141</v>
      </c>
    </row>
    <row r="501" spans="1:5" x14ac:dyDescent="0.2">
      <c r="A501">
        <v>2019</v>
      </c>
      <c r="B501" t="s">
        <v>146</v>
      </c>
      <c r="C501" t="s">
        <v>114</v>
      </c>
      <c r="D501">
        <v>2</v>
      </c>
      <c r="E501" s="15">
        <v>2065</v>
      </c>
    </row>
    <row r="502" spans="1:5" x14ac:dyDescent="0.2">
      <c r="A502">
        <v>2019</v>
      </c>
      <c r="B502" t="s">
        <v>146</v>
      </c>
      <c r="C502" t="s">
        <v>115</v>
      </c>
      <c r="D502">
        <v>3</v>
      </c>
      <c r="E502" s="15">
        <v>1544</v>
      </c>
    </row>
    <row r="503" spans="1:5" x14ac:dyDescent="0.2">
      <c r="A503">
        <v>2019</v>
      </c>
      <c r="B503" t="s">
        <v>146</v>
      </c>
      <c r="C503" t="s">
        <v>116</v>
      </c>
      <c r="D503">
        <v>4</v>
      </c>
      <c r="E503" s="15">
        <v>661</v>
      </c>
    </row>
    <row r="504" spans="1:5" x14ac:dyDescent="0.2">
      <c r="A504">
        <v>2019</v>
      </c>
      <c r="B504" t="s">
        <v>146</v>
      </c>
      <c r="C504" t="s">
        <v>117</v>
      </c>
      <c r="D504">
        <v>5</v>
      </c>
      <c r="E504" s="15">
        <v>2089</v>
      </c>
    </row>
    <row r="505" spans="1:5" x14ac:dyDescent="0.2">
      <c r="A505">
        <v>2019</v>
      </c>
      <c r="B505" t="s">
        <v>146</v>
      </c>
      <c r="C505" t="s">
        <v>118</v>
      </c>
      <c r="D505">
        <v>6</v>
      </c>
      <c r="E505" s="15">
        <v>3800</v>
      </c>
    </row>
    <row r="506" spans="1:5" x14ac:dyDescent="0.2">
      <c r="A506">
        <v>2019</v>
      </c>
      <c r="B506" t="s">
        <v>146</v>
      </c>
      <c r="C506" t="s">
        <v>119</v>
      </c>
      <c r="D506">
        <v>7</v>
      </c>
      <c r="E506" s="15">
        <v>2893</v>
      </c>
    </row>
    <row r="507" spans="1:5" x14ac:dyDescent="0.2">
      <c r="A507">
        <v>2019</v>
      </c>
      <c r="B507" t="s">
        <v>146</v>
      </c>
      <c r="C507" t="s">
        <v>120</v>
      </c>
      <c r="D507">
        <v>8</v>
      </c>
      <c r="E507" s="15">
        <v>9840</v>
      </c>
    </row>
    <row r="508" spans="1:5" x14ac:dyDescent="0.2">
      <c r="A508">
        <v>2019</v>
      </c>
      <c r="B508" t="s">
        <v>146</v>
      </c>
      <c r="C508" t="s">
        <v>121</v>
      </c>
      <c r="D508">
        <v>9</v>
      </c>
      <c r="E508" s="15">
        <v>9186</v>
      </c>
    </row>
    <row r="509" spans="1:5" x14ac:dyDescent="0.2">
      <c r="A509">
        <v>2019</v>
      </c>
      <c r="B509" t="s">
        <v>146</v>
      </c>
      <c r="C509" t="s">
        <v>122</v>
      </c>
      <c r="D509">
        <v>10</v>
      </c>
      <c r="E509" s="15">
        <v>8267</v>
      </c>
    </row>
    <row r="510" spans="1:5" x14ac:dyDescent="0.2">
      <c r="A510">
        <v>2019</v>
      </c>
      <c r="B510" t="s">
        <v>146</v>
      </c>
      <c r="C510" t="s">
        <v>123</v>
      </c>
      <c r="D510">
        <v>11</v>
      </c>
      <c r="E510" s="15">
        <v>31322</v>
      </c>
    </row>
    <row r="511" spans="1:5" x14ac:dyDescent="0.2">
      <c r="A511">
        <v>2019</v>
      </c>
      <c r="B511" t="s">
        <v>147</v>
      </c>
      <c r="C511" t="s">
        <v>113</v>
      </c>
      <c r="D511">
        <v>1</v>
      </c>
      <c r="E511" s="15">
        <v>382</v>
      </c>
    </row>
    <row r="512" spans="1:5" x14ac:dyDescent="0.2">
      <c r="A512">
        <v>2019</v>
      </c>
      <c r="B512" t="s">
        <v>147</v>
      </c>
      <c r="C512" t="s">
        <v>114</v>
      </c>
      <c r="D512">
        <v>2</v>
      </c>
      <c r="E512" s="15">
        <v>4174</v>
      </c>
    </row>
    <row r="513" spans="1:5" x14ac:dyDescent="0.2">
      <c r="A513">
        <v>2019</v>
      </c>
      <c r="B513" t="s">
        <v>147</v>
      </c>
      <c r="C513" t="s">
        <v>115</v>
      </c>
      <c r="D513">
        <v>3</v>
      </c>
      <c r="E513" s="15">
        <v>3462</v>
      </c>
    </row>
    <row r="514" spans="1:5" x14ac:dyDescent="0.2">
      <c r="A514">
        <v>2019</v>
      </c>
      <c r="B514" t="s">
        <v>147</v>
      </c>
      <c r="C514" t="s">
        <v>116</v>
      </c>
      <c r="D514">
        <v>4</v>
      </c>
      <c r="E514" s="15">
        <v>1492</v>
      </c>
    </row>
    <row r="515" spans="1:5" x14ac:dyDescent="0.2">
      <c r="A515">
        <v>2019</v>
      </c>
      <c r="B515" t="s">
        <v>147</v>
      </c>
      <c r="C515" t="s">
        <v>117</v>
      </c>
      <c r="D515">
        <v>5</v>
      </c>
      <c r="E515" s="15">
        <v>4419</v>
      </c>
    </row>
    <row r="516" spans="1:5" x14ac:dyDescent="0.2">
      <c r="A516">
        <v>2019</v>
      </c>
      <c r="B516" t="s">
        <v>147</v>
      </c>
      <c r="C516" t="s">
        <v>118</v>
      </c>
      <c r="D516">
        <v>6</v>
      </c>
      <c r="E516" s="15">
        <v>6998</v>
      </c>
    </row>
    <row r="517" spans="1:5" x14ac:dyDescent="0.2">
      <c r="A517">
        <v>2019</v>
      </c>
      <c r="B517" t="s">
        <v>147</v>
      </c>
      <c r="C517" t="s">
        <v>119</v>
      </c>
      <c r="D517">
        <v>7</v>
      </c>
      <c r="E517" s="15">
        <v>4631</v>
      </c>
    </row>
    <row r="518" spans="1:5" x14ac:dyDescent="0.2">
      <c r="A518">
        <v>2019</v>
      </c>
      <c r="B518" t="s">
        <v>147</v>
      </c>
      <c r="C518" t="s">
        <v>120</v>
      </c>
      <c r="D518">
        <v>8</v>
      </c>
      <c r="E518" s="15">
        <v>16154</v>
      </c>
    </row>
    <row r="519" spans="1:5" x14ac:dyDescent="0.2">
      <c r="A519">
        <v>2019</v>
      </c>
      <c r="B519" t="s">
        <v>147</v>
      </c>
      <c r="C519" t="s">
        <v>121</v>
      </c>
      <c r="D519">
        <v>9</v>
      </c>
      <c r="E519" s="15">
        <v>16865</v>
      </c>
    </row>
    <row r="520" spans="1:5" x14ac:dyDescent="0.2">
      <c r="A520">
        <v>2019</v>
      </c>
      <c r="B520" t="s">
        <v>147</v>
      </c>
      <c r="C520" t="s">
        <v>122</v>
      </c>
      <c r="D520">
        <v>10</v>
      </c>
      <c r="E520" s="15">
        <v>16007</v>
      </c>
    </row>
    <row r="521" spans="1:5" x14ac:dyDescent="0.2">
      <c r="A521">
        <v>2019</v>
      </c>
      <c r="B521" t="s">
        <v>147</v>
      </c>
      <c r="C521" t="s">
        <v>123</v>
      </c>
      <c r="D521">
        <v>11</v>
      </c>
      <c r="E521" s="15">
        <v>60595</v>
      </c>
    </row>
    <row r="522" spans="1:5" x14ac:dyDescent="0.2">
      <c r="A522">
        <v>2019</v>
      </c>
      <c r="B522" t="s">
        <v>148</v>
      </c>
      <c r="C522" t="s">
        <v>113</v>
      </c>
      <c r="D522">
        <v>1</v>
      </c>
      <c r="E522" s="15">
        <v>114</v>
      </c>
    </row>
    <row r="523" spans="1:5" x14ac:dyDescent="0.2">
      <c r="A523">
        <v>2019</v>
      </c>
      <c r="B523" t="s">
        <v>148</v>
      </c>
      <c r="C523" t="s">
        <v>114</v>
      </c>
      <c r="D523">
        <v>2</v>
      </c>
      <c r="E523" s="15">
        <v>1036</v>
      </c>
    </row>
    <row r="524" spans="1:5" x14ac:dyDescent="0.2">
      <c r="A524">
        <v>2019</v>
      </c>
      <c r="B524" t="s">
        <v>148</v>
      </c>
      <c r="C524" t="s">
        <v>115</v>
      </c>
      <c r="D524">
        <v>3</v>
      </c>
      <c r="E524" s="15">
        <v>644</v>
      </c>
    </row>
    <row r="525" spans="1:5" x14ac:dyDescent="0.2">
      <c r="A525">
        <v>2019</v>
      </c>
      <c r="B525" t="s">
        <v>148</v>
      </c>
      <c r="C525" t="s">
        <v>116</v>
      </c>
      <c r="D525">
        <v>4</v>
      </c>
      <c r="E525" s="15">
        <v>320</v>
      </c>
    </row>
    <row r="526" spans="1:5" x14ac:dyDescent="0.2">
      <c r="A526">
        <v>2019</v>
      </c>
      <c r="B526" t="s">
        <v>148</v>
      </c>
      <c r="C526" t="s">
        <v>117</v>
      </c>
      <c r="D526">
        <v>5</v>
      </c>
      <c r="E526" s="15">
        <v>853</v>
      </c>
    </row>
    <row r="527" spans="1:5" x14ac:dyDescent="0.2">
      <c r="A527">
        <v>2019</v>
      </c>
      <c r="B527" t="s">
        <v>148</v>
      </c>
      <c r="C527" t="s">
        <v>118</v>
      </c>
      <c r="D527">
        <v>6</v>
      </c>
      <c r="E527" s="15">
        <v>1214</v>
      </c>
    </row>
    <row r="528" spans="1:5" x14ac:dyDescent="0.2">
      <c r="A528">
        <v>2019</v>
      </c>
      <c r="B528" t="s">
        <v>148</v>
      </c>
      <c r="C528" t="s">
        <v>119</v>
      </c>
      <c r="D528">
        <v>7</v>
      </c>
      <c r="E528" s="15">
        <v>926</v>
      </c>
    </row>
    <row r="529" spans="1:5" x14ac:dyDescent="0.2">
      <c r="A529">
        <v>2019</v>
      </c>
      <c r="B529" t="s">
        <v>148</v>
      </c>
      <c r="C529" t="s">
        <v>120</v>
      </c>
      <c r="D529">
        <v>8</v>
      </c>
      <c r="E529" s="15">
        <v>3366</v>
      </c>
    </row>
    <row r="530" spans="1:5" x14ac:dyDescent="0.2">
      <c r="A530">
        <v>2019</v>
      </c>
      <c r="B530" t="s">
        <v>148</v>
      </c>
      <c r="C530" t="s">
        <v>121</v>
      </c>
      <c r="D530">
        <v>9</v>
      </c>
      <c r="E530" s="15">
        <v>3574</v>
      </c>
    </row>
    <row r="531" spans="1:5" x14ac:dyDescent="0.2">
      <c r="A531">
        <v>2019</v>
      </c>
      <c r="B531" t="s">
        <v>148</v>
      </c>
      <c r="C531" t="s">
        <v>122</v>
      </c>
      <c r="D531">
        <v>10</v>
      </c>
      <c r="E531" s="15">
        <v>3582</v>
      </c>
    </row>
    <row r="532" spans="1:5" x14ac:dyDescent="0.2">
      <c r="A532">
        <v>2019</v>
      </c>
      <c r="B532" t="s">
        <v>148</v>
      </c>
      <c r="C532" t="s">
        <v>123</v>
      </c>
      <c r="D532">
        <v>11</v>
      </c>
      <c r="E532" s="15">
        <v>12493</v>
      </c>
    </row>
    <row r="533" spans="1:5" x14ac:dyDescent="0.2">
      <c r="A533">
        <v>2019</v>
      </c>
      <c r="B533" t="s">
        <v>149</v>
      </c>
      <c r="C533" t="s">
        <v>113</v>
      </c>
      <c r="D533">
        <v>1</v>
      </c>
      <c r="E533" s="15">
        <v>5</v>
      </c>
    </row>
    <row r="534" spans="1:5" x14ac:dyDescent="0.2">
      <c r="A534">
        <v>2019</v>
      </c>
      <c r="B534" t="s">
        <v>149</v>
      </c>
      <c r="C534" t="s">
        <v>114</v>
      </c>
      <c r="D534">
        <v>2</v>
      </c>
      <c r="E534" s="15">
        <v>121</v>
      </c>
    </row>
    <row r="535" spans="1:5" x14ac:dyDescent="0.2">
      <c r="A535">
        <v>2019</v>
      </c>
      <c r="B535" t="s">
        <v>149</v>
      </c>
      <c r="C535" t="s">
        <v>115</v>
      </c>
      <c r="D535">
        <v>3</v>
      </c>
      <c r="E535" s="15">
        <v>78</v>
      </c>
    </row>
    <row r="536" spans="1:5" x14ac:dyDescent="0.2">
      <c r="A536">
        <v>2019</v>
      </c>
      <c r="B536" t="s">
        <v>149</v>
      </c>
      <c r="C536" t="s">
        <v>116</v>
      </c>
      <c r="D536">
        <v>4</v>
      </c>
      <c r="E536" s="15">
        <v>34</v>
      </c>
    </row>
    <row r="537" spans="1:5" x14ac:dyDescent="0.2">
      <c r="A537">
        <v>2019</v>
      </c>
      <c r="B537" t="s">
        <v>149</v>
      </c>
      <c r="C537" t="s">
        <v>117</v>
      </c>
      <c r="D537">
        <v>5</v>
      </c>
      <c r="E537" s="15">
        <v>125</v>
      </c>
    </row>
    <row r="538" spans="1:5" x14ac:dyDescent="0.2">
      <c r="A538">
        <v>2019</v>
      </c>
      <c r="B538" t="s">
        <v>149</v>
      </c>
      <c r="C538" t="s">
        <v>118</v>
      </c>
      <c r="D538">
        <v>6</v>
      </c>
      <c r="E538" s="15">
        <v>130</v>
      </c>
    </row>
    <row r="539" spans="1:5" x14ac:dyDescent="0.2">
      <c r="A539">
        <v>2019</v>
      </c>
      <c r="B539" t="s">
        <v>149</v>
      </c>
      <c r="C539" t="s">
        <v>119</v>
      </c>
      <c r="D539">
        <v>7</v>
      </c>
      <c r="E539" s="15">
        <v>84</v>
      </c>
    </row>
    <row r="540" spans="1:5" x14ac:dyDescent="0.2">
      <c r="A540">
        <v>2019</v>
      </c>
      <c r="B540" t="s">
        <v>149</v>
      </c>
      <c r="C540" t="s">
        <v>120</v>
      </c>
      <c r="D540">
        <v>8</v>
      </c>
      <c r="E540" s="15">
        <v>372</v>
      </c>
    </row>
    <row r="541" spans="1:5" x14ac:dyDescent="0.2">
      <c r="A541">
        <v>2019</v>
      </c>
      <c r="B541" t="s">
        <v>149</v>
      </c>
      <c r="C541" t="s">
        <v>121</v>
      </c>
      <c r="D541">
        <v>9</v>
      </c>
      <c r="E541" s="15">
        <v>318</v>
      </c>
    </row>
    <row r="542" spans="1:5" x14ac:dyDescent="0.2">
      <c r="A542">
        <v>2019</v>
      </c>
      <c r="B542" t="s">
        <v>149</v>
      </c>
      <c r="C542" t="s">
        <v>122</v>
      </c>
      <c r="D542">
        <v>10</v>
      </c>
      <c r="E542" s="15">
        <v>273</v>
      </c>
    </row>
    <row r="543" spans="1:5" x14ac:dyDescent="0.2">
      <c r="A543">
        <v>2019</v>
      </c>
      <c r="B543" t="s">
        <v>149</v>
      </c>
      <c r="C543" t="s">
        <v>123</v>
      </c>
      <c r="D543">
        <v>11</v>
      </c>
      <c r="E543" s="15">
        <v>439</v>
      </c>
    </row>
    <row r="544" spans="1:5" x14ac:dyDescent="0.2">
      <c r="A544">
        <v>2019</v>
      </c>
      <c r="B544" t="s">
        <v>150</v>
      </c>
      <c r="C544" t="s">
        <v>113</v>
      </c>
      <c r="D544">
        <v>1</v>
      </c>
      <c r="E544" s="15">
        <v>28</v>
      </c>
    </row>
    <row r="545" spans="1:5" x14ac:dyDescent="0.2">
      <c r="A545">
        <v>2019</v>
      </c>
      <c r="B545" t="s">
        <v>150</v>
      </c>
      <c r="C545" t="s">
        <v>114</v>
      </c>
      <c r="D545">
        <v>2</v>
      </c>
      <c r="E545" s="15">
        <v>484</v>
      </c>
    </row>
    <row r="546" spans="1:5" x14ac:dyDescent="0.2">
      <c r="A546">
        <v>2019</v>
      </c>
      <c r="B546" t="s">
        <v>150</v>
      </c>
      <c r="C546" t="s">
        <v>115</v>
      </c>
      <c r="D546">
        <v>3</v>
      </c>
      <c r="E546" s="15">
        <v>333</v>
      </c>
    </row>
    <row r="547" spans="1:5" x14ac:dyDescent="0.2">
      <c r="A547">
        <v>2019</v>
      </c>
      <c r="B547" t="s">
        <v>150</v>
      </c>
      <c r="C547" t="s">
        <v>116</v>
      </c>
      <c r="D547">
        <v>4</v>
      </c>
      <c r="E547" s="15">
        <v>153</v>
      </c>
    </row>
    <row r="548" spans="1:5" x14ac:dyDescent="0.2">
      <c r="A548">
        <v>2019</v>
      </c>
      <c r="B548" t="s">
        <v>150</v>
      </c>
      <c r="C548" t="s">
        <v>117</v>
      </c>
      <c r="D548">
        <v>5</v>
      </c>
      <c r="E548" s="15">
        <v>340</v>
      </c>
    </row>
    <row r="549" spans="1:5" x14ac:dyDescent="0.2">
      <c r="A549">
        <v>2019</v>
      </c>
      <c r="B549" t="s">
        <v>150</v>
      </c>
      <c r="C549" t="s">
        <v>118</v>
      </c>
      <c r="D549">
        <v>6</v>
      </c>
      <c r="E549" s="15">
        <v>648</v>
      </c>
    </row>
    <row r="550" spans="1:5" x14ac:dyDescent="0.2">
      <c r="A550">
        <v>2019</v>
      </c>
      <c r="B550" t="s">
        <v>150</v>
      </c>
      <c r="C550" t="s">
        <v>119</v>
      </c>
      <c r="D550">
        <v>7</v>
      </c>
      <c r="E550" s="15">
        <v>677</v>
      </c>
    </row>
    <row r="551" spans="1:5" x14ac:dyDescent="0.2">
      <c r="A551">
        <v>2019</v>
      </c>
      <c r="B551" t="s">
        <v>150</v>
      </c>
      <c r="C551" t="s">
        <v>120</v>
      </c>
      <c r="D551">
        <v>8</v>
      </c>
      <c r="E551" s="15">
        <v>2419</v>
      </c>
    </row>
    <row r="552" spans="1:5" x14ac:dyDescent="0.2">
      <c r="A552">
        <v>2019</v>
      </c>
      <c r="B552" t="s">
        <v>150</v>
      </c>
      <c r="C552" t="s">
        <v>121</v>
      </c>
      <c r="D552">
        <v>9</v>
      </c>
      <c r="E552" s="15">
        <v>1984</v>
      </c>
    </row>
    <row r="553" spans="1:5" x14ac:dyDescent="0.2">
      <c r="A553">
        <v>2019</v>
      </c>
      <c r="B553" t="s">
        <v>150</v>
      </c>
      <c r="C553" t="s">
        <v>122</v>
      </c>
      <c r="D553">
        <v>10</v>
      </c>
      <c r="E553" s="15">
        <v>1659</v>
      </c>
    </row>
    <row r="554" spans="1:5" x14ac:dyDescent="0.2">
      <c r="A554">
        <v>2019</v>
      </c>
      <c r="B554" t="s">
        <v>150</v>
      </c>
      <c r="C554" t="s">
        <v>123</v>
      </c>
      <c r="D554">
        <v>11</v>
      </c>
      <c r="E554" s="15">
        <v>3297</v>
      </c>
    </row>
    <row r="555" spans="1:5" x14ac:dyDescent="0.2">
      <c r="A555">
        <v>2019</v>
      </c>
      <c r="B555" t="s">
        <v>151</v>
      </c>
      <c r="C555" t="s">
        <v>113</v>
      </c>
      <c r="D555">
        <v>1</v>
      </c>
      <c r="E555" s="15">
        <v>108</v>
      </c>
    </row>
    <row r="556" spans="1:5" x14ac:dyDescent="0.2">
      <c r="A556">
        <v>2019</v>
      </c>
      <c r="B556" t="s">
        <v>151</v>
      </c>
      <c r="C556" t="s">
        <v>114</v>
      </c>
      <c r="D556">
        <v>2</v>
      </c>
      <c r="E556" s="15">
        <v>1740</v>
      </c>
    </row>
    <row r="557" spans="1:5" x14ac:dyDescent="0.2">
      <c r="A557">
        <v>2019</v>
      </c>
      <c r="B557" t="s">
        <v>151</v>
      </c>
      <c r="C557" t="s">
        <v>115</v>
      </c>
      <c r="D557">
        <v>3</v>
      </c>
      <c r="E557" s="15">
        <v>1181</v>
      </c>
    </row>
    <row r="558" spans="1:5" x14ac:dyDescent="0.2">
      <c r="A558">
        <v>2019</v>
      </c>
      <c r="B558" t="s">
        <v>151</v>
      </c>
      <c r="C558" t="s">
        <v>116</v>
      </c>
      <c r="D558">
        <v>4</v>
      </c>
      <c r="E558" s="15">
        <v>537</v>
      </c>
    </row>
    <row r="559" spans="1:5" x14ac:dyDescent="0.2">
      <c r="A559">
        <v>2019</v>
      </c>
      <c r="B559" t="s">
        <v>151</v>
      </c>
      <c r="C559" t="s">
        <v>117</v>
      </c>
      <c r="D559">
        <v>5</v>
      </c>
      <c r="E559" s="15">
        <v>1427</v>
      </c>
    </row>
    <row r="560" spans="1:5" x14ac:dyDescent="0.2">
      <c r="A560">
        <v>2019</v>
      </c>
      <c r="B560" t="s">
        <v>151</v>
      </c>
      <c r="C560" t="s">
        <v>118</v>
      </c>
      <c r="D560">
        <v>6</v>
      </c>
      <c r="E560" s="15">
        <v>2346</v>
      </c>
    </row>
    <row r="561" spans="1:5" x14ac:dyDescent="0.2">
      <c r="A561">
        <v>2019</v>
      </c>
      <c r="B561" t="s">
        <v>151</v>
      </c>
      <c r="C561" t="s">
        <v>119</v>
      </c>
      <c r="D561">
        <v>7</v>
      </c>
      <c r="E561" s="15">
        <v>1836</v>
      </c>
    </row>
    <row r="562" spans="1:5" x14ac:dyDescent="0.2">
      <c r="A562">
        <v>2019</v>
      </c>
      <c r="B562" t="s">
        <v>151</v>
      </c>
      <c r="C562" t="s">
        <v>120</v>
      </c>
      <c r="D562">
        <v>8</v>
      </c>
      <c r="E562" s="15">
        <v>6919</v>
      </c>
    </row>
    <row r="563" spans="1:5" x14ac:dyDescent="0.2">
      <c r="A563">
        <v>2019</v>
      </c>
      <c r="B563" t="s">
        <v>151</v>
      </c>
      <c r="C563" t="s">
        <v>121</v>
      </c>
      <c r="D563">
        <v>9</v>
      </c>
      <c r="E563" s="15">
        <v>6614</v>
      </c>
    </row>
    <row r="564" spans="1:5" x14ac:dyDescent="0.2">
      <c r="A564">
        <v>2019</v>
      </c>
      <c r="B564" t="s">
        <v>151</v>
      </c>
      <c r="C564" t="s">
        <v>122</v>
      </c>
      <c r="D564">
        <v>10</v>
      </c>
      <c r="E564" s="15">
        <v>5715</v>
      </c>
    </row>
    <row r="565" spans="1:5" x14ac:dyDescent="0.2">
      <c r="A565">
        <v>2019</v>
      </c>
      <c r="B565" t="s">
        <v>151</v>
      </c>
      <c r="C565" t="s">
        <v>123</v>
      </c>
      <c r="D565">
        <v>11</v>
      </c>
      <c r="E565" s="15">
        <v>20811</v>
      </c>
    </row>
    <row r="566" spans="1:5" x14ac:dyDescent="0.2">
      <c r="A566">
        <v>2019</v>
      </c>
      <c r="B566" t="s">
        <v>152</v>
      </c>
      <c r="C566" t="s">
        <v>113</v>
      </c>
      <c r="D566">
        <v>1</v>
      </c>
      <c r="E566" s="15">
        <v>0</v>
      </c>
    </row>
    <row r="567" spans="1:5" x14ac:dyDescent="0.2">
      <c r="A567">
        <v>2019</v>
      </c>
      <c r="B567" t="s">
        <v>152</v>
      </c>
      <c r="C567" t="s">
        <v>114</v>
      </c>
      <c r="D567">
        <v>2</v>
      </c>
      <c r="E567" s="15">
        <v>21</v>
      </c>
    </row>
    <row r="568" spans="1:5" x14ac:dyDescent="0.2">
      <c r="A568">
        <v>2019</v>
      </c>
      <c r="B568" t="s">
        <v>152</v>
      </c>
      <c r="C568" t="s">
        <v>115</v>
      </c>
      <c r="D568">
        <v>3</v>
      </c>
      <c r="E568" s="15">
        <v>81</v>
      </c>
    </row>
    <row r="569" spans="1:5" x14ac:dyDescent="0.2">
      <c r="A569">
        <v>2019</v>
      </c>
      <c r="B569" t="s">
        <v>152</v>
      </c>
      <c r="C569" t="s">
        <v>116</v>
      </c>
      <c r="D569">
        <v>4</v>
      </c>
      <c r="E569" s="15">
        <v>101</v>
      </c>
    </row>
    <row r="570" spans="1:5" x14ac:dyDescent="0.2">
      <c r="A570">
        <v>2019</v>
      </c>
      <c r="B570" t="s">
        <v>152</v>
      </c>
      <c r="C570" t="s">
        <v>117</v>
      </c>
      <c r="D570">
        <v>5</v>
      </c>
      <c r="E570" s="15">
        <v>596</v>
      </c>
    </row>
    <row r="571" spans="1:5" x14ac:dyDescent="0.2">
      <c r="A571">
        <v>2019</v>
      </c>
      <c r="B571" t="s">
        <v>152</v>
      </c>
      <c r="C571" t="s">
        <v>118</v>
      </c>
      <c r="D571">
        <v>6</v>
      </c>
      <c r="E571" s="15">
        <v>2021</v>
      </c>
    </row>
    <row r="572" spans="1:5" x14ac:dyDescent="0.2">
      <c r="A572">
        <v>2019</v>
      </c>
      <c r="B572" t="s">
        <v>152</v>
      </c>
      <c r="C572" t="s">
        <v>119</v>
      </c>
      <c r="D572">
        <v>7</v>
      </c>
      <c r="E572" s="15">
        <v>1728</v>
      </c>
    </row>
    <row r="573" spans="1:5" x14ac:dyDescent="0.2">
      <c r="A573">
        <v>2019</v>
      </c>
      <c r="B573" t="s">
        <v>152</v>
      </c>
      <c r="C573" t="s">
        <v>120</v>
      </c>
      <c r="D573">
        <v>8</v>
      </c>
      <c r="E573" s="15">
        <v>5343</v>
      </c>
    </row>
    <row r="574" spans="1:5" x14ac:dyDescent="0.2">
      <c r="A574">
        <v>2019</v>
      </c>
      <c r="B574" t="s">
        <v>152</v>
      </c>
      <c r="C574" t="s">
        <v>121</v>
      </c>
      <c r="D574">
        <v>9</v>
      </c>
      <c r="E574" s="15">
        <v>3877</v>
      </c>
    </row>
    <row r="575" spans="1:5" x14ac:dyDescent="0.2">
      <c r="A575">
        <v>2019</v>
      </c>
      <c r="B575" t="s">
        <v>152</v>
      </c>
      <c r="C575" t="s">
        <v>122</v>
      </c>
      <c r="D575">
        <v>10</v>
      </c>
      <c r="E575" s="15">
        <v>2908</v>
      </c>
    </row>
    <row r="576" spans="1:5" x14ac:dyDescent="0.2">
      <c r="A576">
        <v>2019</v>
      </c>
      <c r="B576" t="s">
        <v>152</v>
      </c>
      <c r="C576" t="s">
        <v>123</v>
      </c>
      <c r="D576">
        <v>11</v>
      </c>
      <c r="E576" s="15">
        <v>5299</v>
      </c>
    </row>
    <row r="577" spans="1:5" x14ac:dyDescent="0.2">
      <c r="A577">
        <v>2020</v>
      </c>
      <c r="B577" t="s">
        <v>140</v>
      </c>
      <c r="C577" t="s">
        <v>113</v>
      </c>
      <c r="D577">
        <v>1</v>
      </c>
      <c r="E577" s="15">
        <v>265</v>
      </c>
    </row>
    <row r="578" spans="1:5" x14ac:dyDescent="0.2">
      <c r="A578">
        <v>2020</v>
      </c>
      <c r="B578" t="s">
        <v>140</v>
      </c>
      <c r="C578" t="s">
        <v>114</v>
      </c>
      <c r="D578">
        <v>2</v>
      </c>
      <c r="E578" s="15">
        <v>3324</v>
      </c>
    </row>
    <row r="579" spans="1:5" x14ac:dyDescent="0.2">
      <c r="A579">
        <v>2020</v>
      </c>
      <c r="B579" t="s">
        <v>140</v>
      </c>
      <c r="C579" t="s">
        <v>115</v>
      </c>
      <c r="D579">
        <v>3</v>
      </c>
      <c r="E579" s="15">
        <v>2465</v>
      </c>
    </row>
    <row r="580" spans="1:5" x14ac:dyDescent="0.2">
      <c r="A580">
        <v>2020</v>
      </c>
      <c r="B580" t="s">
        <v>140</v>
      </c>
      <c r="C580" t="s">
        <v>116</v>
      </c>
      <c r="D580">
        <v>4</v>
      </c>
      <c r="E580" s="15">
        <v>1000</v>
      </c>
    </row>
    <row r="581" spans="1:5" x14ac:dyDescent="0.2">
      <c r="A581">
        <v>2020</v>
      </c>
      <c r="B581" t="s">
        <v>140</v>
      </c>
      <c r="C581" t="s">
        <v>117</v>
      </c>
      <c r="D581">
        <v>5</v>
      </c>
      <c r="E581" s="15">
        <v>2962</v>
      </c>
    </row>
    <row r="582" spans="1:5" x14ac:dyDescent="0.2">
      <c r="A582">
        <v>2020</v>
      </c>
      <c r="B582" t="s">
        <v>140</v>
      </c>
      <c r="C582" t="s">
        <v>118</v>
      </c>
      <c r="D582">
        <v>6</v>
      </c>
      <c r="E582" s="15">
        <v>3511</v>
      </c>
    </row>
    <row r="583" spans="1:5" x14ac:dyDescent="0.2">
      <c r="A583">
        <v>2020</v>
      </c>
      <c r="B583" t="s">
        <v>140</v>
      </c>
      <c r="C583" t="s">
        <v>119</v>
      </c>
      <c r="D583">
        <v>7</v>
      </c>
      <c r="E583" s="15">
        <v>2169</v>
      </c>
    </row>
    <row r="584" spans="1:5" x14ac:dyDescent="0.2">
      <c r="A584">
        <v>2020</v>
      </c>
      <c r="B584" t="s">
        <v>140</v>
      </c>
      <c r="C584" t="s">
        <v>120</v>
      </c>
      <c r="D584">
        <v>8</v>
      </c>
      <c r="E584" s="15">
        <v>7162</v>
      </c>
    </row>
    <row r="585" spans="1:5" x14ac:dyDescent="0.2">
      <c r="A585">
        <v>2020</v>
      </c>
      <c r="B585" t="s">
        <v>140</v>
      </c>
      <c r="C585" t="s">
        <v>121</v>
      </c>
      <c r="D585">
        <v>9</v>
      </c>
      <c r="E585" s="15">
        <v>8038</v>
      </c>
    </row>
    <row r="586" spans="1:5" x14ac:dyDescent="0.2">
      <c r="A586">
        <v>2020</v>
      </c>
      <c r="B586" t="s">
        <v>140</v>
      </c>
      <c r="C586" t="s">
        <v>122</v>
      </c>
      <c r="D586">
        <v>10</v>
      </c>
      <c r="E586" s="15">
        <v>8935</v>
      </c>
    </row>
    <row r="587" spans="1:5" x14ac:dyDescent="0.2">
      <c r="A587">
        <v>2020</v>
      </c>
      <c r="B587" t="s">
        <v>140</v>
      </c>
      <c r="C587" t="s">
        <v>123</v>
      </c>
      <c r="D587">
        <v>11</v>
      </c>
      <c r="E587" s="15">
        <v>33537</v>
      </c>
    </row>
    <row r="588" spans="1:5" x14ac:dyDescent="0.2">
      <c r="A588">
        <v>2020</v>
      </c>
      <c r="B588" t="s">
        <v>141</v>
      </c>
      <c r="C588" t="s">
        <v>113</v>
      </c>
      <c r="D588">
        <v>1</v>
      </c>
      <c r="E588" s="15">
        <v>506</v>
      </c>
    </row>
    <row r="589" spans="1:5" x14ac:dyDescent="0.2">
      <c r="A589">
        <v>2020</v>
      </c>
      <c r="B589" t="s">
        <v>141</v>
      </c>
      <c r="C589" t="s">
        <v>114</v>
      </c>
      <c r="D589">
        <v>2</v>
      </c>
      <c r="E589" s="15">
        <v>5110</v>
      </c>
    </row>
    <row r="590" spans="1:5" x14ac:dyDescent="0.2">
      <c r="A590">
        <v>2020</v>
      </c>
      <c r="B590" t="s">
        <v>141</v>
      </c>
      <c r="C590" t="s">
        <v>115</v>
      </c>
      <c r="D590">
        <v>3</v>
      </c>
      <c r="E590" s="15">
        <v>3483</v>
      </c>
    </row>
    <row r="591" spans="1:5" x14ac:dyDescent="0.2">
      <c r="A591">
        <v>2020</v>
      </c>
      <c r="B591" t="s">
        <v>141</v>
      </c>
      <c r="C591" t="s">
        <v>116</v>
      </c>
      <c r="D591">
        <v>4</v>
      </c>
      <c r="E591" s="15">
        <v>1507</v>
      </c>
    </row>
    <row r="592" spans="1:5" x14ac:dyDescent="0.2">
      <c r="A592">
        <v>2020</v>
      </c>
      <c r="B592" t="s">
        <v>141</v>
      </c>
      <c r="C592" t="s">
        <v>117</v>
      </c>
      <c r="D592">
        <v>5</v>
      </c>
      <c r="E592" s="15">
        <v>5058</v>
      </c>
    </row>
    <row r="593" spans="1:5" x14ac:dyDescent="0.2">
      <c r="A593">
        <v>2020</v>
      </c>
      <c r="B593" t="s">
        <v>141</v>
      </c>
      <c r="C593" t="s">
        <v>118</v>
      </c>
      <c r="D593">
        <v>6</v>
      </c>
      <c r="E593" s="15">
        <v>8685</v>
      </c>
    </row>
    <row r="594" spans="1:5" x14ac:dyDescent="0.2">
      <c r="A594">
        <v>2020</v>
      </c>
      <c r="B594" t="s">
        <v>141</v>
      </c>
      <c r="C594" t="s">
        <v>119</v>
      </c>
      <c r="D594">
        <v>7</v>
      </c>
      <c r="E594" s="15">
        <v>5569</v>
      </c>
    </row>
    <row r="595" spans="1:5" x14ac:dyDescent="0.2">
      <c r="A595">
        <v>2020</v>
      </c>
      <c r="B595" t="s">
        <v>141</v>
      </c>
      <c r="C595" t="s">
        <v>120</v>
      </c>
      <c r="D595">
        <v>8</v>
      </c>
      <c r="E595" s="15">
        <v>17562</v>
      </c>
    </row>
    <row r="596" spans="1:5" x14ac:dyDescent="0.2">
      <c r="A596">
        <v>2020</v>
      </c>
      <c r="B596" t="s">
        <v>141</v>
      </c>
      <c r="C596" t="s">
        <v>121</v>
      </c>
      <c r="D596">
        <v>9</v>
      </c>
      <c r="E596" s="15">
        <v>17525</v>
      </c>
    </row>
    <row r="597" spans="1:5" x14ac:dyDescent="0.2">
      <c r="A597">
        <v>2020</v>
      </c>
      <c r="B597" t="s">
        <v>141</v>
      </c>
      <c r="C597" t="s">
        <v>122</v>
      </c>
      <c r="D597">
        <v>10</v>
      </c>
      <c r="E597" s="15">
        <v>17711</v>
      </c>
    </row>
    <row r="598" spans="1:5" x14ac:dyDescent="0.2">
      <c r="A598">
        <v>2020</v>
      </c>
      <c r="B598" t="s">
        <v>141</v>
      </c>
      <c r="C598" t="s">
        <v>123</v>
      </c>
      <c r="D598">
        <v>11</v>
      </c>
      <c r="E598" s="15">
        <v>57419</v>
      </c>
    </row>
    <row r="599" spans="1:5" x14ac:dyDescent="0.2">
      <c r="A599">
        <v>2020</v>
      </c>
      <c r="B599" t="s">
        <v>142</v>
      </c>
      <c r="C599" t="s">
        <v>113</v>
      </c>
      <c r="D599">
        <v>1</v>
      </c>
      <c r="E599" s="15">
        <v>64</v>
      </c>
    </row>
    <row r="600" spans="1:5" x14ac:dyDescent="0.2">
      <c r="A600">
        <v>2020</v>
      </c>
      <c r="B600" t="s">
        <v>142</v>
      </c>
      <c r="C600" t="s">
        <v>114</v>
      </c>
      <c r="D600">
        <v>2</v>
      </c>
      <c r="E600" s="15">
        <v>999</v>
      </c>
    </row>
    <row r="601" spans="1:5" x14ac:dyDescent="0.2">
      <c r="A601">
        <v>2020</v>
      </c>
      <c r="B601" t="s">
        <v>142</v>
      </c>
      <c r="C601" t="s">
        <v>115</v>
      </c>
      <c r="D601">
        <v>3</v>
      </c>
      <c r="E601" s="15">
        <v>666</v>
      </c>
    </row>
    <row r="602" spans="1:5" x14ac:dyDescent="0.2">
      <c r="A602">
        <v>2020</v>
      </c>
      <c r="B602" t="s">
        <v>142</v>
      </c>
      <c r="C602" t="s">
        <v>116</v>
      </c>
      <c r="D602">
        <v>4</v>
      </c>
      <c r="E602" s="15">
        <v>219</v>
      </c>
    </row>
    <row r="603" spans="1:5" x14ac:dyDescent="0.2">
      <c r="A603">
        <v>2020</v>
      </c>
      <c r="B603" t="s">
        <v>142</v>
      </c>
      <c r="C603" t="s">
        <v>117</v>
      </c>
      <c r="D603">
        <v>5</v>
      </c>
      <c r="E603" s="15">
        <v>682</v>
      </c>
    </row>
    <row r="604" spans="1:5" x14ac:dyDescent="0.2">
      <c r="A604">
        <v>2020</v>
      </c>
      <c r="B604" t="s">
        <v>142</v>
      </c>
      <c r="C604" t="s">
        <v>118</v>
      </c>
      <c r="D604">
        <v>6</v>
      </c>
      <c r="E604" s="15">
        <v>1354</v>
      </c>
    </row>
    <row r="605" spans="1:5" x14ac:dyDescent="0.2">
      <c r="A605">
        <v>2020</v>
      </c>
      <c r="B605" t="s">
        <v>142</v>
      </c>
      <c r="C605" t="s">
        <v>119</v>
      </c>
      <c r="D605">
        <v>7</v>
      </c>
      <c r="E605" s="15">
        <v>1155</v>
      </c>
    </row>
    <row r="606" spans="1:5" x14ac:dyDescent="0.2">
      <c r="A606">
        <v>2020</v>
      </c>
      <c r="B606" t="s">
        <v>142</v>
      </c>
      <c r="C606" t="s">
        <v>120</v>
      </c>
      <c r="D606">
        <v>8</v>
      </c>
      <c r="E606" s="15">
        <v>3851</v>
      </c>
    </row>
    <row r="607" spans="1:5" x14ac:dyDescent="0.2">
      <c r="A607">
        <v>2020</v>
      </c>
      <c r="B607" t="s">
        <v>142</v>
      </c>
      <c r="C607" t="s">
        <v>121</v>
      </c>
      <c r="D607">
        <v>9</v>
      </c>
      <c r="E607" s="15">
        <v>3562</v>
      </c>
    </row>
    <row r="608" spans="1:5" x14ac:dyDescent="0.2">
      <c r="A608">
        <v>2020</v>
      </c>
      <c r="B608" t="s">
        <v>142</v>
      </c>
      <c r="C608" t="s">
        <v>122</v>
      </c>
      <c r="D608">
        <v>10</v>
      </c>
      <c r="E608" s="15">
        <v>3545</v>
      </c>
    </row>
    <row r="609" spans="1:5" x14ac:dyDescent="0.2">
      <c r="A609">
        <v>2020</v>
      </c>
      <c r="B609" t="s">
        <v>142</v>
      </c>
      <c r="C609" t="s">
        <v>123</v>
      </c>
      <c r="D609">
        <v>11</v>
      </c>
      <c r="E609" s="15">
        <v>9478</v>
      </c>
    </row>
    <row r="610" spans="1:5" x14ac:dyDescent="0.2">
      <c r="A610">
        <v>2020</v>
      </c>
      <c r="B610" t="s">
        <v>143</v>
      </c>
      <c r="C610" t="s">
        <v>113</v>
      </c>
      <c r="D610">
        <v>1</v>
      </c>
      <c r="E610" s="15">
        <v>57</v>
      </c>
    </row>
    <row r="611" spans="1:5" x14ac:dyDescent="0.2">
      <c r="A611">
        <v>2020</v>
      </c>
      <c r="B611" t="s">
        <v>143</v>
      </c>
      <c r="C611" t="s">
        <v>114</v>
      </c>
      <c r="D611">
        <v>2</v>
      </c>
      <c r="E611" s="15">
        <v>1103</v>
      </c>
    </row>
    <row r="612" spans="1:5" x14ac:dyDescent="0.2">
      <c r="A612">
        <v>2020</v>
      </c>
      <c r="B612" t="s">
        <v>143</v>
      </c>
      <c r="C612" t="s">
        <v>115</v>
      </c>
      <c r="D612">
        <v>3</v>
      </c>
      <c r="E612" s="15">
        <v>932</v>
      </c>
    </row>
    <row r="613" spans="1:5" x14ac:dyDescent="0.2">
      <c r="A613">
        <v>2020</v>
      </c>
      <c r="B613" t="s">
        <v>143</v>
      </c>
      <c r="C613" t="s">
        <v>116</v>
      </c>
      <c r="D613">
        <v>4</v>
      </c>
      <c r="E613" s="15">
        <v>310</v>
      </c>
    </row>
    <row r="614" spans="1:5" x14ac:dyDescent="0.2">
      <c r="A614">
        <v>2020</v>
      </c>
      <c r="B614" t="s">
        <v>143</v>
      </c>
      <c r="C614" t="s">
        <v>117</v>
      </c>
      <c r="D614">
        <v>5</v>
      </c>
      <c r="E614" s="15">
        <v>885</v>
      </c>
    </row>
    <row r="615" spans="1:5" x14ac:dyDescent="0.2">
      <c r="A615">
        <v>2020</v>
      </c>
      <c r="B615" t="s">
        <v>143</v>
      </c>
      <c r="C615" t="s">
        <v>118</v>
      </c>
      <c r="D615">
        <v>6</v>
      </c>
      <c r="E615" s="15">
        <v>1014</v>
      </c>
    </row>
    <row r="616" spans="1:5" x14ac:dyDescent="0.2">
      <c r="A616">
        <v>2020</v>
      </c>
      <c r="B616" t="s">
        <v>143</v>
      </c>
      <c r="C616" t="s">
        <v>119</v>
      </c>
      <c r="D616">
        <v>7</v>
      </c>
      <c r="E616" s="15">
        <v>528</v>
      </c>
    </row>
    <row r="617" spans="1:5" x14ac:dyDescent="0.2">
      <c r="A617">
        <v>2020</v>
      </c>
      <c r="B617" t="s">
        <v>143</v>
      </c>
      <c r="C617" t="s">
        <v>120</v>
      </c>
      <c r="D617">
        <v>8</v>
      </c>
      <c r="E617" s="15">
        <v>2287</v>
      </c>
    </row>
    <row r="618" spans="1:5" x14ac:dyDescent="0.2">
      <c r="A618">
        <v>2020</v>
      </c>
      <c r="B618" t="s">
        <v>143</v>
      </c>
      <c r="C618" t="s">
        <v>121</v>
      </c>
      <c r="D618">
        <v>9</v>
      </c>
      <c r="E618" s="15">
        <v>2373</v>
      </c>
    </row>
    <row r="619" spans="1:5" x14ac:dyDescent="0.2">
      <c r="A619">
        <v>2020</v>
      </c>
      <c r="B619" t="s">
        <v>143</v>
      </c>
      <c r="C619" t="s">
        <v>122</v>
      </c>
      <c r="D619">
        <v>10</v>
      </c>
      <c r="E619" s="15">
        <v>2213</v>
      </c>
    </row>
    <row r="620" spans="1:5" x14ac:dyDescent="0.2">
      <c r="A620">
        <v>2020</v>
      </c>
      <c r="B620" t="s">
        <v>143</v>
      </c>
      <c r="C620" t="s">
        <v>123</v>
      </c>
      <c r="D620">
        <v>11</v>
      </c>
      <c r="E620" s="15">
        <v>8810</v>
      </c>
    </row>
    <row r="621" spans="1:5" x14ac:dyDescent="0.2">
      <c r="A621">
        <v>2020</v>
      </c>
      <c r="B621" t="s">
        <v>144</v>
      </c>
      <c r="C621" t="s">
        <v>113</v>
      </c>
      <c r="D621">
        <v>1</v>
      </c>
      <c r="E621" s="15">
        <v>155</v>
      </c>
    </row>
    <row r="622" spans="1:5" x14ac:dyDescent="0.2">
      <c r="A622">
        <v>2020</v>
      </c>
      <c r="B622" t="s">
        <v>144</v>
      </c>
      <c r="C622" t="s">
        <v>114</v>
      </c>
      <c r="D622">
        <v>2</v>
      </c>
      <c r="E622" s="15">
        <v>2064</v>
      </c>
    </row>
    <row r="623" spans="1:5" x14ac:dyDescent="0.2">
      <c r="A623">
        <v>2020</v>
      </c>
      <c r="B623" t="s">
        <v>144</v>
      </c>
      <c r="C623" t="s">
        <v>115</v>
      </c>
      <c r="D623">
        <v>3</v>
      </c>
      <c r="E623" s="15">
        <v>1383</v>
      </c>
    </row>
    <row r="624" spans="1:5" x14ac:dyDescent="0.2">
      <c r="A624">
        <v>2020</v>
      </c>
      <c r="B624" t="s">
        <v>144</v>
      </c>
      <c r="C624" t="s">
        <v>116</v>
      </c>
      <c r="D624">
        <v>4</v>
      </c>
      <c r="E624" s="15">
        <v>579</v>
      </c>
    </row>
    <row r="625" spans="1:5" x14ac:dyDescent="0.2">
      <c r="A625">
        <v>2020</v>
      </c>
      <c r="B625" t="s">
        <v>144</v>
      </c>
      <c r="C625" t="s">
        <v>117</v>
      </c>
      <c r="D625">
        <v>5</v>
      </c>
      <c r="E625" s="15">
        <v>1603</v>
      </c>
    </row>
    <row r="626" spans="1:5" x14ac:dyDescent="0.2">
      <c r="A626">
        <v>2020</v>
      </c>
      <c r="B626" t="s">
        <v>144</v>
      </c>
      <c r="C626" t="s">
        <v>118</v>
      </c>
      <c r="D626">
        <v>6</v>
      </c>
      <c r="E626" s="15">
        <v>2062</v>
      </c>
    </row>
    <row r="627" spans="1:5" x14ac:dyDescent="0.2">
      <c r="A627">
        <v>2020</v>
      </c>
      <c r="B627" t="s">
        <v>144</v>
      </c>
      <c r="C627" t="s">
        <v>119</v>
      </c>
      <c r="D627">
        <v>7</v>
      </c>
      <c r="E627" s="15">
        <v>1477</v>
      </c>
    </row>
    <row r="628" spans="1:5" x14ac:dyDescent="0.2">
      <c r="A628">
        <v>2020</v>
      </c>
      <c r="B628" t="s">
        <v>144</v>
      </c>
      <c r="C628" t="s">
        <v>120</v>
      </c>
      <c r="D628">
        <v>8</v>
      </c>
      <c r="E628" s="15">
        <v>5434</v>
      </c>
    </row>
    <row r="629" spans="1:5" x14ac:dyDescent="0.2">
      <c r="A629">
        <v>2020</v>
      </c>
      <c r="B629" t="s">
        <v>144</v>
      </c>
      <c r="C629" t="s">
        <v>121</v>
      </c>
      <c r="D629">
        <v>9</v>
      </c>
      <c r="E629" s="15">
        <v>5592</v>
      </c>
    </row>
    <row r="630" spans="1:5" x14ac:dyDescent="0.2">
      <c r="A630">
        <v>2020</v>
      </c>
      <c r="B630" t="s">
        <v>144</v>
      </c>
      <c r="C630" t="s">
        <v>122</v>
      </c>
      <c r="D630">
        <v>10</v>
      </c>
      <c r="E630" s="15">
        <v>5872</v>
      </c>
    </row>
    <row r="631" spans="1:5" x14ac:dyDescent="0.2">
      <c r="A631">
        <v>2020</v>
      </c>
      <c r="B631" t="s">
        <v>144</v>
      </c>
      <c r="C631" t="s">
        <v>123</v>
      </c>
      <c r="D631">
        <v>11</v>
      </c>
      <c r="E631" s="15">
        <v>20889</v>
      </c>
    </row>
    <row r="632" spans="1:5" x14ac:dyDescent="0.2">
      <c r="A632">
        <v>2020</v>
      </c>
      <c r="B632" t="s">
        <v>145</v>
      </c>
      <c r="C632" t="s">
        <v>113</v>
      </c>
      <c r="D632">
        <v>1</v>
      </c>
      <c r="E632" s="15">
        <v>12</v>
      </c>
    </row>
    <row r="633" spans="1:5" x14ac:dyDescent="0.2">
      <c r="A633">
        <v>2020</v>
      </c>
      <c r="B633" t="s">
        <v>145</v>
      </c>
      <c r="C633" t="s">
        <v>114</v>
      </c>
      <c r="D633">
        <v>2</v>
      </c>
      <c r="E633" s="15">
        <v>250</v>
      </c>
    </row>
    <row r="634" spans="1:5" x14ac:dyDescent="0.2">
      <c r="A634">
        <v>2020</v>
      </c>
      <c r="B634" t="s">
        <v>145</v>
      </c>
      <c r="C634" t="s">
        <v>115</v>
      </c>
      <c r="D634">
        <v>3</v>
      </c>
      <c r="E634" s="15">
        <v>300</v>
      </c>
    </row>
    <row r="635" spans="1:5" x14ac:dyDescent="0.2">
      <c r="A635">
        <v>2020</v>
      </c>
      <c r="B635" t="s">
        <v>145</v>
      </c>
      <c r="C635" t="s">
        <v>116</v>
      </c>
      <c r="D635">
        <v>4</v>
      </c>
      <c r="E635" s="15">
        <v>112</v>
      </c>
    </row>
    <row r="636" spans="1:5" x14ac:dyDescent="0.2">
      <c r="A636">
        <v>2020</v>
      </c>
      <c r="B636" t="s">
        <v>145</v>
      </c>
      <c r="C636" t="s">
        <v>117</v>
      </c>
      <c r="D636">
        <v>5</v>
      </c>
      <c r="E636" s="15">
        <v>351</v>
      </c>
    </row>
    <row r="637" spans="1:5" x14ac:dyDescent="0.2">
      <c r="A637">
        <v>2020</v>
      </c>
      <c r="B637" t="s">
        <v>145</v>
      </c>
      <c r="C637" t="s">
        <v>118</v>
      </c>
      <c r="D637">
        <v>6</v>
      </c>
      <c r="E637" s="15">
        <v>1053</v>
      </c>
    </row>
    <row r="638" spans="1:5" x14ac:dyDescent="0.2">
      <c r="A638">
        <v>2020</v>
      </c>
      <c r="B638" t="s">
        <v>145</v>
      </c>
      <c r="C638" t="s">
        <v>119</v>
      </c>
      <c r="D638">
        <v>7</v>
      </c>
      <c r="E638" s="15">
        <v>1037</v>
      </c>
    </row>
    <row r="639" spans="1:5" x14ac:dyDescent="0.2">
      <c r="A639">
        <v>2020</v>
      </c>
      <c r="B639" t="s">
        <v>145</v>
      </c>
      <c r="C639" t="s">
        <v>120</v>
      </c>
      <c r="D639">
        <v>8</v>
      </c>
      <c r="E639" s="15">
        <v>3503</v>
      </c>
    </row>
    <row r="640" spans="1:5" x14ac:dyDescent="0.2">
      <c r="A640">
        <v>2020</v>
      </c>
      <c r="B640" t="s">
        <v>145</v>
      </c>
      <c r="C640" t="s">
        <v>121</v>
      </c>
      <c r="D640">
        <v>9</v>
      </c>
      <c r="E640" s="15">
        <v>3083</v>
      </c>
    </row>
    <row r="641" spans="1:5" x14ac:dyDescent="0.2">
      <c r="A641">
        <v>2020</v>
      </c>
      <c r="B641" t="s">
        <v>145</v>
      </c>
      <c r="C641" t="s">
        <v>122</v>
      </c>
      <c r="D641">
        <v>10</v>
      </c>
      <c r="E641" s="15">
        <v>2733</v>
      </c>
    </row>
    <row r="642" spans="1:5" x14ac:dyDescent="0.2">
      <c r="A642">
        <v>2020</v>
      </c>
      <c r="B642" t="s">
        <v>145</v>
      </c>
      <c r="C642" t="s">
        <v>123</v>
      </c>
      <c r="D642">
        <v>11</v>
      </c>
      <c r="E642" s="15">
        <v>5696</v>
      </c>
    </row>
    <row r="643" spans="1:5" x14ac:dyDescent="0.2">
      <c r="A643">
        <v>2020</v>
      </c>
      <c r="B643" t="s">
        <v>146</v>
      </c>
      <c r="C643" t="s">
        <v>113</v>
      </c>
      <c r="D643">
        <v>1</v>
      </c>
      <c r="E643" s="15">
        <v>192</v>
      </c>
    </row>
    <row r="644" spans="1:5" x14ac:dyDescent="0.2">
      <c r="A644">
        <v>2020</v>
      </c>
      <c r="B644" t="s">
        <v>146</v>
      </c>
      <c r="C644" t="s">
        <v>114</v>
      </c>
      <c r="D644">
        <v>2</v>
      </c>
      <c r="E644" s="15">
        <v>2144</v>
      </c>
    </row>
    <row r="645" spans="1:5" x14ac:dyDescent="0.2">
      <c r="A645">
        <v>2020</v>
      </c>
      <c r="B645" t="s">
        <v>146</v>
      </c>
      <c r="C645" t="s">
        <v>115</v>
      </c>
      <c r="D645">
        <v>3</v>
      </c>
      <c r="E645" s="15">
        <v>1591</v>
      </c>
    </row>
    <row r="646" spans="1:5" x14ac:dyDescent="0.2">
      <c r="A646">
        <v>2020</v>
      </c>
      <c r="B646" t="s">
        <v>146</v>
      </c>
      <c r="C646" t="s">
        <v>116</v>
      </c>
      <c r="D646">
        <v>4</v>
      </c>
      <c r="E646" s="15">
        <v>869</v>
      </c>
    </row>
    <row r="647" spans="1:5" x14ac:dyDescent="0.2">
      <c r="A647">
        <v>2020</v>
      </c>
      <c r="B647" t="s">
        <v>146</v>
      </c>
      <c r="C647" t="s">
        <v>117</v>
      </c>
      <c r="D647">
        <v>5</v>
      </c>
      <c r="E647" s="15">
        <v>2189</v>
      </c>
    </row>
    <row r="648" spans="1:5" x14ac:dyDescent="0.2">
      <c r="A648">
        <v>2020</v>
      </c>
      <c r="B648" t="s">
        <v>146</v>
      </c>
      <c r="C648" t="s">
        <v>118</v>
      </c>
      <c r="D648">
        <v>6</v>
      </c>
      <c r="E648" s="15">
        <v>3779</v>
      </c>
    </row>
    <row r="649" spans="1:5" x14ac:dyDescent="0.2">
      <c r="A649">
        <v>2020</v>
      </c>
      <c r="B649" t="s">
        <v>146</v>
      </c>
      <c r="C649" t="s">
        <v>119</v>
      </c>
      <c r="D649">
        <v>7</v>
      </c>
      <c r="E649" s="15">
        <v>2756</v>
      </c>
    </row>
    <row r="650" spans="1:5" x14ac:dyDescent="0.2">
      <c r="A650">
        <v>2020</v>
      </c>
      <c r="B650" t="s">
        <v>146</v>
      </c>
      <c r="C650" t="s">
        <v>120</v>
      </c>
      <c r="D650">
        <v>8</v>
      </c>
      <c r="E650" s="15">
        <v>8771</v>
      </c>
    </row>
    <row r="651" spans="1:5" x14ac:dyDescent="0.2">
      <c r="A651">
        <v>2020</v>
      </c>
      <c r="B651" t="s">
        <v>146</v>
      </c>
      <c r="C651" t="s">
        <v>121</v>
      </c>
      <c r="D651">
        <v>9</v>
      </c>
      <c r="E651" s="15">
        <v>8844</v>
      </c>
    </row>
    <row r="652" spans="1:5" x14ac:dyDescent="0.2">
      <c r="A652">
        <v>2020</v>
      </c>
      <c r="B652" t="s">
        <v>146</v>
      </c>
      <c r="C652" t="s">
        <v>122</v>
      </c>
      <c r="D652">
        <v>10</v>
      </c>
      <c r="E652" s="15">
        <v>8383</v>
      </c>
    </row>
    <row r="653" spans="1:5" x14ac:dyDescent="0.2">
      <c r="A653">
        <v>2020</v>
      </c>
      <c r="B653" t="s">
        <v>146</v>
      </c>
      <c r="C653" t="s">
        <v>123</v>
      </c>
      <c r="D653">
        <v>11</v>
      </c>
      <c r="E653" s="15">
        <v>32294</v>
      </c>
    </row>
    <row r="654" spans="1:5" x14ac:dyDescent="0.2">
      <c r="A654">
        <v>2020</v>
      </c>
      <c r="B654" t="s">
        <v>147</v>
      </c>
      <c r="C654" t="s">
        <v>113</v>
      </c>
      <c r="D654">
        <v>1</v>
      </c>
      <c r="E654" s="15">
        <v>428</v>
      </c>
    </row>
    <row r="655" spans="1:5" x14ac:dyDescent="0.2">
      <c r="A655">
        <v>2020</v>
      </c>
      <c r="B655" t="s">
        <v>147</v>
      </c>
      <c r="C655" t="s">
        <v>114</v>
      </c>
      <c r="D655">
        <v>2</v>
      </c>
      <c r="E655" s="15">
        <v>4103</v>
      </c>
    </row>
    <row r="656" spans="1:5" x14ac:dyDescent="0.2">
      <c r="A656">
        <v>2020</v>
      </c>
      <c r="B656" t="s">
        <v>147</v>
      </c>
      <c r="C656" t="s">
        <v>115</v>
      </c>
      <c r="D656">
        <v>3</v>
      </c>
      <c r="E656" s="15">
        <v>3553</v>
      </c>
    </row>
    <row r="657" spans="1:5" x14ac:dyDescent="0.2">
      <c r="A657">
        <v>2020</v>
      </c>
      <c r="B657" t="s">
        <v>147</v>
      </c>
      <c r="C657" t="s">
        <v>116</v>
      </c>
      <c r="D657">
        <v>4</v>
      </c>
      <c r="E657" s="15">
        <v>1580</v>
      </c>
    </row>
    <row r="658" spans="1:5" x14ac:dyDescent="0.2">
      <c r="A658">
        <v>2020</v>
      </c>
      <c r="B658" t="s">
        <v>147</v>
      </c>
      <c r="C658" t="s">
        <v>117</v>
      </c>
      <c r="D658">
        <v>5</v>
      </c>
      <c r="E658" s="15">
        <v>4842</v>
      </c>
    </row>
    <row r="659" spans="1:5" x14ac:dyDescent="0.2">
      <c r="A659">
        <v>2020</v>
      </c>
      <c r="B659" t="s">
        <v>147</v>
      </c>
      <c r="C659" t="s">
        <v>118</v>
      </c>
      <c r="D659">
        <v>6</v>
      </c>
      <c r="E659" s="15">
        <v>7588</v>
      </c>
    </row>
    <row r="660" spans="1:5" x14ac:dyDescent="0.2">
      <c r="A660">
        <v>2020</v>
      </c>
      <c r="B660" t="s">
        <v>147</v>
      </c>
      <c r="C660" t="s">
        <v>119</v>
      </c>
      <c r="D660">
        <v>7</v>
      </c>
      <c r="E660" s="15">
        <v>4730</v>
      </c>
    </row>
    <row r="661" spans="1:5" x14ac:dyDescent="0.2">
      <c r="A661">
        <v>2020</v>
      </c>
      <c r="B661" t="s">
        <v>147</v>
      </c>
      <c r="C661" t="s">
        <v>120</v>
      </c>
      <c r="D661">
        <v>8</v>
      </c>
      <c r="E661" s="15">
        <v>15102</v>
      </c>
    </row>
    <row r="662" spans="1:5" x14ac:dyDescent="0.2">
      <c r="A662">
        <v>2020</v>
      </c>
      <c r="B662" t="s">
        <v>147</v>
      </c>
      <c r="C662" t="s">
        <v>121</v>
      </c>
      <c r="D662">
        <v>9</v>
      </c>
      <c r="E662" s="15">
        <v>16764</v>
      </c>
    </row>
    <row r="663" spans="1:5" x14ac:dyDescent="0.2">
      <c r="A663">
        <v>2020</v>
      </c>
      <c r="B663" t="s">
        <v>147</v>
      </c>
      <c r="C663" t="s">
        <v>122</v>
      </c>
      <c r="D663">
        <v>10</v>
      </c>
      <c r="E663" s="15">
        <v>17068</v>
      </c>
    </row>
    <row r="664" spans="1:5" x14ac:dyDescent="0.2">
      <c r="A664">
        <v>2020</v>
      </c>
      <c r="B664" t="s">
        <v>147</v>
      </c>
      <c r="C664" t="s">
        <v>123</v>
      </c>
      <c r="D664">
        <v>11</v>
      </c>
      <c r="E664" s="15">
        <v>62372</v>
      </c>
    </row>
    <row r="665" spans="1:5" x14ac:dyDescent="0.2">
      <c r="A665">
        <v>2020</v>
      </c>
      <c r="B665" t="s">
        <v>148</v>
      </c>
      <c r="C665" t="s">
        <v>113</v>
      </c>
      <c r="D665">
        <v>1</v>
      </c>
      <c r="E665" s="15">
        <v>103</v>
      </c>
    </row>
    <row r="666" spans="1:5" x14ac:dyDescent="0.2">
      <c r="A666">
        <v>2020</v>
      </c>
      <c r="B666" t="s">
        <v>148</v>
      </c>
      <c r="C666" t="s">
        <v>114</v>
      </c>
      <c r="D666">
        <v>2</v>
      </c>
      <c r="E666" s="15">
        <v>1034</v>
      </c>
    </row>
    <row r="667" spans="1:5" x14ac:dyDescent="0.2">
      <c r="A667">
        <v>2020</v>
      </c>
      <c r="B667" t="s">
        <v>148</v>
      </c>
      <c r="C667" t="s">
        <v>115</v>
      </c>
      <c r="D667">
        <v>3</v>
      </c>
      <c r="E667" s="15">
        <v>689</v>
      </c>
    </row>
    <row r="668" spans="1:5" x14ac:dyDescent="0.2">
      <c r="A668">
        <v>2020</v>
      </c>
      <c r="B668" t="s">
        <v>148</v>
      </c>
      <c r="C668" t="s">
        <v>116</v>
      </c>
      <c r="D668">
        <v>4</v>
      </c>
      <c r="E668" s="15">
        <v>355</v>
      </c>
    </row>
    <row r="669" spans="1:5" x14ac:dyDescent="0.2">
      <c r="A669">
        <v>2020</v>
      </c>
      <c r="B669" t="s">
        <v>148</v>
      </c>
      <c r="C669" t="s">
        <v>117</v>
      </c>
      <c r="D669">
        <v>5</v>
      </c>
      <c r="E669" s="15">
        <v>948</v>
      </c>
    </row>
    <row r="670" spans="1:5" x14ac:dyDescent="0.2">
      <c r="A670">
        <v>2020</v>
      </c>
      <c r="B670" t="s">
        <v>148</v>
      </c>
      <c r="C670" t="s">
        <v>118</v>
      </c>
      <c r="D670">
        <v>6</v>
      </c>
      <c r="E670" s="15">
        <v>1339</v>
      </c>
    </row>
    <row r="671" spans="1:5" x14ac:dyDescent="0.2">
      <c r="A671">
        <v>2020</v>
      </c>
      <c r="B671" t="s">
        <v>148</v>
      </c>
      <c r="C671" t="s">
        <v>119</v>
      </c>
      <c r="D671">
        <v>7</v>
      </c>
      <c r="E671" s="15">
        <v>921</v>
      </c>
    </row>
    <row r="672" spans="1:5" x14ac:dyDescent="0.2">
      <c r="A672">
        <v>2020</v>
      </c>
      <c r="B672" t="s">
        <v>148</v>
      </c>
      <c r="C672" t="s">
        <v>120</v>
      </c>
      <c r="D672">
        <v>8</v>
      </c>
      <c r="E672" s="15">
        <v>3190</v>
      </c>
    </row>
    <row r="673" spans="1:5" x14ac:dyDescent="0.2">
      <c r="A673">
        <v>2020</v>
      </c>
      <c r="B673" t="s">
        <v>148</v>
      </c>
      <c r="C673" t="s">
        <v>121</v>
      </c>
      <c r="D673">
        <v>9</v>
      </c>
      <c r="E673" s="15">
        <v>3594</v>
      </c>
    </row>
    <row r="674" spans="1:5" x14ac:dyDescent="0.2">
      <c r="A674">
        <v>2020</v>
      </c>
      <c r="B674" t="s">
        <v>148</v>
      </c>
      <c r="C674" t="s">
        <v>122</v>
      </c>
      <c r="D674">
        <v>10</v>
      </c>
      <c r="E674" s="15">
        <v>3796</v>
      </c>
    </row>
    <row r="675" spans="1:5" x14ac:dyDescent="0.2">
      <c r="A675">
        <v>2020</v>
      </c>
      <c r="B675" t="s">
        <v>148</v>
      </c>
      <c r="C675" t="s">
        <v>123</v>
      </c>
      <c r="D675">
        <v>11</v>
      </c>
      <c r="E675" s="15">
        <v>12912</v>
      </c>
    </row>
    <row r="676" spans="1:5" x14ac:dyDescent="0.2">
      <c r="A676">
        <v>2020</v>
      </c>
      <c r="B676" t="s">
        <v>149</v>
      </c>
      <c r="C676" t="s">
        <v>113</v>
      </c>
      <c r="D676">
        <v>1</v>
      </c>
      <c r="E676" s="15">
        <v>9</v>
      </c>
    </row>
    <row r="677" spans="1:5" x14ac:dyDescent="0.2">
      <c r="A677">
        <v>2020</v>
      </c>
      <c r="B677" t="s">
        <v>149</v>
      </c>
      <c r="C677" t="s">
        <v>114</v>
      </c>
      <c r="D677">
        <v>2</v>
      </c>
      <c r="E677" s="15">
        <v>116</v>
      </c>
    </row>
    <row r="678" spans="1:5" x14ac:dyDescent="0.2">
      <c r="A678">
        <v>2020</v>
      </c>
      <c r="B678" t="s">
        <v>149</v>
      </c>
      <c r="C678" t="s">
        <v>115</v>
      </c>
      <c r="D678">
        <v>3</v>
      </c>
      <c r="E678" s="15">
        <v>73</v>
      </c>
    </row>
    <row r="679" spans="1:5" x14ac:dyDescent="0.2">
      <c r="A679">
        <v>2020</v>
      </c>
      <c r="B679" t="s">
        <v>149</v>
      </c>
      <c r="C679" t="s">
        <v>116</v>
      </c>
      <c r="D679">
        <v>4</v>
      </c>
      <c r="E679" s="15">
        <v>29</v>
      </c>
    </row>
    <row r="680" spans="1:5" x14ac:dyDescent="0.2">
      <c r="A680">
        <v>2020</v>
      </c>
      <c r="B680" t="s">
        <v>149</v>
      </c>
      <c r="C680" t="s">
        <v>117</v>
      </c>
      <c r="D680">
        <v>5</v>
      </c>
      <c r="E680" s="15">
        <v>119</v>
      </c>
    </row>
    <row r="681" spans="1:5" x14ac:dyDescent="0.2">
      <c r="A681">
        <v>2020</v>
      </c>
      <c r="B681" t="s">
        <v>149</v>
      </c>
      <c r="C681" t="s">
        <v>118</v>
      </c>
      <c r="D681">
        <v>6</v>
      </c>
      <c r="E681" s="15">
        <v>132</v>
      </c>
    </row>
    <row r="682" spans="1:5" x14ac:dyDescent="0.2">
      <c r="A682">
        <v>2020</v>
      </c>
      <c r="B682" t="s">
        <v>149</v>
      </c>
      <c r="C682" t="s">
        <v>119</v>
      </c>
      <c r="D682">
        <v>7</v>
      </c>
      <c r="E682" s="15">
        <v>66</v>
      </c>
    </row>
    <row r="683" spans="1:5" x14ac:dyDescent="0.2">
      <c r="A683">
        <v>2020</v>
      </c>
      <c r="B683" t="s">
        <v>149</v>
      </c>
      <c r="C683" t="s">
        <v>120</v>
      </c>
      <c r="D683">
        <v>8</v>
      </c>
      <c r="E683" s="15">
        <v>343</v>
      </c>
    </row>
    <row r="684" spans="1:5" x14ac:dyDescent="0.2">
      <c r="A684">
        <v>2020</v>
      </c>
      <c r="B684" t="s">
        <v>149</v>
      </c>
      <c r="C684" t="s">
        <v>121</v>
      </c>
      <c r="D684">
        <v>9</v>
      </c>
      <c r="E684" s="15">
        <v>319</v>
      </c>
    </row>
    <row r="685" spans="1:5" x14ac:dyDescent="0.2">
      <c r="A685">
        <v>2020</v>
      </c>
      <c r="B685" t="s">
        <v>149</v>
      </c>
      <c r="C685" t="s">
        <v>122</v>
      </c>
      <c r="D685">
        <v>10</v>
      </c>
      <c r="E685" s="15">
        <v>306</v>
      </c>
    </row>
    <row r="686" spans="1:5" x14ac:dyDescent="0.2">
      <c r="A686">
        <v>2020</v>
      </c>
      <c r="B686" t="s">
        <v>149</v>
      </c>
      <c r="C686" t="s">
        <v>123</v>
      </c>
      <c r="D686">
        <v>11</v>
      </c>
      <c r="E686" s="15">
        <v>467</v>
      </c>
    </row>
    <row r="687" spans="1:5" x14ac:dyDescent="0.2">
      <c r="A687">
        <v>2020</v>
      </c>
      <c r="B687" t="s">
        <v>150</v>
      </c>
      <c r="C687" t="s">
        <v>113</v>
      </c>
      <c r="D687">
        <v>1</v>
      </c>
      <c r="E687" s="15">
        <v>30</v>
      </c>
    </row>
    <row r="688" spans="1:5" x14ac:dyDescent="0.2">
      <c r="A688">
        <v>2020</v>
      </c>
      <c r="B688" t="s">
        <v>150</v>
      </c>
      <c r="C688" t="s">
        <v>114</v>
      </c>
      <c r="D688">
        <v>2</v>
      </c>
      <c r="E688" s="15">
        <v>446</v>
      </c>
    </row>
    <row r="689" spans="1:5" x14ac:dyDescent="0.2">
      <c r="A689">
        <v>2020</v>
      </c>
      <c r="B689" t="s">
        <v>150</v>
      </c>
      <c r="C689" t="s">
        <v>115</v>
      </c>
      <c r="D689">
        <v>3</v>
      </c>
      <c r="E689" s="15">
        <v>344</v>
      </c>
    </row>
    <row r="690" spans="1:5" x14ac:dyDescent="0.2">
      <c r="A690">
        <v>2020</v>
      </c>
      <c r="B690" t="s">
        <v>150</v>
      </c>
      <c r="C690" t="s">
        <v>116</v>
      </c>
      <c r="D690">
        <v>4</v>
      </c>
      <c r="E690" s="15">
        <v>146</v>
      </c>
    </row>
    <row r="691" spans="1:5" x14ac:dyDescent="0.2">
      <c r="A691">
        <v>2020</v>
      </c>
      <c r="B691" t="s">
        <v>150</v>
      </c>
      <c r="C691" t="s">
        <v>117</v>
      </c>
      <c r="D691">
        <v>5</v>
      </c>
      <c r="E691" s="15">
        <v>361</v>
      </c>
    </row>
    <row r="692" spans="1:5" x14ac:dyDescent="0.2">
      <c r="A692">
        <v>2020</v>
      </c>
      <c r="B692" t="s">
        <v>150</v>
      </c>
      <c r="C692" t="s">
        <v>118</v>
      </c>
      <c r="D692">
        <v>6</v>
      </c>
      <c r="E692" s="15">
        <v>620</v>
      </c>
    </row>
    <row r="693" spans="1:5" x14ac:dyDescent="0.2">
      <c r="A693">
        <v>2020</v>
      </c>
      <c r="B693" t="s">
        <v>150</v>
      </c>
      <c r="C693" t="s">
        <v>119</v>
      </c>
      <c r="D693">
        <v>7</v>
      </c>
      <c r="E693" s="15">
        <v>548</v>
      </c>
    </row>
    <row r="694" spans="1:5" x14ac:dyDescent="0.2">
      <c r="A694">
        <v>2020</v>
      </c>
      <c r="B694" t="s">
        <v>150</v>
      </c>
      <c r="C694" t="s">
        <v>120</v>
      </c>
      <c r="D694">
        <v>8</v>
      </c>
      <c r="E694" s="15">
        <v>2138</v>
      </c>
    </row>
    <row r="695" spans="1:5" x14ac:dyDescent="0.2">
      <c r="A695">
        <v>2020</v>
      </c>
      <c r="B695" t="s">
        <v>150</v>
      </c>
      <c r="C695" t="s">
        <v>121</v>
      </c>
      <c r="D695">
        <v>9</v>
      </c>
      <c r="E695" s="15">
        <v>1845</v>
      </c>
    </row>
    <row r="696" spans="1:5" x14ac:dyDescent="0.2">
      <c r="A696">
        <v>2020</v>
      </c>
      <c r="B696" t="s">
        <v>150</v>
      </c>
      <c r="C696" t="s">
        <v>122</v>
      </c>
      <c r="D696">
        <v>10</v>
      </c>
      <c r="E696" s="15">
        <v>1673</v>
      </c>
    </row>
    <row r="697" spans="1:5" x14ac:dyDescent="0.2">
      <c r="A697">
        <v>2020</v>
      </c>
      <c r="B697" t="s">
        <v>150</v>
      </c>
      <c r="C697" t="s">
        <v>123</v>
      </c>
      <c r="D697">
        <v>11</v>
      </c>
      <c r="E697" s="15">
        <v>3642</v>
      </c>
    </row>
    <row r="698" spans="1:5" x14ac:dyDescent="0.2">
      <c r="A698">
        <v>2020</v>
      </c>
      <c r="B698" t="s">
        <v>151</v>
      </c>
      <c r="C698" t="s">
        <v>113</v>
      </c>
      <c r="D698">
        <v>1</v>
      </c>
      <c r="E698" s="15">
        <v>119</v>
      </c>
    </row>
    <row r="699" spans="1:5" x14ac:dyDescent="0.2">
      <c r="A699">
        <v>2020</v>
      </c>
      <c r="B699" t="s">
        <v>151</v>
      </c>
      <c r="C699" t="s">
        <v>114</v>
      </c>
      <c r="D699">
        <v>2</v>
      </c>
      <c r="E699" s="15">
        <v>1722</v>
      </c>
    </row>
    <row r="700" spans="1:5" x14ac:dyDescent="0.2">
      <c r="A700">
        <v>2020</v>
      </c>
      <c r="B700" t="s">
        <v>151</v>
      </c>
      <c r="C700" t="s">
        <v>115</v>
      </c>
      <c r="D700">
        <v>3</v>
      </c>
      <c r="E700" s="15">
        <v>1221</v>
      </c>
    </row>
    <row r="701" spans="1:5" x14ac:dyDescent="0.2">
      <c r="A701">
        <v>2020</v>
      </c>
      <c r="B701" t="s">
        <v>151</v>
      </c>
      <c r="C701" t="s">
        <v>116</v>
      </c>
      <c r="D701">
        <v>4</v>
      </c>
      <c r="E701" s="15">
        <v>578</v>
      </c>
    </row>
    <row r="702" spans="1:5" x14ac:dyDescent="0.2">
      <c r="A702">
        <v>2020</v>
      </c>
      <c r="B702" t="s">
        <v>151</v>
      </c>
      <c r="C702" t="s">
        <v>117</v>
      </c>
      <c r="D702">
        <v>5</v>
      </c>
      <c r="E702" s="15">
        <v>1542</v>
      </c>
    </row>
    <row r="703" spans="1:5" x14ac:dyDescent="0.2">
      <c r="A703">
        <v>2020</v>
      </c>
      <c r="B703" t="s">
        <v>151</v>
      </c>
      <c r="C703" t="s">
        <v>118</v>
      </c>
      <c r="D703">
        <v>6</v>
      </c>
      <c r="E703" s="15">
        <v>2481</v>
      </c>
    </row>
    <row r="704" spans="1:5" x14ac:dyDescent="0.2">
      <c r="A704">
        <v>2020</v>
      </c>
      <c r="B704" t="s">
        <v>151</v>
      </c>
      <c r="C704" t="s">
        <v>119</v>
      </c>
      <c r="D704">
        <v>7</v>
      </c>
      <c r="E704" s="15">
        <v>1824</v>
      </c>
    </row>
    <row r="705" spans="1:5" x14ac:dyDescent="0.2">
      <c r="A705">
        <v>2020</v>
      </c>
      <c r="B705" t="s">
        <v>151</v>
      </c>
      <c r="C705" t="s">
        <v>120</v>
      </c>
      <c r="D705">
        <v>8</v>
      </c>
      <c r="E705" s="15">
        <v>6526</v>
      </c>
    </row>
    <row r="706" spans="1:5" x14ac:dyDescent="0.2">
      <c r="A706">
        <v>2020</v>
      </c>
      <c r="B706" t="s">
        <v>151</v>
      </c>
      <c r="C706" t="s">
        <v>121</v>
      </c>
      <c r="D706">
        <v>9</v>
      </c>
      <c r="E706" s="15">
        <v>6632</v>
      </c>
    </row>
    <row r="707" spans="1:5" x14ac:dyDescent="0.2">
      <c r="A707">
        <v>2020</v>
      </c>
      <c r="B707" t="s">
        <v>151</v>
      </c>
      <c r="C707" t="s">
        <v>122</v>
      </c>
      <c r="D707">
        <v>10</v>
      </c>
      <c r="E707" s="15">
        <v>6164</v>
      </c>
    </row>
    <row r="708" spans="1:5" x14ac:dyDescent="0.2">
      <c r="A708">
        <v>2020</v>
      </c>
      <c r="B708" t="s">
        <v>151</v>
      </c>
      <c r="C708" t="s">
        <v>123</v>
      </c>
      <c r="D708">
        <v>11</v>
      </c>
      <c r="E708" s="15">
        <v>21901</v>
      </c>
    </row>
    <row r="709" spans="1:5" x14ac:dyDescent="0.2">
      <c r="A709">
        <v>2020</v>
      </c>
      <c r="B709" t="s">
        <v>152</v>
      </c>
      <c r="C709" t="s">
        <v>113</v>
      </c>
      <c r="D709">
        <v>1</v>
      </c>
      <c r="E709" s="15">
        <v>0</v>
      </c>
    </row>
    <row r="710" spans="1:5" x14ac:dyDescent="0.2">
      <c r="A710">
        <v>2020</v>
      </c>
      <c r="B710" t="s">
        <v>152</v>
      </c>
      <c r="C710" t="s">
        <v>114</v>
      </c>
      <c r="D710">
        <v>2</v>
      </c>
      <c r="E710" s="15">
        <v>40</v>
      </c>
    </row>
    <row r="711" spans="1:5" x14ac:dyDescent="0.2">
      <c r="A711">
        <v>2020</v>
      </c>
      <c r="B711" t="s">
        <v>152</v>
      </c>
      <c r="C711" t="s">
        <v>115</v>
      </c>
      <c r="D711">
        <v>3</v>
      </c>
      <c r="E711" s="15">
        <v>117</v>
      </c>
    </row>
    <row r="712" spans="1:5" x14ac:dyDescent="0.2">
      <c r="A712">
        <v>2020</v>
      </c>
      <c r="B712" t="s">
        <v>152</v>
      </c>
      <c r="C712" t="s">
        <v>116</v>
      </c>
      <c r="D712">
        <v>4</v>
      </c>
      <c r="E712" s="15">
        <v>135</v>
      </c>
    </row>
    <row r="713" spans="1:5" x14ac:dyDescent="0.2">
      <c r="A713">
        <v>2020</v>
      </c>
      <c r="B713" t="s">
        <v>152</v>
      </c>
      <c r="C713" t="s">
        <v>117</v>
      </c>
      <c r="D713">
        <v>5</v>
      </c>
      <c r="E713" s="15">
        <v>742</v>
      </c>
    </row>
    <row r="714" spans="1:5" x14ac:dyDescent="0.2">
      <c r="A714">
        <v>2020</v>
      </c>
      <c r="B714" t="s">
        <v>152</v>
      </c>
      <c r="C714" t="s">
        <v>118</v>
      </c>
      <c r="D714">
        <v>6</v>
      </c>
      <c r="E714" s="15">
        <v>2367</v>
      </c>
    </row>
    <row r="715" spans="1:5" x14ac:dyDescent="0.2">
      <c r="A715">
        <v>2020</v>
      </c>
      <c r="B715" t="s">
        <v>152</v>
      </c>
      <c r="C715" t="s">
        <v>119</v>
      </c>
      <c r="D715">
        <v>7</v>
      </c>
      <c r="E715" s="15">
        <v>1763</v>
      </c>
    </row>
    <row r="716" spans="1:5" x14ac:dyDescent="0.2">
      <c r="A716">
        <v>2020</v>
      </c>
      <c r="B716" t="s">
        <v>152</v>
      </c>
      <c r="C716" t="s">
        <v>120</v>
      </c>
      <c r="D716">
        <v>8</v>
      </c>
      <c r="E716" s="15">
        <v>5184</v>
      </c>
    </row>
    <row r="717" spans="1:5" x14ac:dyDescent="0.2">
      <c r="A717">
        <v>2020</v>
      </c>
      <c r="B717" t="s">
        <v>152</v>
      </c>
      <c r="C717" t="s">
        <v>121</v>
      </c>
      <c r="D717">
        <v>9</v>
      </c>
      <c r="E717" s="15">
        <v>4002</v>
      </c>
    </row>
    <row r="718" spans="1:5" x14ac:dyDescent="0.2">
      <c r="A718">
        <v>2020</v>
      </c>
      <c r="B718" t="s">
        <v>152</v>
      </c>
      <c r="C718" t="s">
        <v>122</v>
      </c>
      <c r="D718">
        <v>10</v>
      </c>
      <c r="E718" s="15">
        <v>3260</v>
      </c>
    </row>
    <row r="719" spans="1:5" x14ac:dyDescent="0.2">
      <c r="A719">
        <v>2020</v>
      </c>
      <c r="B719" t="s">
        <v>152</v>
      </c>
      <c r="C719" t="s">
        <v>123</v>
      </c>
      <c r="D719">
        <v>11</v>
      </c>
      <c r="E719" s="15">
        <v>5672</v>
      </c>
    </row>
    <row r="720" spans="1:5" x14ac:dyDescent="0.2">
      <c r="A720">
        <v>2021</v>
      </c>
      <c r="B720" t="s">
        <v>140</v>
      </c>
      <c r="C720" t="s">
        <v>113</v>
      </c>
      <c r="D720">
        <v>1</v>
      </c>
      <c r="E720" s="15">
        <v>302</v>
      </c>
    </row>
    <row r="721" spans="1:5" x14ac:dyDescent="0.2">
      <c r="A721">
        <v>2021</v>
      </c>
      <c r="B721" t="s">
        <v>140</v>
      </c>
      <c r="C721" t="s">
        <v>114</v>
      </c>
      <c r="D721">
        <v>2</v>
      </c>
      <c r="E721" s="15">
        <v>3542</v>
      </c>
    </row>
    <row r="722" spans="1:5" x14ac:dyDescent="0.2">
      <c r="A722">
        <v>2021</v>
      </c>
      <c r="B722" t="s">
        <v>140</v>
      </c>
      <c r="C722" t="s">
        <v>115</v>
      </c>
      <c r="D722">
        <v>3</v>
      </c>
      <c r="E722" s="15">
        <v>2632</v>
      </c>
    </row>
    <row r="723" spans="1:5" x14ac:dyDescent="0.2">
      <c r="A723">
        <v>2021</v>
      </c>
      <c r="B723" t="s">
        <v>140</v>
      </c>
      <c r="C723" t="s">
        <v>116</v>
      </c>
      <c r="D723">
        <v>4</v>
      </c>
      <c r="E723" s="15">
        <v>1070</v>
      </c>
    </row>
    <row r="724" spans="1:5" x14ac:dyDescent="0.2">
      <c r="A724">
        <v>2021</v>
      </c>
      <c r="B724" t="s">
        <v>140</v>
      </c>
      <c r="C724" t="s">
        <v>117</v>
      </c>
      <c r="D724">
        <v>5</v>
      </c>
      <c r="E724" s="15">
        <v>3359</v>
      </c>
    </row>
    <row r="725" spans="1:5" x14ac:dyDescent="0.2">
      <c r="A725">
        <v>2021</v>
      </c>
      <c r="B725" t="s">
        <v>140</v>
      </c>
      <c r="C725" t="s">
        <v>118</v>
      </c>
      <c r="D725">
        <v>6</v>
      </c>
      <c r="E725" s="15">
        <v>3910</v>
      </c>
    </row>
    <row r="726" spans="1:5" x14ac:dyDescent="0.2">
      <c r="A726">
        <v>2021</v>
      </c>
      <c r="B726" t="s">
        <v>140</v>
      </c>
      <c r="C726" t="s">
        <v>119</v>
      </c>
      <c r="D726">
        <v>7</v>
      </c>
      <c r="E726" s="15">
        <v>2298</v>
      </c>
    </row>
    <row r="727" spans="1:5" x14ac:dyDescent="0.2">
      <c r="A727">
        <v>2021</v>
      </c>
      <c r="B727" t="s">
        <v>140</v>
      </c>
      <c r="C727" t="s">
        <v>120</v>
      </c>
      <c r="D727">
        <v>8</v>
      </c>
      <c r="E727" s="15">
        <v>7163</v>
      </c>
    </row>
    <row r="728" spans="1:5" x14ac:dyDescent="0.2">
      <c r="A728">
        <v>2021</v>
      </c>
      <c r="B728" t="s">
        <v>140</v>
      </c>
      <c r="C728" t="s">
        <v>121</v>
      </c>
      <c r="D728">
        <v>9</v>
      </c>
      <c r="E728" s="15">
        <v>7894</v>
      </c>
    </row>
    <row r="729" spans="1:5" x14ac:dyDescent="0.2">
      <c r="A729">
        <v>2021</v>
      </c>
      <c r="B729" t="s">
        <v>140</v>
      </c>
      <c r="C729" t="s">
        <v>122</v>
      </c>
      <c r="D729">
        <v>10</v>
      </c>
      <c r="E729" s="15">
        <v>9500</v>
      </c>
    </row>
    <row r="730" spans="1:5" x14ac:dyDescent="0.2">
      <c r="A730">
        <v>2021</v>
      </c>
      <c r="B730" t="s">
        <v>140</v>
      </c>
      <c r="C730" t="s">
        <v>123</v>
      </c>
      <c r="D730">
        <v>11</v>
      </c>
      <c r="E730" s="15">
        <v>34799</v>
      </c>
    </row>
    <row r="731" spans="1:5" x14ac:dyDescent="0.2">
      <c r="A731">
        <v>2021</v>
      </c>
      <c r="B731" t="s">
        <v>141</v>
      </c>
      <c r="C731" t="s">
        <v>113</v>
      </c>
      <c r="D731">
        <v>1</v>
      </c>
      <c r="E731" s="15">
        <v>575</v>
      </c>
    </row>
    <row r="732" spans="1:5" x14ac:dyDescent="0.2">
      <c r="A732">
        <v>2021</v>
      </c>
      <c r="B732" t="s">
        <v>141</v>
      </c>
      <c r="C732" t="s">
        <v>114</v>
      </c>
      <c r="D732">
        <v>2</v>
      </c>
      <c r="E732" s="15">
        <v>5308</v>
      </c>
    </row>
    <row r="733" spans="1:5" x14ac:dyDescent="0.2">
      <c r="A733">
        <v>2021</v>
      </c>
      <c r="B733" t="s">
        <v>141</v>
      </c>
      <c r="C733" t="s">
        <v>115</v>
      </c>
      <c r="D733">
        <v>3</v>
      </c>
      <c r="E733" s="15">
        <v>3619</v>
      </c>
    </row>
    <row r="734" spans="1:5" x14ac:dyDescent="0.2">
      <c r="A734">
        <v>2021</v>
      </c>
      <c r="B734" t="s">
        <v>141</v>
      </c>
      <c r="C734" t="s">
        <v>116</v>
      </c>
      <c r="D734">
        <v>4</v>
      </c>
      <c r="E734" s="15">
        <v>1621</v>
      </c>
    </row>
    <row r="735" spans="1:5" x14ac:dyDescent="0.2">
      <c r="A735">
        <v>2021</v>
      </c>
      <c r="B735" t="s">
        <v>141</v>
      </c>
      <c r="C735" t="s">
        <v>117</v>
      </c>
      <c r="D735">
        <v>5</v>
      </c>
      <c r="E735" s="15">
        <v>5571</v>
      </c>
    </row>
    <row r="736" spans="1:5" x14ac:dyDescent="0.2">
      <c r="A736">
        <v>2021</v>
      </c>
      <c r="B736" t="s">
        <v>141</v>
      </c>
      <c r="C736" t="s">
        <v>118</v>
      </c>
      <c r="D736">
        <v>6</v>
      </c>
      <c r="E736" s="15">
        <v>9436</v>
      </c>
    </row>
    <row r="737" spans="1:5" x14ac:dyDescent="0.2">
      <c r="A737">
        <v>2021</v>
      </c>
      <c r="B737" t="s">
        <v>141</v>
      </c>
      <c r="C737" t="s">
        <v>119</v>
      </c>
      <c r="D737">
        <v>7</v>
      </c>
      <c r="E737" s="15">
        <v>5589</v>
      </c>
    </row>
    <row r="738" spans="1:5" x14ac:dyDescent="0.2">
      <c r="A738">
        <v>2021</v>
      </c>
      <c r="B738" t="s">
        <v>141</v>
      </c>
      <c r="C738" t="s">
        <v>120</v>
      </c>
      <c r="D738">
        <v>8</v>
      </c>
      <c r="E738" s="15">
        <v>17255</v>
      </c>
    </row>
    <row r="739" spans="1:5" x14ac:dyDescent="0.2">
      <c r="A739">
        <v>2021</v>
      </c>
      <c r="B739" t="s">
        <v>141</v>
      </c>
      <c r="C739" t="s">
        <v>121</v>
      </c>
      <c r="D739">
        <v>9</v>
      </c>
      <c r="E739" s="15">
        <v>16948</v>
      </c>
    </row>
    <row r="740" spans="1:5" x14ac:dyDescent="0.2">
      <c r="A740">
        <v>2021</v>
      </c>
      <c r="B740" t="s">
        <v>141</v>
      </c>
      <c r="C740" t="s">
        <v>122</v>
      </c>
      <c r="D740">
        <v>10</v>
      </c>
      <c r="E740" s="15">
        <v>18399</v>
      </c>
    </row>
    <row r="741" spans="1:5" x14ac:dyDescent="0.2">
      <c r="A741">
        <v>2021</v>
      </c>
      <c r="B741" t="s">
        <v>141</v>
      </c>
      <c r="C741" t="s">
        <v>123</v>
      </c>
      <c r="D741">
        <v>11</v>
      </c>
      <c r="E741" s="15">
        <v>60270</v>
      </c>
    </row>
    <row r="742" spans="1:5" x14ac:dyDescent="0.2">
      <c r="A742">
        <v>2021</v>
      </c>
      <c r="B742" t="s">
        <v>142</v>
      </c>
      <c r="C742" t="s">
        <v>113</v>
      </c>
      <c r="D742">
        <v>1</v>
      </c>
      <c r="E742" s="15">
        <v>77</v>
      </c>
    </row>
    <row r="743" spans="1:5" x14ac:dyDescent="0.2">
      <c r="A743">
        <v>2021</v>
      </c>
      <c r="B743" t="s">
        <v>142</v>
      </c>
      <c r="C743" t="s">
        <v>114</v>
      </c>
      <c r="D743">
        <v>2</v>
      </c>
      <c r="E743" s="15">
        <v>1007</v>
      </c>
    </row>
    <row r="744" spans="1:5" x14ac:dyDescent="0.2">
      <c r="A744">
        <v>2021</v>
      </c>
      <c r="B744" t="s">
        <v>142</v>
      </c>
      <c r="C744" t="s">
        <v>115</v>
      </c>
      <c r="D744">
        <v>3</v>
      </c>
      <c r="E744" s="15">
        <v>802</v>
      </c>
    </row>
    <row r="745" spans="1:5" x14ac:dyDescent="0.2">
      <c r="A745">
        <v>2021</v>
      </c>
      <c r="B745" t="s">
        <v>142</v>
      </c>
      <c r="C745" t="s">
        <v>116</v>
      </c>
      <c r="D745">
        <v>4</v>
      </c>
      <c r="E745" s="15">
        <v>263</v>
      </c>
    </row>
    <row r="746" spans="1:5" x14ac:dyDescent="0.2">
      <c r="A746">
        <v>2021</v>
      </c>
      <c r="B746" t="s">
        <v>142</v>
      </c>
      <c r="C746" t="s">
        <v>117</v>
      </c>
      <c r="D746">
        <v>5</v>
      </c>
      <c r="E746" s="15">
        <v>794</v>
      </c>
    </row>
    <row r="747" spans="1:5" x14ac:dyDescent="0.2">
      <c r="A747">
        <v>2021</v>
      </c>
      <c r="B747" t="s">
        <v>142</v>
      </c>
      <c r="C747" t="s">
        <v>118</v>
      </c>
      <c r="D747">
        <v>6</v>
      </c>
      <c r="E747" s="15">
        <v>1529</v>
      </c>
    </row>
    <row r="748" spans="1:5" x14ac:dyDescent="0.2">
      <c r="A748">
        <v>2021</v>
      </c>
      <c r="B748" t="s">
        <v>142</v>
      </c>
      <c r="C748" t="s">
        <v>119</v>
      </c>
      <c r="D748">
        <v>7</v>
      </c>
      <c r="E748" s="15">
        <v>1137</v>
      </c>
    </row>
    <row r="749" spans="1:5" x14ac:dyDescent="0.2">
      <c r="A749">
        <v>2021</v>
      </c>
      <c r="B749" t="s">
        <v>142</v>
      </c>
      <c r="C749" t="s">
        <v>120</v>
      </c>
      <c r="D749">
        <v>8</v>
      </c>
      <c r="E749" s="15">
        <v>3774</v>
      </c>
    </row>
    <row r="750" spans="1:5" x14ac:dyDescent="0.2">
      <c r="A750">
        <v>2021</v>
      </c>
      <c r="B750" t="s">
        <v>142</v>
      </c>
      <c r="C750" t="s">
        <v>121</v>
      </c>
      <c r="D750">
        <v>9</v>
      </c>
      <c r="E750" s="15">
        <v>3532</v>
      </c>
    </row>
    <row r="751" spans="1:5" x14ac:dyDescent="0.2">
      <c r="A751">
        <v>2021</v>
      </c>
      <c r="B751" t="s">
        <v>142</v>
      </c>
      <c r="C751" t="s">
        <v>122</v>
      </c>
      <c r="D751">
        <v>10</v>
      </c>
      <c r="E751" s="15">
        <v>3818</v>
      </c>
    </row>
    <row r="752" spans="1:5" x14ac:dyDescent="0.2">
      <c r="A752">
        <v>2021</v>
      </c>
      <c r="B752" t="s">
        <v>142</v>
      </c>
      <c r="C752" t="s">
        <v>123</v>
      </c>
      <c r="D752">
        <v>11</v>
      </c>
      <c r="E752" s="15">
        <v>10013</v>
      </c>
    </row>
    <row r="753" spans="1:5" x14ac:dyDescent="0.2">
      <c r="A753">
        <v>2021</v>
      </c>
      <c r="B753" t="s">
        <v>143</v>
      </c>
      <c r="C753" t="s">
        <v>113</v>
      </c>
      <c r="D753">
        <v>1</v>
      </c>
      <c r="E753" s="15">
        <v>79</v>
      </c>
    </row>
    <row r="754" spans="1:5" x14ac:dyDescent="0.2">
      <c r="A754">
        <v>2021</v>
      </c>
      <c r="B754" t="s">
        <v>143</v>
      </c>
      <c r="C754" t="s">
        <v>114</v>
      </c>
      <c r="D754">
        <v>2</v>
      </c>
      <c r="E754" s="15">
        <v>1138</v>
      </c>
    </row>
    <row r="755" spans="1:5" x14ac:dyDescent="0.2">
      <c r="A755">
        <v>2021</v>
      </c>
      <c r="B755" t="s">
        <v>143</v>
      </c>
      <c r="C755" t="s">
        <v>115</v>
      </c>
      <c r="D755">
        <v>3</v>
      </c>
      <c r="E755" s="15">
        <v>1003</v>
      </c>
    </row>
    <row r="756" spans="1:5" x14ac:dyDescent="0.2">
      <c r="A756">
        <v>2021</v>
      </c>
      <c r="B756" t="s">
        <v>143</v>
      </c>
      <c r="C756" t="s">
        <v>116</v>
      </c>
      <c r="D756">
        <v>4</v>
      </c>
      <c r="E756" s="15">
        <v>399</v>
      </c>
    </row>
    <row r="757" spans="1:5" x14ac:dyDescent="0.2">
      <c r="A757">
        <v>2021</v>
      </c>
      <c r="B757" t="s">
        <v>143</v>
      </c>
      <c r="C757" t="s">
        <v>117</v>
      </c>
      <c r="D757">
        <v>5</v>
      </c>
      <c r="E757" s="15">
        <v>1027</v>
      </c>
    </row>
    <row r="758" spans="1:5" x14ac:dyDescent="0.2">
      <c r="A758">
        <v>2021</v>
      </c>
      <c r="B758" t="s">
        <v>143</v>
      </c>
      <c r="C758" t="s">
        <v>118</v>
      </c>
      <c r="D758">
        <v>6</v>
      </c>
      <c r="E758" s="15">
        <v>1128</v>
      </c>
    </row>
    <row r="759" spans="1:5" x14ac:dyDescent="0.2">
      <c r="A759">
        <v>2021</v>
      </c>
      <c r="B759" t="s">
        <v>143</v>
      </c>
      <c r="C759" t="s">
        <v>119</v>
      </c>
      <c r="D759">
        <v>7</v>
      </c>
      <c r="E759" s="15">
        <v>553</v>
      </c>
    </row>
    <row r="760" spans="1:5" x14ac:dyDescent="0.2">
      <c r="A760">
        <v>2021</v>
      </c>
      <c r="B760" t="s">
        <v>143</v>
      </c>
      <c r="C760" t="s">
        <v>120</v>
      </c>
      <c r="D760">
        <v>8</v>
      </c>
      <c r="E760" s="15">
        <v>2220</v>
      </c>
    </row>
    <row r="761" spans="1:5" x14ac:dyDescent="0.2">
      <c r="A761">
        <v>2021</v>
      </c>
      <c r="B761" t="s">
        <v>143</v>
      </c>
      <c r="C761" t="s">
        <v>121</v>
      </c>
      <c r="D761">
        <v>9</v>
      </c>
      <c r="E761" s="15">
        <v>2419</v>
      </c>
    </row>
    <row r="762" spans="1:5" x14ac:dyDescent="0.2">
      <c r="A762">
        <v>2021</v>
      </c>
      <c r="B762" t="s">
        <v>143</v>
      </c>
      <c r="C762" t="s">
        <v>122</v>
      </c>
      <c r="D762">
        <v>10</v>
      </c>
      <c r="E762" s="15">
        <v>2446</v>
      </c>
    </row>
    <row r="763" spans="1:5" x14ac:dyDescent="0.2">
      <c r="A763">
        <v>2021</v>
      </c>
      <c r="B763" t="s">
        <v>143</v>
      </c>
      <c r="C763" t="s">
        <v>123</v>
      </c>
      <c r="D763">
        <v>11</v>
      </c>
      <c r="E763" s="15">
        <v>9030</v>
      </c>
    </row>
    <row r="764" spans="1:5" x14ac:dyDescent="0.2">
      <c r="A764">
        <v>2021</v>
      </c>
      <c r="B764" t="s">
        <v>144</v>
      </c>
      <c r="C764" t="s">
        <v>113</v>
      </c>
      <c r="D764">
        <v>1</v>
      </c>
      <c r="E764" s="15">
        <v>157</v>
      </c>
    </row>
    <row r="765" spans="1:5" x14ac:dyDescent="0.2">
      <c r="A765">
        <v>2021</v>
      </c>
      <c r="B765" t="s">
        <v>144</v>
      </c>
      <c r="C765" t="s">
        <v>114</v>
      </c>
      <c r="D765">
        <v>2</v>
      </c>
      <c r="E765" s="15">
        <v>2267</v>
      </c>
    </row>
    <row r="766" spans="1:5" x14ac:dyDescent="0.2">
      <c r="A766">
        <v>2021</v>
      </c>
      <c r="B766" t="s">
        <v>144</v>
      </c>
      <c r="C766" t="s">
        <v>115</v>
      </c>
      <c r="D766">
        <v>3</v>
      </c>
      <c r="E766" s="15">
        <v>1472</v>
      </c>
    </row>
    <row r="767" spans="1:5" x14ac:dyDescent="0.2">
      <c r="A767">
        <v>2021</v>
      </c>
      <c r="B767" t="s">
        <v>144</v>
      </c>
      <c r="C767" t="s">
        <v>116</v>
      </c>
      <c r="D767">
        <v>4</v>
      </c>
      <c r="E767" s="15">
        <v>592</v>
      </c>
    </row>
    <row r="768" spans="1:5" x14ac:dyDescent="0.2">
      <c r="A768">
        <v>2021</v>
      </c>
      <c r="B768" t="s">
        <v>144</v>
      </c>
      <c r="C768" t="s">
        <v>117</v>
      </c>
      <c r="D768">
        <v>5</v>
      </c>
      <c r="E768" s="15">
        <v>1810</v>
      </c>
    </row>
    <row r="769" spans="1:5" x14ac:dyDescent="0.2">
      <c r="A769">
        <v>2021</v>
      </c>
      <c r="B769" t="s">
        <v>144</v>
      </c>
      <c r="C769" t="s">
        <v>118</v>
      </c>
      <c r="D769">
        <v>6</v>
      </c>
      <c r="E769" s="15">
        <v>2400</v>
      </c>
    </row>
    <row r="770" spans="1:5" x14ac:dyDescent="0.2">
      <c r="A770">
        <v>2021</v>
      </c>
      <c r="B770" t="s">
        <v>144</v>
      </c>
      <c r="C770" t="s">
        <v>119</v>
      </c>
      <c r="D770">
        <v>7</v>
      </c>
      <c r="E770" s="15">
        <v>1589</v>
      </c>
    </row>
    <row r="771" spans="1:5" x14ac:dyDescent="0.2">
      <c r="A771">
        <v>2021</v>
      </c>
      <c r="B771" t="s">
        <v>144</v>
      </c>
      <c r="C771" t="s">
        <v>120</v>
      </c>
      <c r="D771">
        <v>8</v>
      </c>
      <c r="E771" s="15">
        <v>5529</v>
      </c>
    </row>
    <row r="772" spans="1:5" x14ac:dyDescent="0.2">
      <c r="A772">
        <v>2021</v>
      </c>
      <c r="B772" t="s">
        <v>144</v>
      </c>
      <c r="C772" t="s">
        <v>121</v>
      </c>
      <c r="D772">
        <v>9</v>
      </c>
      <c r="E772" s="15">
        <v>5663</v>
      </c>
    </row>
    <row r="773" spans="1:5" x14ac:dyDescent="0.2">
      <c r="A773">
        <v>2021</v>
      </c>
      <c r="B773" t="s">
        <v>144</v>
      </c>
      <c r="C773" t="s">
        <v>122</v>
      </c>
      <c r="D773">
        <v>10</v>
      </c>
      <c r="E773" s="15">
        <v>6194</v>
      </c>
    </row>
    <row r="774" spans="1:5" x14ac:dyDescent="0.2">
      <c r="A774">
        <v>2021</v>
      </c>
      <c r="B774" t="s">
        <v>144</v>
      </c>
      <c r="C774" t="s">
        <v>123</v>
      </c>
      <c r="D774">
        <v>11</v>
      </c>
      <c r="E774" s="15">
        <v>21707</v>
      </c>
    </row>
    <row r="775" spans="1:5" x14ac:dyDescent="0.2">
      <c r="A775">
        <v>2021</v>
      </c>
      <c r="B775" t="s">
        <v>145</v>
      </c>
      <c r="C775" t="s">
        <v>113</v>
      </c>
      <c r="D775">
        <v>1</v>
      </c>
      <c r="E775" s="15">
        <v>17</v>
      </c>
    </row>
    <row r="776" spans="1:5" x14ac:dyDescent="0.2">
      <c r="A776">
        <v>2021</v>
      </c>
      <c r="B776" t="s">
        <v>145</v>
      </c>
      <c r="C776" t="s">
        <v>114</v>
      </c>
      <c r="D776">
        <v>2</v>
      </c>
      <c r="E776" s="15">
        <v>227</v>
      </c>
    </row>
    <row r="777" spans="1:5" x14ac:dyDescent="0.2">
      <c r="A777">
        <v>2021</v>
      </c>
      <c r="B777" t="s">
        <v>145</v>
      </c>
      <c r="C777" t="s">
        <v>115</v>
      </c>
      <c r="D777">
        <v>3</v>
      </c>
      <c r="E777" s="15">
        <v>314</v>
      </c>
    </row>
    <row r="778" spans="1:5" x14ac:dyDescent="0.2">
      <c r="A778">
        <v>2021</v>
      </c>
      <c r="B778" t="s">
        <v>145</v>
      </c>
      <c r="C778" t="s">
        <v>116</v>
      </c>
      <c r="D778">
        <v>4</v>
      </c>
      <c r="E778" s="15">
        <v>117</v>
      </c>
    </row>
    <row r="779" spans="1:5" x14ac:dyDescent="0.2">
      <c r="A779">
        <v>2021</v>
      </c>
      <c r="B779" t="s">
        <v>145</v>
      </c>
      <c r="C779" t="s">
        <v>117</v>
      </c>
      <c r="D779">
        <v>5</v>
      </c>
      <c r="E779" s="15">
        <v>391</v>
      </c>
    </row>
    <row r="780" spans="1:5" x14ac:dyDescent="0.2">
      <c r="A780">
        <v>2021</v>
      </c>
      <c r="B780" t="s">
        <v>145</v>
      </c>
      <c r="C780" t="s">
        <v>118</v>
      </c>
      <c r="D780">
        <v>6</v>
      </c>
      <c r="E780" s="15">
        <v>977</v>
      </c>
    </row>
    <row r="781" spans="1:5" x14ac:dyDescent="0.2">
      <c r="A781">
        <v>2021</v>
      </c>
      <c r="B781" t="s">
        <v>145</v>
      </c>
      <c r="C781" t="s">
        <v>119</v>
      </c>
      <c r="D781">
        <v>7</v>
      </c>
      <c r="E781" s="15">
        <v>941</v>
      </c>
    </row>
    <row r="782" spans="1:5" x14ac:dyDescent="0.2">
      <c r="A782">
        <v>2021</v>
      </c>
      <c r="B782" t="s">
        <v>145</v>
      </c>
      <c r="C782" t="s">
        <v>120</v>
      </c>
      <c r="D782">
        <v>8</v>
      </c>
      <c r="E782" s="15">
        <v>3297</v>
      </c>
    </row>
    <row r="783" spans="1:5" x14ac:dyDescent="0.2">
      <c r="A783">
        <v>2021</v>
      </c>
      <c r="B783" t="s">
        <v>145</v>
      </c>
      <c r="C783" t="s">
        <v>121</v>
      </c>
      <c r="D783">
        <v>9</v>
      </c>
      <c r="E783" s="15">
        <v>2840</v>
      </c>
    </row>
    <row r="784" spans="1:5" x14ac:dyDescent="0.2">
      <c r="A784">
        <v>2021</v>
      </c>
      <c r="B784" t="s">
        <v>145</v>
      </c>
      <c r="C784" t="s">
        <v>122</v>
      </c>
      <c r="D784">
        <v>10</v>
      </c>
      <c r="E784" s="15">
        <v>2785</v>
      </c>
    </row>
    <row r="785" spans="1:5" x14ac:dyDescent="0.2">
      <c r="A785">
        <v>2021</v>
      </c>
      <c r="B785" t="s">
        <v>145</v>
      </c>
      <c r="C785" t="s">
        <v>123</v>
      </c>
      <c r="D785">
        <v>11</v>
      </c>
      <c r="E785" s="15">
        <v>5792</v>
      </c>
    </row>
    <row r="786" spans="1:5" x14ac:dyDescent="0.2">
      <c r="A786">
        <v>2021</v>
      </c>
      <c r="B786" t="s">
        <v>146</v>
      </c>
      <c r="C786" t="s">
        <v>113</v>
      </c>
      <c r="D786">
        <v>1</v>
      </c>
      <c r="E786" s="15">
        <v>176</v>
      </c>
    </row>
    <row r="787" spans="1:5" x14ac:dyDescent="0.2">
      <c r="A787">
        <v>2021</v>
      </c>
      <c r="B787" t="s">
        <v>146</v>
      </c>
      <c r="C787" t="s">
        <v>114</v>
      </c>
      <c r="D787">
        <v>2</v>
      </c>
      <c r="E787" s="15">
        <v>2287</v>
      </c>
    </row>
    <row r="788" spans="1:5" x14ac:dyDescent="0.2">
      <c r="A788">
        <v>2021</v>
      </c>
      <c r="B788" t="s">
        <v>146</v>
      </c>
      <c r="C788" t="s">
        <v>115</v>
      </c>
      <c r="D788">
        <v>3</v>
      </c>
      <c r="E788" s="15">
        <v>1801</v>
      </c>
    </row>
    <row r="789" spans="1:5" x14ac:dyDescent="0.2">
      <c r="A789">
        <v>2021</v>
      </c>
      <c r="B789" t="s">
        <v>146</v>
      </c>
      <c r="C789" t="s">
        <v>116</v>
      </c>
      <c r="D789">
        <v>4</v>
      </c>
      <c r="E789" s="15">
        <v>832</v>
      </c>
    </row>
    <row r="790" spans="1:5" x14ac:dyDescent="0.2">
      <c r="A790">
        <v>2021</v>
      </c>
      <c r="B790" t="s">
        <v>146</v>
      </c>
      <c r="C790" t="s">
        <v>117</v>
      </c>
      <c r="D790">
        <v>5</v>
      </c>
      <c r="E790" s="15">
        <v>2635</v>
      </c>
    </row>
    <row r="791" spans="1:5" x14ac:dyDescent="0.2">
      <c r="A791">
        <v>2021</v>
      </c>
      <c r="B791" t="s">
        <v>146</v>
      </c>
      <c r="C791" t="s">
        <v>118</v>
      </c>
      <c r="D791">
        <v>6</v>
      </c>
      <c r="E791" s="15">
        <v>4061</v>
      </c>
    </row>
    <row r="792" spans="1:5" x14ac:dyDescent="0.2">
      <c r="A792">
        <v>2021</v>
      </c>
      <c r="B792" t="s">
        <v>146</v>
      </c>
      <c r="C792" t="s">
        <v>119</v>
      </c>
      <c r="D792">
        <v>7</v>
      </c>
      <c r="E792" s="15">
        <v>2812</v>
      </c>
    </row>
    <row r="793" spans="1:5" x14ac:dyDescent="0.2">
      <c r="A793">
        <v>2021</v>
      </c>
      <c r="B793" t="s">
        <v>146</v>
      </c>
      <c r="C793" t="s">
        <v>120</v>
      </c>
      <c r="D793">
        <v>8</v>
      </c>
      <c r="E793" s="15">
        <v>8774</v>
      </c>
    </row>
    <row r="794" spans="1:5" x14ac:dyDescent="0.2">
      <c r="A794">
        <v>2021</v>
      </c>
      <c r="B794" t="s">
        <v>146</v>
      </c>
      <c r="C794" t="s">
        <v>121</v>
      </c>
      <c r="D794">
        <v>9</v>
      </c>
      <c r="E794" s="15">
        <v>9011</v>
      </c>
    </row>
    <row r="795" spans="1:5" x14ac:dyDescent="0.2">
      <c r="A795">
        <v>2021</v>
      </c>
      <c r="B795" t="s">
        <v>146</v>
      </c>
      <c r="C795" t="s">
        <v>122</v>
      </c>
      <c r="D795">
        <v>10</v>
      </c>
      <c r="E795" s="15">
        <v>9231</v>
      </c>
    </row>
    <row r="796" spans="1:5" x14ac:dyDescent="0.2">
      <c r="A796">
        <v>2021</v>
      </c>
      <c r="B796" t="s">
        <v>146</v>
      </c>
      <c r="C796" t="s">
        <v>123</v>
      </c>
      <c r="D796">
        <v>11</v>
      </c>
      <c r="E796" s="15">
        <v>32457</v>
      </c>
    </row>
    <row r="797" spans="1:5" x14ac:dyDescent="0.2">
      <c r="A797">
        <v>2021</v>
      </c>
      <c r="B797" t="s">
        <v>147</v>
      </c>
      <c r="C797" t="s">
        <v>113</v>
      </c>
      <c r="D797">
        <v>1</v>
      </c>
      <c r="E797" s="15">
        <v>439</v>
      </c>
    </row>
    <row r="798" spans="1:5" x14ac:dyDescent="0.2">
      <c r="A798">
        <v>2021</v>
      </c>
      <c r="B798" t="s">
        <v>147</v>
      </c>
      <c r="C798" t="s">
        <v>114</v>
      </c>
      <c r="D798">
        <v>2</v>
      </c>
      <c r="E798" s="15">
        <v>4229</v>
      </c>
    </row>
    <row r="799" spans="1:5" x14ac:dyDescent="0.2">
      <c r="A799">
        <v>2021</v>
      </c>
      <c r="B799" t="s">
        <v>147</v>
      </c>
      <c r="C799" t="s">
        <v>115</v>
      </c>
      <c r="D799">
        <v>3</v>
      </c>
      <c r="E799" s="15">
        <v>3617</v>
      </c>
    </row>
    <row r="800" spans="1:5" x14ac:dyDescent="0.2">
      <c r="A800">
        <v>2021</v>
      </c>
      <c r="B800" t="s">
        <v>147</v>
      </c>
      <c r="C800" t="s">
        <v>116</v>
      </c>
      <c r="D800">
        <v>4</v>
      </c>
      <c r="E800" s="15">
        <v>1733</v>
      </c>
    </row>
    <row r="801" spans="1:5" x14ac:dyDescent="0.2">
      <c r="A801">
        <v>2021</v>
      </c>
      <c r="B801" t="s">
        <v>147</v>
      </c>
      <c r="C801" t="s">
        <v>117</v>
      </c>
      <c r="D801">
        <v>5</v>
      </c>
      <c r="E801" s="15">
        <v>5417</v>
      </c>
    </row>
    <row r="802" spans="1:5" x14ac:dyDescent="0.2">
      <c r="A802">
        <v>2021</v>
      </c>
      <c r="B802" t="s">
        <v>147</v>
      </c>
      <c r="C802" t="s">
        <v>118</v>
      </c>
      <c r="D802">
        <v>6</v>
      </c>
      <c r="E802" s="15">
        <v>8225</v>
      </c>
    </row>
    <row r="803" spans="1:5" x14ac:dyDescent="0.2">
      <c r="A803">
        <v>2021</v>
      </c>
      <c r="B803" t="s">
        <v>147</v>
      </c>
      <c r="C803" t="s">
        <v>119</v>
      </c>
      <c r="D803">
        <v>7</v>
      </c>
      <c r="E803" s="15">
        <v>4735</v>
      </c>
    </row>
    <row r="804" spans="1:5" x14ac:dyDescent="0.2">
      <c r="A804">
        <v>2021</v>
      </c>
      <c r="B804" t="s">
        <v>147</v>
      </c>
      <c r="C804" t="s">
        <v>120</v>
      </c>
      <c r="D804">
        <v>8</v>
      </c>
      <c r="E804" s="15">
        <v>14300</v>
      </c>
    </row>
    <row r="805" spans="1:5" x14ac:dyDescent="0.2">
      <c r="A805">
        <v>2021</v>
      </c>
      <c r="B805" t="s">
        <v>147</v>
      </c>
      <c r="C805" t="s">
        <v>121</v>
      </c>
      <c r="D805">
        <v>9</v>
      </c>
      <c r="E805" s="15">
        <v>16091</v>
      </c>
    </row>
    <row r="806" spans="1:5" x14ac:dyDescent="0.2">
      <c r="A806">
        <v>2021</v>
      </c>
      <c r="B806" t="s">
        <v>147</v>
      </c>
      <c r="C806" t="s">
        <v>122</v>
      </c>
      <c r="D806">
        <v>10</v>
      </c>
      <c r="E806" s="15">
        <v>17691</v>
      </c>
    </row>
    <row r="807" spans="1:5" x14ac:dyDescent="0.2">
      <c r="A807">
        <v>2021</v>
      </c>
      <c r="B807" t="s">
        <v>147</v>
      </c>
      <c r="C807" t="s">
        <v>123</v>
      </c>
      <c r="D807">
        <v>11</v>
      </c>
      <c r="E807" s="15">
        <v>64968</v>
      </c>
    </row>
    <row r="808" spans="1:5" x14ac:dyDescent="0.2">
      <c r="A808">
        <v>2021</v>
      </c>
      <c r="B808" t="s">
        <v>148</v>
      </c>
      <c r="C808" t="s">
        <v>113</v>
      </c>
      <c r="D808">
        <v>1</v>
      </c>
      <c r="E808" s="15">
        <v>138</v>
      </c>
    </row>
    <row r="809" spans="1:5" x14ac:dyDescent="0.2">
      <c r="A809">
        <v>2021</v>
      </c>
      <c r="B809" t="s">
        <v>148</v>
      </c>
      <c r="C809" t="s">
        <v>114</v>
      </c>
      <c r="D809">
        <v>2</v>
      </c>
      <c r="E809" s="15">
        <v>1079</v>
      </c>
    </row>
    <row r="810" spans="1:5" x14ac:dyDescent="0.2">
      <c r="A810">
        <v>2021</v>
      </c>
      <c r="B810" t="s">
        <v>148</v>
      </c>
      <c r="C810" t="s">
        <v>115</v>
      </c>
      <c r="D810">
        <v>3</v>
      </c>
      <c r="E810" s="15">
        <v>751</v>
      </c>
    </row>
    <row r="811" spans="1:5" x14ac:dyDescent="0.2">
      <c r="A811">
        <v>2021</v>
      </c>
      <c r="B811" t="s">
        <v>148</v>
      </c>
      <c r="C811" t="s">
        <v>116</v>
      </c>
      <c r="D811">
        <v>4</v>
      </c>
      <c r="E811" s="15">
        <v>364</v>
      </c>
    </row>
    <row r="812" spans="1:5" x14ac:dyDescent="0.2">
      <c r="A812">
        <v>2021</v>
      </c>
      <c r="B812" t="s">
        <v>148</v>
      </c>
      <c r="C812" t="s">
        <v>117</v>
      </c>
      <c r="D812">
        <v>5</v>
      </c>
      <c r="E812" s="15">
        <v>1107</v>
      </c>
    </row>
    <row r="813" spans="1:5" x14ac:dyDescent="0.2">
      <c r="A813">
        <v>2021</v>
      </c>
      <c r="B813" t="s">
        <v>148</v>
      </c>
      <c r="C813" t="s">
        <v>118</v>
      </c>
      <c r="D813">
        <v>6</v>
      </c>
      <c r="E813" s="15">
        <v>1488</v>
      </c>
    </row>
    <row r="814" spans="1:5" x14ac:dyDescent="0.2">
      <c r="A814">
        <v>2021</v>
      </c>
      <c r="B814" t="s">
        <v>148</v>
      </c>
      <c r="C814" t="s">
        <v>119</v>
      </c>
      <c r="D814">
        <v>7</v>
      </c>
      <c r="E814" s="15">
        <v>986</v>
      </c>
    </row>
    <row r="815" spans="1:5" x14ac:dyDescent="0.2">
      <c r="A815">
        <v>2021</v>
      </c>
      <c r="B815" t="s">
        <v>148</v>
      </c>
      <c r="C815" t="s">
        <v>120</v>
      </c>
      <c r="D815">
        <v>8</v>
      </c>
      <c r="E815" s="15">
        <v>3140</v>
      </c>
    </row>
    <row r="816" spans="1:5" x14ac:dyDescent="0.2">
      <c r="A816">
        <v>2021</v>
      </c>
      <c r="B816" t="s">
        <v>148</v>
      </c>
      <c r="C816" t="s">
        <v>121</v>
      </c>
      <c r="D816">
        <v>9</v>
      </c>
      <c r="E816" s="15">
        <v>3539</v>
      </c>
    </row>
    <row r="817" spans="1:5" x14ac:dyDescent="0.2">
      <c r="A817">
        <v>2021</v>
      </c>
      <c r="B817" t="s">
        <v>148</v>
      </c>
      <c r="C817" t="s">
        <v>122</v>
      </c>
      <c r="D817">
        <v>10</v>
      </c>
      <c r="E817" s="15">
        <v>4017</v>
      </c>
    </row>
    <row r="818" spans="1:5" x14ac:dyDescent="0.2">
      <c r="A818">
        <v>2021</v>
      </c>
      <c r="B818" t="s">
        <v>148</v>
      </c>
      <c r="C818" t="s">
        <v>123</v>
      </c>
      <c r="D818">
        <v>11</v>
      </c>
      <c r="E818" s="15">
        <v>13503</v>
      </c>
    </row>
    <row r="819" spans="1:5" x14ac:dyDescent="0.2">
      <c r="A819">
        <v>2021</v>
      </c>
      <c r="B819" t="s">
        <v>149</v>
      </c>
      <c r="C819" t="s">
        <v>113</v>
      </c>
      <c r="D819">
        <v>1</v>
      </c>
      <c r="E819" s="15">
        <v>11</v>
      </c>
    </row>
    <row r="820" spans="1:5" x14ac:dyDescent="0.2">
      <c r="A820">
        <v>2021</v>
      </c>
      <c r="B820" t="s">
        <v>149</v>
      </c>
      <c r="C820" t="s">
        <v>114</v>
      </c>
      <c r="D820">
        <v>2</v>
      </c>
      <c r="E820" s="15">
        <v>120</v>
      </c>
    </row>
    <row r="821" spans="1:5" x14ac:dyDescent="0.2">
      <c r="A821">
        <v>2021</v>
      </c>
      <c r="B821" t="s">
        <v>149</v>
      </c>
      <c r="C821" t="s">
        <v>115</v>
      </c>
      <c r="D821">
        <v>3</v>
      </c>
      <c r="E821" s="15">
        <v>86</v>
      </c>
    </row>
    <row r="822" spans="1:5" x14ac:dyDescent="0.2">
      <c r="A822">
        <v>2021</v>
      </c>
      <c r="B822" t="s">
        <v>149</v>
      </c>
      <c r="C822" t="s">
        <v>116</v>
      </c>
      <c r="D822">
        <v>4</v>
      </c>
      <c r="E822" s="15">
        <v>31</v>
      </c>
    </row>
    <row r="823" spans="1:5" x14ac:dyDescent="0.2">
      <c r="A823">
        <v>2021</v>
      </c>
      <c r="B823" t="s">
        <v>149</v>
      </c>
      <c r="C823" t="s">
        <v>117</v>
      </c>
      <c r="D823">
        <v>5</v>
      </c>
      <c r="E823" s="15">
        <v>129</v>
      </c>
    </row>
    <row r="824" spans="1:5" x14ac:dyDescent="0.2">
      <c r="A824">
        <v>2021</v>
      </c>
      <c r="B824" t="s">
        <v>149</v>
      </c>
      <c r="C824" t="s">
        <v>118</v>
      </c>
      <c r="D824">
        <v>6</v>
      </c>
      <c r="E824" s="15">
        <v>122</v>
      </c>
    </row>
    <row r="825" spans="1:5" x14ac:dyDescent="0.2">
      <c r="A825">
        <v>2021</v>
      </c>
      <c r="B825" t="s">
        <v>149</v>
      </c>
      <c r="C825" t="s">
        <v>119</v>
      </c>
      <c r="D825">
        <v>7</v>
      </c>
      <c r="E825" s="15">
        <v>82</v>
      </c>
    </row>
    <row r="826" spans="1:5" x14ac:dyDescent="0.2">
      <c r="A826">
        <v>2021</v>
      </c>
      <c r="B826" t="s">
        <v>149</v>
      </c>
      <c r="C826" t="s">
        <v>120</v>
      </c>
      <c r="D826">
        <v>8</v>
      </c>
      <c r="E826" s="15">
        <v>339</v>
      </c>
    </row>
    <row r="827" spans="1:5" x14ac:dyDescent="0.2">
      <c r="A827">
        <v>2021</v>
      </c>
      <c r="B827" t="s">
        <v>149</v>
      </c>
      <c r="C827" t="s">
        <v>121</v>
      </c>
      <c r="D827">
        <v>9</v>
      </c>
      <c r="E827" s="15">
        <v>331</v>
      </c>
    </row>
    <row r="828" spans="1:5" x14ac:dyDescent="0.2">
      <c r="A828">
        <v>2021</v>
      </c>
      <c r="B828" t="s">
        <v>149</v>
      </c>
      <c r="C828" t="s">
        <v>122</v>
      </c>
      <c r="D828">
        <v>10</v>
      </c>
      <c r="E828" s="15">
        <v>347</v>
      </c>
    </row>
    <row r="829" spans="1:5" x14ac:dyDescent="0.2">
      <c r="A829">
        <v>2021</v>
      </c>
      <c r="B829" t="s">
        <v>149</v>
      </c>
      <c r="C829" t="s">
        <v>123</v>
      </c>
      <c r="D829">
        <v>11</v>
      </c>
      <c r="E829" s="15">
        <v>518</v>
      </c>
    </row>
    <row r="830" spans="1:5" x14ac:dyDescent="0.2">
      <c r="A830">
        <v>2021</v>
      </c>
      <c r="B830" t="s">
        <v>150</v>
      </c>
      <c r="C830" t="s">
        <v>113</v>
      </c>
      <c r="D830">
        <v>1</v>
      </c>
      <c r="E830" s="15">
        <v>18</v>
      </c>
    </row>
    <row r="831" spans="1:5" x14ac:dyDescent="0.2">
      <c r="A831">
        <v>2021</v>
      </c>
      <c r="B831" t="s">
        <v>150</v>
      </c>
      <c r="C831" t="s">
        <v>114</v>
      </c>
      <c r="D831">
        <v>2</v>
      </c>
      <c r="E831" s="15">
        <v>455</v>
      </c>
    </row>
    <row r="832" spans="1:5" x14ac:dyDescent="0.2">
      <c r="A832">
        <v>2021</v>
      </c>
      <c r="B832" t="s">
        <v>150</v>
      </c>
      <c r="C832" t="s">
        <v>115</v>
      </c>
      <c r="D832">
        <v>3</v>
      </c>
      <c r="E832" s="15">
        <v>381</v>
      </c>
    </row>
    <row r="833" spans="1:5" x14ac:dyDescent="0.2">
      <c r="A833">
        <v>2021</v>
      </c>
      <c r="B833" t="s">
        <v>150</v>
      </c>
      <c r="C833" t="s">
        <v>116</v>
      </c>
      <c r="D833">
        <v>4</v>
      </c>
      <c r="E833" s="15">
        <v>150</v>
      </c>
    </row>
    <row r="834" spans="1:5" x14ac:dyDescent="0.2">
      <c r="A834">
        <v>2021</v>
      </c>
      <c r="B834" t="s">
        <v>150</v>
      </c>
      <c r="C834" t="s">
        <v>117</v>
      </c>
      <c r="D834">
        <v>5</v>
      </c>
      <c r="E834" s="15">
        <v>421</v>
      </c>
    </row>
    <row r="835" spans="1:5" x14ac:dyDescent="0.2">
      <c r="A835">
        <v>2021</v>
      </c>
      <c r="B835" t="s">
        <v>150</v>
      </c>
      <c r="C835" t="s">
        <v>118</v>
      </c>
      <c r="D835">
        <v>6</v>
      </c>
      <c r="E835" s="15">
        <v>672</v>
      </c>
    </row>
    <row r="836" spans="1:5" x14ac:dyDescent="0.2">
      <c r="A836">
        <v>2021</v>
      </c>
      <c r="B836" t="s">
        <v>150</v>
      </c>
      <c r="C836" t="s">
        <v>119</v>
      </c>
      <c r="D836">
        <v>7</v>
      </c>
      <c r="E836" s="15">
        <v>528</v>
      </c>
    </row>
    <row r="837" spans="1:5" x14ac:dyDescent="0.2">
      <c r="A837">
        <v>2021</v>
      </c>
      <c r="B837" t="s">
        <v>150</v>
      </c>
      <c r="C837" t="s">
        <v>120</v>
      </c>
      <c r="D837">
        <v>8</v>
      </c>
      <c r="E837" s="15">
        <v>2101</v>
      </c>
    </row>
    <row r="838" spans="1:5" x14ac:dyDescent="0.2">
      <c r="A838">
        <v>2021</v>
      </c>
      <c r="B838" t="s">
        <v>150</v>
      </c>
      <c r="C838" t="s">
        <v>121</v>
      </c>
      <c r="D838">
        <v>9</v>
      </c>
      <c r="E838" s="15">
        <v>1925</v>
      </c>
    </row>
    <row r="839" spans="1:5" x14ac:dyDescent="0.2">
      <c r="A839">
        <v>2021</v>
      </c>
      <c r="B839" t="s">
        <v>150</v>
      </c>
      <c r="C839" t="s">
        <v>122</v>
      </c>
      <c r="D839">
        <v>10</v>
      </c>
      <c r="E839" s="15">
        <v>1890</v>
      </c>
    </row>
    <row r="840" spans="1:5" x14ac:dyDescent="0.2">
      <c r="A840">
        <v>2021</v>
      </c>
      <c r="B840" t="s">
        <v>150</v>
      </c>
      <c r="C840" t="s">
        <v>123</v>
      </c>
      <c r="D840">
        <v>11</v>
      </c>
      <c r="E840" s="15">
        <v>3555</v>
      </c>
    </row>
    <row r="841" spans="1:5" x14ac:dyDescent="0.2">
      <c r="A841">
        <v>2021</v>
      </c>
      <c r="B841" t="s">
        <v>151</v>
      </c>
      <c r="C841" t="s">
        <v>113</v>
      </c>
      <c r="D841">
        <v>1</v>
      </c>
      <c r="E841" s="15">
        <v>182</v>
      </c>
    </row>
    <row r="842" spans="1:5" x14ac:dyDescent="0.2">
      <c r="A842">
        <v>2021</v>
      </c>
      <c r="B842" t="s">
        <v>151</v>
      </c>
      <c r="C842" t="s">
        <v>114</v>
      </c>
      <c r="D842">
        <v>2</v>
      </c>
      <c r="E842" s="15">
        <v>1878</v>
      </c>
    </row>
    <row r="843" spans="1:5" x14ac:dyDescent="0.2">
      <c r="A843">
        <v>2021</v>
      </c>
      <c r="B843" t="s">
        <v>151</v>
      </c>
      <c r="C843" t="s">
        <v>115</v>
      </c>
      <c r="D843">
        <v>3</v>
      </c>
      <c r="E843" s="15">
        <v>1542</v>
      </c>
    </row>
    <row r="844" spans="1:5" x14ac:dyDescent="0.2">
      <c r="A844">
        <v>2021</v>
      </c>
      <c r="B844" t="s">
        <v>151</v>
      </c>
      <c r="C844" t="s">
        <v>116</v>
      </c>
      <c r="D844">
        <v>4</v>
      </c>
      <c r="E844" s="15">
        <v>603</v>
      </c>
    </row>
    <row r="845" spans="1:5" x14ac:dyDescent="0.2">
      <c r="A845">
        <v>2021</v>
      </c>
      <c r="B845" t="s">
        <v>151</v>
      </c>
      <c r="C845" t="s">
        <v>117</v>
      </c>
      <c r="D845">
        <v>5</v>
      </c>
      <c r="E845" s="15">
        <v>1838</v>
      </c>
    </row>
    <row r="846" spans="1:5" x14ac:dyDescent="0.2">
      <c r="A846">
        <v>2021</v>
      </c>
      <c r="B846" t="s">
        <v>151</v>
      </c>
      <c r="C846" t="s">
        <v>118</v>
      </c>
      <c r="D846">
        <v>6</v>
      </c>
      <c r="E846" s="15">
        <v>2865</v>
      </c>
    </row>
    <row r="847" spans="1:5" x14ac:dyDescent="0.2">
      <c r="A847">
        <v>2021</v>
      </c>
      <c r="B847" t="s">
        <v>151</v>
      </c>
      <c r="C847" t="s">
        <v>119</v>
      </c>
      <c r="D847">
        <v>7</v>
      </c>
      <c r="E847" s="15">
        <v>1870</v>
      </c>
    </row>
    <row r="848" spans="1:5" x14ac:dyDescent="0.2">
      <c r="A848">
        <v>2021</v>
      </c>
      <c r="B848" t="s">
        <v>151</v>
      </c>
      <c r="C848" t="s">
        <v>120</v>
      </c>
      <c r="D848">
        <v>8</v>
      </c>
      <c r="E848" s="15">
        <v>6548</v>
      </c>
    </row>
    <row r="849" spans="1:5" x14ac:dyDescent="0.2">
      <c r="A849">
        <v>2021</v>
      </c>
      <c r="B849" t="s">
        <v>151</v>
      </c>
      <c r="C849" t="s">
        <v>121</v>
      </c>
      <c r="D849">
        <v>9</v>
      </c>
      <c r="E849" s="15">
        <v>6717</v>
      </c>
    </row>
    <row r="850" spans="1:5" x14ac:dyDescent="0.2">
      <c r="A850">
        <v>2021</v>
      </c>
      <c r="B850" t="s">
        <v>151</v>
      </c>
      <c r="C850" t="s">
        <v>122</v>
      </c>
      <c r="D850">
        <v>10</v>
      </c>
      <c r="E850" s="15">
        <v>6955</v>
      </c>
    </row>
    <row r="851" spans="1:5" x14ac:dyDescent="0.2">
      <c r="A851">
        <v>2021</v>
      </c>
      <c r="B851" t="s">
        <v>151</v>
      </c>
      <c r="C851" t="s">
        <v>123</v>
      </c>
      <c r="D851">
        <v>11</v>
      </c>
      <c r="E851" s="15">
        <v>22456</v>
      </c>
    </row>
    <row r="852" spans="1:5" x14ac:dyDescent="0.2">
      <c r="A852">
        <v>2021</v>
      </c>
      <c r="B852" t="s">
        <v>152</v>
      </c>
      <c r="C852" t="s">
        <v>113</v>
      </c>
      <c r="D852">
        <v>1</v>
      </c>
      <c r="E852" s="15">
        <v>0</v>
      </c>
    </row>
    <row r="853" spans="1:5" x14ac:dyDescent="0.2">
      <c r="A853">
        <v>2021</v>
      </c>
      <c r="B853" t="s">
        <v>152</v>
      </c>
      <c r="C853" t="s">
        <v>114</v>
      </c>
      <c r="D853">
        <v>2</v>
      </c>
      <c r="E853" s="15">
        <v>38</v>
      </c>
    </row>
    <row r="854" spans="1:5" x14ac:dyDescent="0.2">
      <c r="A854">
        <v>2021</v>
      </c>
      <c r="B854" t="s">
        <v>152</v>
      </c>
      <c r="C854" t="s">
        <v>115</v>
      </c>
      <c r="D854">
        <v>3</v>
      </c>
      <c r="E854" s="15">
        <v>152</v>
      </c>
    </row>
    <row r="855" spans="1:5" x14ac:dyDescent="0.2">
      <c r="A855">
        <v>2021</v>
      </c>
      <c r="B855" t="s">
        <v>152</v>
      </c>
      <c r="C855" t="s">
        <v>116</v>
      </c>
      <c r="D855">
        <v>4</v>
      </c>
      <c r="E855" s="15">
        <v>140</v>
      </c>
    </row>
    <row r="856" spans="1:5" x14ac:dyDescent="0.2">
      <c r="A856">
        <v>2021</v>
      </c>
      <c r="B856" t="s">
        <v>152</v>
      </c>
      <c r="C856" t="s">
        <v>117</v>
      </c>
      <c r="D856">
        <v>5</v>
      </c>
      <c r="E856" s="15">
        <v>902</v>
      </c>
    </row>
    <row r="857" spans="1:5" x14ac:dyDescent="0.2">
      <c r="A857">
        <v>2021</v>
      </c>
      <c r="B857" t="s">
        <v>152</v>
      </c>
      <c r="C857" t="s">
        <v>118</v>
      </c>
      <c r="D857">
        <v>6</v>
      </c>
      <c r="E857" s="15">
        <v>2661</v>
      </c>
    </row>
    <row r="858" spans="1:5" x14ac:dyDescent="0.2">
      <c r="A858">
        <v>2021</v>
      </c>
      <c r="B858" t="s">
        <v>152</v>
      </c>
      <c r="C858" t="s">
        <v>119</v>
      </c>
      <c r="D858">
        <v>7</v>
      </c>
      <c r="E858" s="15">
        <v>1812</v>
      </c>
    </row>
    <row r="859" spans="1:5" x14ac:dyDescent="0.2">
      <c r="A859">
        <v>2021</v>
      </c>
      <c r="B859" t="s">
        <v>152</v>
      </c>
      <c r="C859" t="s">
        <v>120</v>
      </c>
      <c r="D859">
        <v>8</v>
      </c>
      <c r="E859" s="15">
        <v>5048</v>
      </c>
    </row>
    <row r="860" spans="1:5" x14ac:dyDescent="0.2">
      <c r="A860">
        <v>2021</v>
      </c>
      <c r="B860" t="s">
        <v>152</v>
      </c>
      <c r="C860" t="s">
        <v>121</v>
      </c>
      <c r="D860">
        <v>9</v>
      </c>
      <c r="E860" s="15">
        <v>3969</v>
      </c>
    </row>
    <row r="861" spans="1:5" x14ac:dyDescent="0.2">
      <c r="A861">
        <v>2021</v>
      </c>
      <c r="B861" t="s">
        <v>152</v>
      </c>
      <c r="C861" t="s">
        <v>122</v>
      </c>
      <c r="D861">
        <v>10</v>
      </c>
      <c r="E861" s="15">
        <v>3588</v>
      </c>
    </row>
    <row r="862" spans="1:5" x14ac:dyDescent="0.2">
      <c r="A862">
        <v>2021</v>
      </c>
      <c r="B862" t="s">
        <v>152</v>
      </c>
      <c r="C862" t="s">
        <v>123</v>
      </c>
      <c r="D862">
        <v>11</v>
      </c>
      <c r="E862" s="15">
        <v>6047</v>
      </c>
    </row>
    <row r="863" spans="1:5" x14ac:dyDescent="0.2">
      <c r="A863">
        <v>2022</v>
      </c>
      <c r="B863" t="s">
        <v>140</v>
      </c>
      <c r="C863" t="s">
        <v>113</v>
      </c>
      <c r="D863">
        <v>1</v>
      </c>
      <c r="E863" s="15">
        <v>331</v>
      </c>
    </row>
    <row r="864" spans="1:5" x14ac:dyDescent="0.2">
      <c r="A864">
        <v>2022</v>
      </c>
      <c r="B864" t="s">
        <v>140</v>
      </c>
      <c r="C864" t="s">
        <v>114</v>
      </c>
      <c r="D864">
        <v>2</v>
      </c>
      <c r="E864" s="15">
        <v>3370</v>
      </c>
    </row>
    <row r="865" spans="1:5" x14ac:dyDescent="0.2">
      <c r="A865">
        <v>2022</v>
      </c>
      <c r="B865" t="s">
        <v>140</v>
      </c>
      <c r="C865" t="s">
        <v>115</v>
      </c>
      <c r="D865">
        <v>3</v>
      </c>
      <c r="E865" s="15">
        <v>2595</v>
      </c>
    </row>
    <row r="866" spans="1:5" x14ac:dyDescent="0.2">
      <c r="A866">
        <v>2022</v>
      </c>
      <c r="B866" t="s">
        <v>140</v>
      </c>
      <c r="C866" t="s">
        <v>116</v>
      </c>
      <c r="D866">
        <v>4</v>
      </c>
      <c r="E866" s="15">
        <v>1114</v>
      </c>
    </row>
    <row r="867" spans="1:5" x14ac:dyDescent="0.2">
      <c r="A867">
        <v>2022</v>
      </c>
      <c r="B867" t="s">
        <v>140</v>
      </c>
      <c r="C867" t="s">
        <v>117</v>
      </c>
      <c r="D867">
        <v>5</v>
      </c>
      <c r="E867" s="15">
        <v>3420</v>
      </c>
    </row>
    <row r="868" spans="1:5" x14ac:dyDescent="0.2">
      <c r="A868">
        <v>2022</v>
      </c>
      <c r="B868" t="s">
        <v>140</v>
      </c>
      <c r="C868" t="s">
        <v>118</v>
      </c>
      <c r="D868">
        <v>6</v>
      </c>
      <c r="E868" s="15">
        <v>4252</v>
      </c>
    </row>
    <row r="869" spans="1:5" x14ac:dyDescent="0.2">
      <c r="A869">
        <v>2022</v>
      </c>
      <c r="B869" t="s">
        <v>140</v>
      </c>
      <c r="C869" t="s">
        <v>119</v>
      </c>
      <c r="D869">
        <v>7</v>
      </c>
      <c r="E869" s="15">
        <v>2336</v>
      </c>
    </row>
    <row r="870" spans="1:5" x14ac:dyDescent="0.2">
      <c r="A870">
        <v>2022</v>
      </c>
      <c r="B870" t="s">
        <v>140</v>
      </c>
      <c r="C870" t="s">
        <v>120</v>
      </c>
      <c r="D870">
        <v>8</v>
      </c>
      <c r="E870" s="15">
        <v>7223</v>
      </c>
    </row>
    <row r="871" spans="1:5" x14ac:dyDescent="0.2">
      <c r="A871">
        <v>2022</v>
      </c>
      <c r="B871" t="s">
        <v>140</v>
      </c>
      <c r="C871" t="s">
        <v>121</v>
      </c>
      <c r="D871">
        <v>9</v>
      </c>
      <c r="E871" s="15">
        <v>7684</v>
      </c>
    </row>
    <row r="872" spans="1:5" x14ac:dyDescent="0.2">
      <c r="A872">
        <v>2022</v>
      </c>
      <c r="B872" t="s">
        <v>140</v>
      </c>
      <c r="C872" t="s">
        <v>122</v>
      </c>
      <c r="D872">
        <v>10</v>
      </c>
      <c r="E872" s="15">
        <v>9784</v>
      </c>
    </row>
    <row r="873" spans="1:5" x14ac:dyDescent="0.2">
      <c r="A873">
        <v>2022</v>
      </c>
      <c r="B873" t="s">
        <v>140</v>
      </c>
      <c r="C873" t="s">
        <v>123</v>
      </c>
      <c r="D873">
        <v>11</v>
      </c>
      <c r="E873" s="15">
        <v>35676</v>
      </c>
    </row>
    <row r="874" spans="1:5" x14ac:dyDescent="0.2">
      <c r="A874">
        <v>2022</v>
      </c>
      <c r="B874" t="s">
        <v>141</v>
      </c>
      <c r="C874" t="s">
        <v>113</v>
      </c>
      <c r="D874">
        <v>1</v>
      </c>
      <c r="E874" s="15">
        <v>616</v>
      </c>
    </row>
    <row r="875" spans="1:5" x14ac:dyDescent="0.2">
      <c r="A875">
        <v>2022</v>
      </c>
      <c r="B875" t="s">
        <v>141</v>
      </c>
      <c r="C875" t="s">
        <v>114</v>
      </c>
      <c r="D875">
        <v>2</v>
      </c>
      <c r="E875" s="15">
        <v>5433</v>
      </c>
    </row>
    <row r="876" spans="1:5" x14ac:dyDescent="0.2">
      <c r="A876">
        <v>2022</v>
      </c>
      <c r="B876" t="s">
        <v>141</v>
      </c>
      <c r="C876" t="s">
        <v>115</v>
      </c>
      <c r="D876">
        <v>3</v>
      </c>
      <c r="E876" s="15">
        <v>3730</v>
      </c>
    </row>
    <row r="877" spans="1:5" x14ac:dyDescent="0.2">
      <c r="A877">
        <v>2022</v>
      </c>
      <c r="B877" t="s">
        <v>141</v>
      </c>
      <c r="C877" t="s">
        <v>116</v>
      </c>
      <c r="D877">
        <v>4</v>
      </c>
      <c r="E877" s="15">
        <v>1686</v>
      </c>
    </row>
    <row r="878" spans="1:5" x14ac:dyDescent="0.2">
      <c r="A878">
        <v>2022</v>
      </c>
      <c r="B878" t="s">
        <v>141</v>
      </c>
      <c r="C878" t="s">
        <v>117</v>
      </c>
      <c r="D878">
        <v>5</v>
      </c>
      <c r="E878" s="15">
        <v>5696</v>
      </c>
    </row>
    <row r="879" spans="1:5" x14ac:dyDescent="0.2">
      <c r="A879">
        <v>2022</v>
      </c>
      <c r="B879" t="s">
        <v>141</v>
      </c>
      <c r="C879" t="s">
        <v>118</v>
      </c>
      <c r="D879">
        <v>6</v>
      </c>
      <c r="E879" s="15">
        <v>9902</v>
      </c>
    </row>
    <row r="880" spans="1:5" x14ac:dyDescent="0.2">
      <c r="A880">
        <v>2022</v>
      </c>
      <c r="B880" t="s">
        <v>141</v>
      </c>
      <c r="C880" t="s">
        <v>119</v>
      </c>
      <c r="D880">
        <v>7</v>
      </c>
      <c r="E880" s="15">
        <v>5574</v>
      </c>
    </row>
    <row r="881" spans="1:5" x14ac:dyDescent="0.2">
      <c r="A881">
        <v>2022</v>
      </c>
      <c r="B881" t="s">
        <v>141</v>
      </c>
      <c r="C881" t="s">
        <v>120</v>
      </c>
      <c r="D881">
        <v>8</v>
      </c>
      <c r="E881" s="15">
        <v>16632</v>
      </c>
    </row>
    <row r="882" spans="1:5" x14ac:dyDescent="0.2">
      <c r="A882">
        <v>2022</v>
      </c>
      <c r="B882" t="s">
        <v>141</v>
      </c>
      <c r="C882" t="s">
        <v>121</v>
      </c>
      <c r="D882">
        <v>9</v>
      </c>
      <c r="E882" s="15">
        <v>16031</v>
      </c>
    </row>
    <row r="883" spans="1:5" x14ac:dyDescent="0.2">
      <c r="A883">
        <v>2022</v>
      </c>
      <c r="B883" t="s">
        <v>141</v>
      </c>
      <c r="C883" t="s">
        <v>122</v>
      </c>
      <c r="D883">
        <v>10</v>
      </c>
      <c r="E883" s="15">
        <v>18881</v>
      </c>
    </row>
    <row r="884" spans="1:5" x14ac:dyDescent="0.2">
      <c r="A884">
        <v>2022</v>
      </c>
      <c r="B884" t="s">
        <v>141</v>
      </c>
      <c r="C884" t="s">
        <v>123</v>
      </c>
      <c r="D884">
        <v>11</v>
      </c>
      <c r="E884" s="15">
        <v>59645</v>
      </c>
    </row>
    <row r="885" spans="1:5" x14ac:dyDescent="0.2">
      <c r="A885">
        <v>2022</v>
      </c>
      <c r="B885" t="s">
        <v>142</v>
      </c>
      <c r="C885" t="s">
        <v>113</v>
      </c>
      <c r="D885">
        <v>1</v>
      </c>
      <c r="E885" s="15">
        <v>66</v>
      </c>
    </row>
    <row r="886" spans="1:5" x14ac:dyDescent="0.2">
      <c r="A886">
        <v>2022</v>
      </c>
      <c r="B886" t="s">
        <v>142</v>
      </c>
      <c r="C886" t="s">
        <v>114</v>
      </c>
      <c r="D886">
        <v>2</v>
      </c>
      <c r="E886" s="15">
        <v>1020</v>
      </c>
    </row>
    <row r="887" spans="1:5" x14ac:dyDescent="0.2">
      <c r="A887">
        <v>2022</v>
      </c>
      <c r="B887" t="s">
        <v>142</v>
      </c>
      <c r="C887" t="s">
        <v>115</v>
      </c>
      <c r="D887">
        <v>3</v>
      </c>
      <c r="E887" s="15">
        <v>801</v>
      </c>
    </row>
    <row r="888" spans="1:5" x14ac:dyDescent="0.2">
      <c r="A888">
        <v>2022</v>
      </c>
      <c r="B888" t="s">
        <v>142</v>
      </c>
      <c r="C888" t="s">
        <v>116</v>
      </c>
      <c r="D888">
        <v>4</v>
      </c>
      <c r="E888" s="15">
        <v>289</v>
      </c>
    </row>
    <row r="889" spans="1:5" x14ac:dyDescent="0.2">
      <c r="A889">
        <v>2022</v>
      </c>
      <c r="B889" t="s">
        <v>142</v>
      </c>
      <c r="C889" t="s">
        <v>117</v>
      </c>
      <c r="D889">
        <v>5</v>
      </c>
      <c r="E889" s="15">
        <v>901</v>
      </c>
    </row>
    <row r="890" spans="1:5" x14ac:dyDescent="0.2">
      <c r="A890">
        <v>2022</v>
      </c>
      <c r="B890" t="s">
        <v>142</v>
      </c>
      <c r="C890" t="s">
        <v>118</v>
      </c>
      <c r="D890">
        <v>6</v>
      </c>
      <c r="E890" s="15">
        <v>1721</v>
      </c>
    </row>
    <row r="891" spans="1:5" x14ac:dyDescent="0.2">
      <c r="A891">
        <v>2022</v>
      </c>
      <c r="B891" t="s">
        <v>142</v>
      </c>
      <c r="C891" t="s">
        <v>119</v>
      </c>
      <c r="D891">
        <v>7</v>
      </c>
      <c r="E891" s="15">
        <v>1153</v>
      </c>
    </row>
    <row r="892" spans="1:5" x14ac:dyDescent="0.2">
      <c r="A892">
        <v>2022</v>
      </c>
      <c r="B892" t="s">
        <v>142</v>
      </c>
      <c r="C892" t="s">
        <v>120</v>
      </c>
      <c r="D892">
        <v>8</v>
      </c>
      <c r="E892" s="15">
        <v>3645</v>
      </c>
    </row>
    <row r="893" spans="1:5" x14ac:dyDescent="0.2">
      <c r="A893">
        <v>2022</v>
      </c>
      <c r="B893" t="s">
        <v>142</v>
      </c>
      <c r="C893" t="s">
        <v>121</v>
      </c>
      <c r="D893">
        <v>9</v>
      </c>
      <c r="E893" s="15">
        <v>3510</v>
      </c>
    </row>
    <row r="894" spans="1:5" x14ac:dyDescent="0.2">
      <c r="A894">
        <v>2022</v>
      </c>
      <c r="B894" t="s">
        <v>142</v>
      </c>
      <c r="C894" t="s">
        <v>122</v>
      </c>
      <c r="D894">
        <v>10</v>
      </c>
      <c r="E894" s="15">
        <v>3999</v>
      </c>
    </row>
    <row r="895" spans="1:5" x14ac:dyDescent="0.2">
      <c r="A895">
        <v>2022</v>
      </c>
      <c r="B895" t="s">
        <v>142</v>
      </c>
      <c r="C895" t="s">
        <v>123</v>
      </c>
      <c r="D895">
        <v>11</v>
      </c>
      <c r="E895" s="15">
        <v>10386</v>
      </c>
    </row>
    <row r="896" spans="1:5" x14ac:dyDescent="0.2">
      <c r="A896">
        <v>2022</v>
      </c>
      <c r="B896" t="s">
        <v>143</v>
      </c>
      <c r="C896" t="s">
        <v>113</v>
      </c>
      <c r="D896">
        <v>1</v>
      </c>
      <c r="E896" s="15">
        <v>70</v>
      </c>
    </row>
    <row r="897" spans="1:5" x14ac:dyDescent="0.2">
      <c r="A897">
        <v>2022</v>
      </c>
      <c r="B897" t="s">
        <v>143</v>
      </c>
      <c r="C897" t="s">
        <v>114</v>
      </c>
      <c r="D897">
        <v>2</v>
      </c>
      <c r="E897" s="15">
        <v>1138</v>
      </c>
    </row>
    <row r="898" spans="1:5" x14ac:dyDescent="0.2">
      <c r="A898">
        <v>2022</v>
      </c>
      <c r="B898" t="s">
        <v>143</v>
      </c>
      <c r="C898" t="s">
        <v>115</v>
      </c>
      <c r="D898">
        <v>3</v>
      </c>
      <c r="E898" s="15">
        <v>1020</v>
      </c>
    </row>
    <row r="899" spans="1:5" x14ac:dyDescent="0.2">
      <c r="A899">
        <v>2022</v>
      </c>
      <c r="B899" t="s">
        <v>143</v>
      </c>
      <c r="C899" t="s">
        <v>116</v>
      </c>
      <c r="D899">
        <v>4</v>
      </c>
      <c r="E899" s="15">
        <v>453</v>
      </c>
    </row>
    <row r="900" spans="1:5" x14ac:dyDescent="0.2">
      <c r="A900">
        <v>2022</v>
      </c>
      <c r="B900" t="s">
        <v>143</v>
      </c>
      <c r="C900" t="s">
        <v>117</v>
      </c>
      <c r="D900">
        <v>5</v>
      </c>
      <c r="E900" s="15">
        <v>1069</v>
      </c>
    </row>
    <row r="901" spans="1:5" x14ac:dyDescent="0.2">
      <c r="A901">
        <v>2022</v>
      </c>
      <c r="B901" t="s">
        <v>143</v>
      </c>
      <c r="C901" t="s">
        <v>118</v>
      </c>
      <c r="D901">
        <v>6</v>
      </c>
      <c r="E901" s="15">
        <v>1210</v>
      </c>
    </row>
    <row r="902" spans="1:5" x14ac:dyDescent="0.2">
      <c r="A902">
        <v>2022</v>
      </c>
      <c r="B902" t="s">
        <v>143</v>
      </c>
      <c r="C902" t="s">
        <v>119</v>
      </c>
      <c r="D902">
        <v>7</v>
      </c>
      <c r="E902" s="15">
        <v>571</v>
      </c>
    </row>
    <row r="903" spans="1:5" x14ac:dyDescent="0.2">
      <c r="A903">
        <v>2022</v>
      </c>
      <c r="B903" t="s">
        <v>143</v>
      </c>
      <c r="C903" t="s">
        <v>120</v>
      </c>
      <c r="D903">
        <v>8</v>
      </c>
      <c r="E903" s="15">
        <v>2110</v>
      </c>
    </row>
    <row r="904" spans="1:5" x14ac:dyDescent="0.2">
      <c r="A904">
        <v>2022</v>
      </c>
      <c r="B904" t="s">
        <v>143</v>
      </c>
      <c r="C904" t="s">
        <v>121</v>
      </c>
      <c r="D904">
        <v>9</v>
      </c>
      <c r="E904" s="15">
        <v>2364</v>
      </c>
    </row>
    <row r="905" spans="1:5" x14ac:dyDescent="0.2">
      <c r="A905">
        <v>2022</v>
      </c>
      <c r="B905" t="s">
        <v>143</v>
      </c>
      <c r="C905" t="s">
        <v>122</v>
      </c>
      <c r="D905">
        <v>10</v>
      </c>
      <c r="E905" s="15">
        <v>2638</v>
      </c>
    </row>
    <row r="906" spans="1:5" x14ac:dyDescent="0.2">
      <c r="A906">
        <v>2022</v>
      </c>
      <c r="B906" t="s">
        <v>143</v>
      </c>
      <c r="C906" t="s">
        <v>123</v>
      </c>
      <c r="D906">
        <v>11</v>
      </c>
      <c r="E906" s="15">
        <v>9229</v>
      </c>
    </row>
    <row r="907" spans="1:5" x14ac:dyDescent="0.2">
      <c r="A907">
        <v>2022</v>
      </c>
      <c r="B907" t="s">
        <v>144</v>
      </c>
      <c r="C907" t="s">
        <v>113</v>
      </c>
      <c r="D907">
        <v>1</v>
      </c>
      <c r="E907" s="15">
        <v>169</v>
      </c>
    </row>
    <row r="908" spans="1:5" x14ac:dyDescent="0.2">
      <c r="A908">
        <v>2022</v>
      </c>
      <c r="B908" t="s">
        <v>144</v>
      </c>
      <c r="C908" t="s">
        <v>114</v>
      </c>
      <c r="D908">
        <v>2</v>
      </c>
      <c r="E908" s="15">
        <v>2216</v>
      </c>
    </row>
    <row r="909" spans="1:5" x14ac:dyDescent="0.2">
      <c r="A909">
        <v>2022</v>
      </c>
      <c r="B909" t="s">
        <v>144</v>
      </c>
      <c r="C909" t="s">
        <v>115</v>
      </c>
      <c r="D909">
        <v>3</v>
      </c>
      <c r="E909" s="15">
        <v>1548</v>
      </c>
    </row>
    <row r="910" spans="1:5" x14ac:dyDescent="0.2">
      <c r="A910">
        <v>2022</v>
      </c>
      <c r="B910" t="s">
        <v>144</v>
      </c>
      <c r="C910" t="s">
        <v>116</v>
      </c>
      <c r="D910">
        <v>4</v>
      </c>
      <c r="E910" s="15">
        <v>631</v>
      </c>
    </row>
    <row r="911" spans="1:5" x14ac:dyDescent="0.2">
      <c r="A911">
        <v>2022</v>
      </c>
      <c r="B911" t="s">
        <v>144</v>
      </c>
      <c r="C911" t="s">
        <v>117</v>
      </c>
      <c r="D911">
        <v>5</v>
      </c>
      <c r="E911" s="15">
        <v>1851</v>
      </c>
    </row>
    <row r="912" spans="1:5" x14ac:dyDescent="0.2">
      <c r="A912">
        <v>2022</v>
      </c>
      <c r="B912" t="s">
        <v>144</v>
      </c>
      <c r="C912" t="s">
        <v>118</v>
      </c>
      <c r="D912">
        <v>6</v>
      </c>
      <c r="E912" s="15">
        <v>2564</v>
      </c>
    </row>
    <row r="913" spans="1:5" x14ac:dyDescent="0.2">
      <c r="A913">
        <v>2022</v>
      </c>
      <c r="B913" t="s">
        <v>144</v>
      </c>
      <c r="C913" t="s">
        <v>119</v>
      </c>
      <c r="D913">
        <v>7</v>
      </c>
      <c r="E913" s="15">
        <v>1636</v>
      </c>
    </row>
    <row r="914" spans="1:5" x14ac:dyDescent="0.2">
      <c r="A914">
        <v>2022</v>
      </c>
      <c r="B914" t="s">
        <v>144</v>
      </c>
      <c r="C914" t="s">
        <v>120</v>
      </c>
      <c r="D914">
        <v>8</v>
      </c>
      <c r="E914" s="15">
        <v>5457</v>
      </c>
    </row>
    <row r="915" spans="1:5" x14ac:dyDescent="0.2">
      <c r="A915">
        <v>2022</v>
      </c>
      <c r="B915" t="s">
        <v>144</v>
      </c>
      <c r="C915" t="s">
        <v>121</v>
      </c>
      <c r="D915">
        <v>9</v>
      </c>
      <c r="E915" s="15">
        <v>5527</v>
      </c>
    </row>
    <row r="916" spans="1:5" x14ac:dyDescent="0.2">
      <c r="A916">
        <v>2022</v>
      </c>
      <c r="B916" t="s">
        <v>144</v>
      </c>
      <c r="C916" t="s">
        <v>122</v>
      </c>
      <c r="D916">
        <v>10</v>
      </c>
      <c r="E916" s="15">
        <v>6547</v>
      </c>
    </row>
    <row r="917" spans="1:5" x14ac:dyDescent="0.2">
      <c r="A917">
        <v>2022</v>
      </c>
      <c r="B917" t="s">
        <v>144</v>
      </c>
      <c r="C917" t="s">
        <v>123</v>
      </c>
      <c r="D917">
        <v>11</v>
      </c>
      <c r="E917" s="15">
        <v>22774</v>
      </c>
    </row>
    <row r="918" spans="1:5" x14ac:dyDescent="0.2">
      <c r="A918">
        <v>2022</v>
      </c>
      <c r="B918" t="s">
        <v>145</v>
      </c>
      <c r="C918" t="s">
        <v>113</v>
      </c>
      <c r="D918">
        <v>1</v>
      </c>
      <c r="E918" s="15">
        <v>19</v>
      </c>
    </row>
    <row r="919" spans="1:5" x14ac:dyDescent="0.2">
      <c r="A919">
        <v>2022</v>
      </c>
      <c r="B919" t="s">
        <v>145</v>
      </c>
      <c r="C919" t="s">
        <v>114</v>
      </c>
      <c r="D919">
        <v>2</v>
      </c>
      <c r="E919" s="15">
        <v>222</v>
      </c>
    </row>
    <row r="920" spans="1:5" x14ac:dyDescent="0.2">
      <c r="A920">
        <v>2022</v>
      </c>
      <c r="B920" t="s">
        <v>145</v>
      </c>
      <c r="C920" t="s">
        <v>115</v>
      </c>
      <c r="D920">
        <v>3</v>
      </c>
      <c r="E920" s="15">
        <v>326</v>
      </c>
    </row>
    <row r="921" spans="1:5" x14ac:dyDescent="0.2">
      <c r="A921">
        <v>2022</v>
      </c>
      <c r="B921" t="s">
        <v>145</v>
      </c>
      <c r="C921" t="s">
        <v>116</v>
      </c>
      <c r="D921">
        <v>4</v>
      </c>
      <c r="E921" s="15">
        <v>146</v>
      </c>
    </row>
    <row r="922" spans="1:5" x14ac:dyDescent="0.2">
      <c r="A922">
        <v>2022</v>
      </c>
      <c r="B922" t="s">
        <v>145</v>
      </c>
      <c r="C922" t="s">
        <v>117</v>
      </c>
      <c r="D922">
        <v>5</v>
      </c>
      <c r="E922" s="15">
        <v>418</v>
      </c>
    </row>
    <row r="923" spans="1:5" x14ac:dyDescent="0.2">
      <c r="A923">
        <v>2022</v>
      </c>
      <c r="B923" t="s">
        <v>145</v>
      </c>
      <c r="C923" t="s">
        <v>118</v>
      </c>
      <c r="D923">
        <v>6</v>
      </c>
      <c r="E923" s="15">
        <v>1050</v>
      </c>
    </row>
    <row r="924" spans="1:5" x14ac:dyDescent="0.2">
      <c r="A924">
        <v>2022</v>
      </c>
      <c r="B924" t="s">
        <v>145</v>
      </c>
      <c r="C924" t="s">
        <v>119</v>
      </c>
      <c r="D924">
        <v>7</v>
      </c>
      <c r="E924" s="15">
        <v>977</v>
      </c>
    </row>
    <row r="925" spans="1:5" x14ac:dyDescent="0.2">
      <c r="A925">
        <v>2022</v>
      </c>
      <c r="B925" t="s">
        <v>145</v>
      </c>
      <c r="C925" t="s">
        <v>120</v>
      </c>
      <c r="D925">
        <v>8</v>
      </c>
      <c r="E925" s="15">
        <v>3187</v>
      </c>
    </row>
    <row r="926" spans="1:5" x14ac:dyDescent="0.2">
      <c r="A926">
        <v>2022</v>
      </c>
      <c r="B926" t="s">
        <v>145</v>
      </c>
      <c r="C926" t="s">
        <v>121</v>
      </c>
      <c r="D926">
        <v>9</v>
      </c>
      <c r="E926" s="15">
        <v>2835</v>
      </c>
    </row>
    <row r="927" spans="1:5" x14ac:dyDescent="0.2">
      <c r="A927">
        <v>2022</v>
      </c>
      <c r="B927" t="s">
        <v>145</v>
      </c>
      <c r="C927" t="s">
        <v>122</v>
      </c>
      <c r="D927">
        <v>10</v>
      </c>
      <c r="E927" s="15">
        <v>3022</v>
      </c>
    </row>
    <row r="928" spans="1:5" x14ac:dyDescent="0.2">
      <c r="A928">
        <v>2022</v>
      </c>
      <c r="B928" t="s">
        <v>145</v>
      </c>
      <c r="C928" t="s">
        <v>123</v>
      </c>
      <c r="D928">
        <v>11</v>
      </c>
      <c r="E928" s="15">
        <v>6217</v>
      </c>
    </row>
    <row r="929" spans="1:5" x14ac:dyDescent="0.2">
      <c r="A929">
        <v>2022</v>
      </c>
      <c r="B929" t="s">
        <v>146</v>
      </c>
      <c r="C929" t="s">
        <v>113</v>
      </c>
      <c r="D929">
        <v>1</v>
      </c>
      <c r="E929" s="15">
        <v>171</v>
      </c>
    </row>
    <row r="930" spans="1:5" x14ac:dyDescent="0.2">
      <c r="A930">
        <v>2022</v>
      </c>
      <c r="B930" t="s">
        <v>146</v>
      </c>
      <c r="C930" t="s">
        <v>114</v>
      </c>
      <c r="D930">
        <v>2</v>
      </c>
      <c r="E930" s="15">
        <v>2287</v>
      </c>
    </row>
    <row r="931" spans="1:5" x14ac:dyDescent="0.2">
      <c r="A931">
        <v>2022</v>
      </c>
      <c r="B931" t="s">
        <v>146</v>
      </c>
      <c r="C931" t="s">
        <v>115</v>
      </c>
      <c r="D931">
        <v>3</v>
      </c>
      <c r="E931" s="15">
        <v>1864</v>
      </c>
    </row>
    <row r="932" spans="1:5" x14ac:dyDescent="0.2">
      <c r="A932">
        <v>2022</v>
      </c>
      <c r="B932" t="s">
        <v>146</v>
      </c>
      <c r="C932" t="s">
        <v>116</v>
      </c>
      <c r="D932">
        <v>4</v>
      </c>
      <c r="E932" s="15">
        <v>872</v>
      </c>
    </row>
    <row r="933" spans="1:5" x14ac:dyDescent="0.2">
      <c r="A933">
        <v>2022</v>
      </c>
      <c r="B933" t="s">
        <v>146</v>
      </c>
      <c r="C933" t="s">
        <v>117</v>
      </c>
      <c r="D933">
        <v>5</v>
      </c>
      <c r="E933" s="15">
        <v>2764</v>
      </c>
    </row>
    <row r="934" spans="1:5" x14ac:dyDescent="0.2">
      <c r="A934">
        <v>2022</v>
      </c>
      <c r="B934" t="s">
        <v>146</v>
      </c>
      <c r="C934" t="s">
        <v>118</v>
      </c>
      <c r="D934">
        <v>6</v>
      </c>
      <c r="E934" s="15">
        <v>4186</v>
      </c>
    </row>
    <row r="935" spans="1:5" x14ac:dyDescent="0.2">
      <c r="A935">
        <v>2022</v>
      </c>
      <c r="B935" t="s">
        <v>146</v>
      </c>
      <c r="C935" t="s">
        <v>119</v>
      </c>
      <c r="D935">
        <v>7</v>
      </c>
      <c r="E935" s="15">
        <v>2673</v>
      </c>
    </row>
    <row r="936" spans="1:5" x14ac:dyDescent="0.2">
      <c r="A936">
        <v>2022</v>
      </c>
      <c r="B936" t="s">
        <v>146</v>
      </c>
      <c r="C936" t="s">
        <v>120</v>
      </c>
      <c r="D936">
        <v>8</v>
      </c>
      <c r="E936" s="15">
        <v>8346</v>
      </c>
    </row>
    <row r="937" spans="1:5" x14ac:dyDescent="0.2">
      <c r="A937">
        <v>2022</v>
      </c>
      <c r="B937" t="s">
        <v>146</v>
      </c>
      <c r="C937" t="s">
        <v>121</v>
      </c>
      <c r="D937">
        <v>9</v>
      </c>
      <c r="E937" s="15">
        <v>8546</v>
      </c>
    </row>
    <row r="938" spans="1:5" x14ac:dyDescent="0.2">
      <c r="A938">
        <v>2022</v>
      </c>
      <c r="B938" t="s">
        <v>146</v>
      </c>
      <c r="C938" t="s">
        <v>122</v>
      </c>
      <c r="D938">
        <v>10</v>
      </c>
      <c r="E938" s="15">
        <v>9686</v>
      </c>
    </row>
    <row r="939" spans="1:5" x14ac:dyDescent="0.2">
      <c r="A939">
        <v>2022</v>
      </c>
      <c r="B939" t="s">
        <v>146</v>
      </c>
      <c r="C939" t="s">
        <v>123</v>
      </c>
      <c r="D939">
        <v>11</v>
      </c>
      <c r="E939" s="15">
        <v>32766</v>
      </c>
    </row>
    <row r="940" spans="1:5" x14ac:dyDescent="0.2">
      <c r="A940">
        <v>2022</v>
      </c>
      <c r="B940" t="s">
        <v>147</v>
      </c>
      <c r="C940" t="s">
        <v>113</v>
      </c>
      <c r="D940">
        <v>1</v>
      </c>
      <c r="E940" s="15">
        <v>433</v>
      </c>
    </row>
    <row r="941" spans="1:5" x14ac:dyDescent="0.2">
      <c r="A941">
        <v>2022</v>
      </c>
      <c r="B941" t="s">
        <v>147</v>
      </c>
      <c r="C941" t="s">
        <v>114</v>
      </c>
      <c r="D941">
        <v>2</v>
      </c>
      <c r="E941" s="15">
        <v>4328</v>
      </c>
    </row>
    <row r="942" spans="1:5" x14ac:dyDescent="0.2">
      <c r="A942">
        <v>2022</v>
      </c>
      <c r="B942" t="s">
        <v>147</v>
      </c>
      <c r="C942" t="s">
        <v>115</v>
      </c>
      <c r="D942">
        <v>3</v>
      </c>
      <c r="E942" s="15">
        <v>3666</v>
      </c>
    </row>
    <row r="943" spans="1:5" x14ac:dyDescent="0.2">
      <c r="A943">
        <v>2022</v>
      </c>
      <c r="B943" t="s">
        <v>147</v>
      </c>
      <c r="C943" t="s">
        <v>116</v>
      </c>
      <c r="D943">
        <v>4</v>
      </c>
      <c r="E943" s="15">
        <v>1778</v>
      </c>
    </row>
    <row r="944" spans="1:5" x14ac:dyDescent="0.2">
      <c r="A944">
        <v>2022</v>
      </c>
      <c r="B944" t="s">
        <v>147</v>
      </c>
      <c r="C944" t="s">
        <v>117</v>
      </c>
      <c r="D944">
        <v>5</v>
      </c>
      <c r="E944" s="15">
        <v>5919</v>
      </c>
    </row>
    <row r="945" spans="1:5" x14ac:dyDescent="0.2">
      <c r="A945">
        <v>2022</v>
      </c>
      <c r="B945" t="s">
        <v>147</v>
      </c>
      <c r="C945" t="s">
        <v>118</v>
      </c>
      <c r="D945">
        <v>6</v>
      </c>
      <c r="E945" s="15">
        <v>8994</v>
      </c>
    </row>
    <row r="946" spans="1:5" x14ac:dyDescent="0.2">
      <c r="A946">
        <v>2022</v>
      </c>
      <c r="B946" t="s">
        <v>147</v>
      </c>
      <c r="C946" t="s">
        <v>119</v>
      </c>
      <c r="D946">
        <v>7</v>
      </c>
      <c r="E946" s="15">
        <v>4893</v>
      </c>
    </row>
    <row r="947" spans="1:5" x14ac:dyDescent="0.2">
      <c r="A947">
        <v>2022</v>
      </c>
      <c r="B947" t="s">
        <v>147</v>
      </c>
      <c r="C947" t="s">
        <v>120</v>
      </c>
      <c r="D947">
        <v>8</v>
      </c>
      <c r="E947" s="15">
        <v>14036</v>
      </c>
    </row>
    <row r="948" spans="1:5" x14ac:dyDescent="0.2">
      <c r="A948">
        <v>2022</v>
      </c>
      <c r="B948" t="s">
        <v>147</v>
      </c>
      <c r="C948" t="s">
        <v>121</v>
      </c>
      <c r="D948">
        <v>9</v>
      </c>
      <c r="E948" s="15">
        <v>15820</v>
      </c>
    </row>
    <row r="949" spans="1:5" x14ac:dyDescent="0.2">
      <c r="A949">
        <v>2022</v>
      </c>
      <c r="B949" t="s">
        <v>147</v>
      </c>
      <c r="C949" t="s">
        <v>122</v>
      </c>
      <c r="D949">
        <v>10</v>
      </c>
      <c r="E949" s="15">
        <v>18808</v>
      </c>
    </row>
    <row r="950" spans="1:5" x14ac:dyDescent="0.2">
      <c r="A950">
        <v>2022</v>
      </c>
      <c r="B950" t="s">
        <v>147</v>
      </c>
      <c r="C950" t="s">
        <v>123</v>
      </c>
      <c r="D950">
        <v>11</v>
      </c>
      <c r="E950" s="15">
        <v>64134</v>
      </c>
    </row>
    <row r="951" spans="1:5" x14ac:dyDescent="0.2">
      <c r="A951">
        <v>2022</v>
      </c>
      <c r="B951" t="s">
        <v>148</v>
      </c>
      <c r="C951" t="s">
        <v>113</v>
      </c>
      <c r="D951">
        <v>1</v>
      </c>
      <c r="E951" s="15">
        <v>144</v>
      </c>
    </row>
    <row r="952" spans="1:5" x14ac:dyDescent="0.2">
      <c r="A952">
        <v>2022</v>
      </c>
      <c r="B952" t="s">
        <v>148</v>
      </c>
      <c r="C952" t="s">
        <v>114</v>
      </c>
      <c r="D952">
        <v>2</v>
      </c>
      <c r="E952" s="15">
        <v>1082</v>
      </c>
    </row>
    <row r="953" spans="1:5" x14ac:dyDescent="0.2">
      <c r="A953">
        <v>2022</v>
      </c>
      <c r="B953" t="s">
        <v>148</v>
      </c>
      <c r="C953" t="s">
        <v>115</v>
      </c>
      <c r="D953">
        <v>3</v>
      </c>
      <c r="E953" s="15">
        <v>792</v>
      </c>
    </row>
    <row r="954" spans="1:5" x14ac:dyDescent="0.2">
      <c r="A954">
        <v>2022</v>
      </c>
      <c r="B954" t="s">
        <v>148</v>
      </c>
      <c r="C954" t="s">
        <v>116</v>
      </c>
      <c r="D954">
        <v>4</v>
      </c>
      <c r="E954" s="15">
        <v>334</v>
      </c>
    </row>
    <row r="955" spans="1:5" x14ac:dyDescent="0.2">
      <c r="A955">
        <v>2022</v>
      </c>
      <c r="B955" t="s">
        <v>148</v>
      </c>
      <c r="C955" t="s">
        <v>117</v>
      </c>
      <c r="D955">
        <v>5</v>
      </c>
      <c r="E955" s="15">
        <v>1170</v>
      </c>
    </row>
    <row r="956" spans="1:5" x14ac:dyDescent="0.2">
      <c r="A956">
        <v>2022</v>
      </c>
      <c r="B956" t="s">
        <v>148</v>
      </c>
      <c r="C956" t="s">
        <v>118</v>
      </c>
      <c r="D956">
        <v>6</v>
      </c>
      <c r="E956" s="15">
        <v>1607</v>
      </c>
    </row>
    <row r="957" spans="1:5" x14ac:dyDescent="0.2">
      <c r="A957">
        <v>2022</v>
      </c>
      <c r="B957" t="s">
        <v>148</v>
      </c>
      <c r="C957" t="s">
        <v>119</v>
      </c>
      <c r="D957">
        <v>7</v>
      </c>
      <c r="E957" s="15">
        <v>1026</v>
      </c>
    </row>
    <row r="958" spans="1:5" x14ac:dyDescent="0.2">
      <c r="A958">
        <v>2022</v>
      </c>
      <c r="B958" t="s">
        <v>148</v>
      </c>
      <c r="C958" t="s">
        <v>120</v>
      </c>
      <c r="D958">
        <v>8</v>
      </c>
      <c r="E958" s="15">
        <v>3080</v>
      </c>
    </row>
    <row r="959" spans="1:5" x14ac:dyDescent="0.2">
      <c r="A959">
        <v>2022</v>
      </c>
      <c r="B959" t="s">
        <v>148</v>
      </c>
      <c r="C959" t="s">
        <v>121</v>
      </c>
      <c r="D959">
        <v>9</v>
      </c>
      <c r="E959" s="15">
        <v>3446</v>
      </c>
    </row>
    <row r="960" spans="1:5" x14ac:dyDescent="0.2">
      <c r="A960">
        <v>2022</v>
      </c>
      <c r="B960" t="s">
        <v>148</v>
      </c>
      <c r="C960" t="s">
        <v>122</v>
      </c>
      <c r="D960">
        <v>10</v>
      </c>
      <c r="E960" s="15">
        <v>4285</v>
      </c>
    </row>
    <row r="961" spans="1:5" x14ac:dyDescent="0.2">
      <c r="A961">
        <v>2022</v>
      </c>
      <c r="B961" t="s">
        <v>148</v>
      </c>
      <c r="C961" t="s">
        <v>123</v>
      </c>
      <c r="D961">
        <v>11</v>
      </c>
      <c r="E961" s="15">
        <v>13888</v>
      </c>
    </row>
    <row r="962" spans="1:5" x14ac:dyDescent="0.2">
      <c r="A962">
        <v>2022</v>
      </c>
      <c r="B962" t="s">
        <v>149</v>
      </c>
      <c r="C962" t="s">
        <v>113</v>
      </c>
      <c r="D962">
        <v>1</v>
      </c>
      <c r="E962" s="15">
        <v>11</v>
      </c>
    </row>
    <row r="963" spans="1:5" x14ac:dyDescent="0.2">
      <c r="A963">
        <v>2022</v>
      </c>
      <c r="B963" t="s">
        <v>149</v>
      </c>
      <c r="C963" t="s">
        <v>114</v>
      </c>
      <c r="D963">
        <v>2</v>
      </c>
      <c r="E963" s="15">
        <v>108</v>
      </c>
    </row>
    <row r="964" spans="1:5" x14ac:dyDescent="0.2">
      <c r="A964">
        <v>2022</v>
      </c>
      <c r="B964" t="s">
        <v>149</v>
      </c>
      <c r="C964" t="s">
        <v>115</v>
      </c>
      <c r="D964">
        <v>3</v>
      </c>
      <c r="E964" s="15">
        <v>88</v>
      </c>
    </row>
    <row r="965" spans="1:5" x14ac:dyDescent="0.2">
      <c r="A965">
        <v>2022</v>
      </c>
      <c r="B965" t="s">
        <v>149</v>
      </c>
      <c r="C965" t="s">
        <v>116</v>
      </c>
      <c r="D965">
        <v>4</v>
      </c>
      <c r="E965" s="15">
        <v>37</v>
      </c>
    </row>
    <row r="966" spans="1:5" x14ac:dyDescent="0.2">
      <c r="A966">
        <v>2022</v>
      </c>
      <c r="B966" t="s">
        <v>149</v>
      </c>
      <c r="C966" t="s">
        <v>117</v>
      </c>
      <c r="D966">
        <v>5</v>
      </c>
      <c r="E966" s="15">
        <v>129</v>
      </c>
    </row>
    <row r="967" spans="1:5" x14ac:dyDescent="0.2">
      <c r="A967">
        <v>2022</v>
      </c>
      <c r="B967" t="s">
        <v>149</v>
      </c>
      <c r="C967" t="s">
        <v>118</v>
      </c>
      <c r="D967">
        <v>6</v>
      </c>
      <c r="E967" s="15">
        <v>117</v>
      </c>
    </row>
    <row r="968" spans="1:5" x14ac:dyDescent="0.2">
      <c r="A968">
        <v>2022</v>
      </c>
      <c r="B968" t="s">
        <v>149</v>
      </c>
      <c r="C968" t="s">
        <v>119</v>
      </c>
      <c r="D968">
        <v>7</v>
      </c>
      <c r="E968" s="15">
        <v>93</v>
      </c>
    </row>
    <row r="969" spans="1:5" x14ac:dyDescent="0.2">
      <c r="A969">
        <v>2022</v>
      </c>
      <c r="B969" t="s">
        <v>149</v>
      </c>
      <c r="C969" t="s">
        <v>120</v>
      </c>
      <c r="D969">
        <v>8</v>
      </c>
      <c r="E969" s="15">
        <v>311</v>
      </c>
    </row>
    <row r="970" spans="1:5" x14ac:dyDescent="0.2">
      <c r="A970">
        <v>2022</v>
      </c>
      <c r="B970" t="s">
        <v>149</v>
      </c>
      <c r="C970" t="s">
        <v>121</v>
      </c>
      <c r="D970">
        <v>9</v>
      </c>
      <c r="E970" s="15">
        <v>343</v>
      </c>
    </row>
    <row r="971" spans="1:5" x14ac:dyDescent="0.2">
      <c r="A971">
        <v>2022</v>
      </c>
      <c r="B971" t="s">
        <v>149</v>
      </c>
      <c r="C971" t="s">
        <v>122</v>
      </c>
      <c r="D971">
        <v>10</v>
      </c>
      <c r="E971" s="15">
        <v>329</v>
      </c>
    </row>
    <row r="972" spans="1:5" x14ac:dyDescent="0.2">
      <c r="A972">
        <v>2022</v>
      </c>
      <c r="B972" t="s">
        <v>149</v>
      </c>
      <c r="C972" t="s">
        <v>123</v>
      </c>
      <c r="D972">
        <v>11</v>
      </c>
      <c r="E972" s="15">
        <v>579</v>
      </c>
    </row>
    <row r="973" spans="1:5" x14ac:dyDescent="0.2">
      <c r="A973">
        <v>2022</v>
      </c>
      <c r="B973" t="s">
        <v>150</v>
      </c>
      <c r="C973" t="s">
        <v>113</v>
      </c>
      <c r="D973">
        <v>1</v>
      </c>
      <c r="E973" s="15">
        <v>24</v>
      </c>
    </row>
    <row r="974" spans="1:5" x14ac:dyDescent="0.2">
      <c r="A974">
        <v>2022</v>
      </c>
      <c r="B974" t="s">
        <v>150</v>
      </c>
      <c r="C974" t="s">
        <v>114</v>
      </c>
      <c r="D974">
        <v>2</v>
      </c>
      <c r="E974" s="15">
        <v>474</v>
      </c>
    </row>
    <row r="975" spans="1:5" x14ac:dyDescent="0.2">
      <c r="A975">
        <v>2022</v>
      </c>
      <c r="B975" t="s">
        <v>150</v>
      </c>
      <c r="C975" t="s">
        <v>115</v>
      </c>
      <c r="D975">
        <v>3</v>
      </c>
      <c r="E975" s="15">
        <v>401</v>
      </c>
    </row>
    <row r="976" spans="1:5" x14ac:dyDescent="0.2">
      <c r="A976">
        <v>2022</v>
      </c>
      <c r="B976" t="s">
        <v>150</v>
      </c>
      <c r="C976" t="s">
        <v>116</v>
      </c>
      <c r="D976">
        <v>4</v>
      </c>
      <c r="E976" s="15">
        <v>158</v>
      </c>
    </row>
    <row r="977" spans="1:5" x14ac:dyDescent="0.2">
      <c r="A977">
        <v>2022</v>
      </c>
      <c r="B977" t="s">
        <v>150</v>
      </c>
      <c r="C977" t="s">
        <v>117</v>
      </c>
      <c r="D977">
        <v>5</v>
      </c>
      <c r="E977" s="15">
        <v>511</v>
      </c>
    </row>
    <row r="978" spans="1:5" x14ac:dyDescent="0.2">
      <c r="A978">
        <v>2022</v>
      </c>
      <c r="B978" t="s">
        <v>150</v>
      </c>
      <c r="C978" t="s">
        <v>118</v>
      </c>
      <c r="D978">
        <v>6</v>
      </c>
      <c r="E978" s="15">
        <v>767</v>
      </c>
    </row>
    <row r="979" spans="1:5" x14ac:dyDescent="0.2">
      <c r="A979">
        <v>2022</v>
      </c>
      <c r="B979" t="s">
        <v>150</v>
      </c>
      <c r="C979" t="s">
        <v>119</v>
      </c>
      <c r="D979">
        <v>7</v>
      </c>
      <c r="E979" s="15">
        <v>606</v>
      </c>
    </row>
    <row r="980" spans="1:5" x14ac:dyDescent="0.2">
      <c r="A980">
        <v>2022</v>
      </c>
      <c r="B980" t="s">
        <v>150</v>
      </c>
      <c r="C980" t="s">
        <v>120</v>
      </c>
      <c r="D980">
        <v>8</v>
      </c>
      <c r="E980" s="15">
        <v>2107</v>
      </c>
    </row>
    <row r="981" spans="1:5" x14ac:dyDescent="0.2">
      <c r="A981">
        <v>2022</v>
      </c>
      <c r="B981" t="s">
        <v>150</v>
      </c>
      <c r="C981" t="s">
        <v>121</v>
      </c>
      <c r="D981">
        <v>9</v>
      </c>
      <c r="E981" s="15">
        <v>2027</v>
      </c>
    </row>
    <row r="982" spans="1:5" x14ac:dyDescent="0.2">
      <c r="A982">
        <v>2022</v>
      </c>
      <c r="B982" t="s">
        <v>150</v>
      </c>
      <c r="C982" t="s">
        <v>122</v>
      </c>
      <c r="D982">
        <v>10</v>
      </c>
      <c r="E982" s="15">
        <v>2146</v>
      </c>
    </row>
    <row r="983" spans="1:5" x14ac:dyDescent="0.2">
      <c r="A983">
        <v>2022</v>
      </c>
      <c r="B983" t="s">
        <v>150</v>
      </c>
      <c r="C983" t="s">
        <v>123</v>
      </c>
      <c r="D983">
        <v>11</v>
      </c>
      <c r="E983" s="15">
        <v>3980</v>
      </c>
    </row>
    <row r="984" spans="1:5" x14ac:dyDescent="0.2">
      <c r="A984">
        <v>2022</v>
      </c>
      <c r="B984" t="s">
        <v>151</v>
      </c>
      <c r="C984" t="s">
        <v>113</v>
      </c>
      <c r="D984">
        <v>1</v>
      </c>
      <c r="E984" s="15">
        <v>155</v>
      </c>
    </row>
    <row r="985" spans="1:5" x14ac:dyDescent="0.2">
      <c r="A985">
        <v>2022</v>
      </c>
      <c r="B985" t="s">
        <v>151</v>
      </c>
      <c r="C985" t="s">
        <v>114</v>
      </c>
      <c r="D985">
        <v>2</v>
      </c>
      <c r="E985" s="15">
        <v>1818</v>
      </c>
    </row>
    <row r="986" spans="1:5" x14ac:dyDescent="0.2">
      <c r="A986">
        <v>2022</v>
      </c>
      <c r="B986" t="s">
        <v>151</v>
      </c>
      <c r="C986" t="s">
        <v>115</v>
      </c>
      <c r="D986">
        <v>3</v>
      </c>
      <c r="E986" s="15">
        <v>1552</v>
      </c>
    </row>
    <row r="987" spans="1:5" x14ac:dyDescent="0.2">
      <c r="A987">
        <v>2022</v>
      </c>
      <c r="B987" t="s">
        <v>151</v>
      </c>
      <c r="C987" t="s">
        <v>116</v>
      </c>
      <c r="D987">
        <v>4</v>
      </c>
      <c r="E987" s="15">
        <v>696</v>
      </c>
    </row>
    <row r="988" spans="1:5" x14ac:dyDescent="0.2">
      <c r="A988">
        <v>2022</v>
      </c>
      <c r="B988" t="s">
        <v>151</v>
      </c>
      <c r="C988" t="s">
        <v>117</v>
      </c>
      <c r="D988">
        <v>5</v>
      </c>
      <c r="E988" s="15">
        <v>2018</v>
      </c>
    </row>
    <row r="989" spans="1:5" x14ac:dyDescent="0.2">
      <c r="A989">
        <v>2022</v>
      </c>
      <c r="B989" t="s">
        <v>151</v>
      </c>
      <c r="C989" t="s">
        <v>118</v>
      </c>
      <c r="D989">
        <v>6</v>
      </c>
      <c r="E989" s="15">
        <v>3022</v>
      </c>
    </row>
    <row r="990" spans="1:5" x14ac:dyDescent="0.2">
      <c r="A990">
        <v>2022</v>
      </c>
      <c r="B990" t="s">
        <v>151</v>
      </c>
      <c r="C990" t="s">
        <v>119</v>
      </c>
      <c r="D990">
        <v>7</v>
      </c>
      <c r="E990" s="15">
        <v>1877</v>
      </c>
    </row>
    <row r="991" spans="1:5" x14ac:dyDescent="0.2">
      <c r="A991">
        <v>2022</v>
      </c>
      <c r="B991" t="s">
        <v>151</v>
      </c>
      <c r="C991" t="s">
        <v>120</v>
      </c>
      <c r="D991">
        <v>8</v>
      </c>
      <c r="E991" s="15">
        <v>6178</v>
      </c>
    </row>
    <row r="992" spans="1:5" x14ac:dyDescent="0.2">
      <c r="A992">
        <v>2022</v>
      </c>
      <c r="B992" t="s">
        <v>151</v>
      </c>
      <c r="C992" t="s">
        <v>121</v>
      </c>
      <c r="D992">
        <v>9</v>
      </c>
      <c r="E992" s="15">
        <v>6466</v>
      </c>
    </row>
    <row r="993" spans="1:5" x14ac:dyDescent="0.2">
      <c r="A993">
        <v>2022</v>
      </c>
      <c r="B993" t="s">
        <v>151</v>
      </c>
      <c r="C993" t="s">
        <v>122</v>
      </c>
      <c r="D993">
        <v>10</v>
      </c>
      <c r="E993" s="15">
        <v>7389</v>
      </c>
    </row>
    <row r="994" spans="1:5" x14ac:dyDescent="0.2">
      <c r="A994">
        <v>2022</v>
      </c>
      <c r="B994" t="s">
        <v>151</v>
      </c>
      <c r="C994" t="s">
        <v>123</v>
      </c>
      <c r="D994">
        <v>11</v>
      </c>
      <c r="E994" s="15">
        <v>22651</v>
      </c>
    </row>
    <row r="995" spans="1:5" x14ac:dyDescent="0.2">
      <c r="A995">
        <v>2022</v>
      </c>
      <c r="B995" t="s">
        <v>152</v>
      </c>
      <c r="C995" t="s">
        <v>113</v>
      </c>
      <c r="D995">
        <v>1</v>
      </c>
      <c r="E995" s="15">
        <v>3</v>
      </c>
    </row>
    <row r="996" spans="1:5" x14ac:dyDescent="0.2">
      <c r="A996">
        <v>2022</v>
      </c>
      <c r="B996" t="s">
        <v>152</v>
      </c>
      <c r="C996" t="s">
        <v>114</v>
      </c>
      <c r="D996">
        <v>2</v>
      </c>
      <c r="E996" s="15">
        <v>34</v>
      </c>
    </row>
    <row r="997" spans="1:5" x14ac:dyDescent="0.2">
      <c r="A997">
        <v>2022</v>
      </c>
      <c r="B997" t="s">
        <v>152</v>
      </c>
      <c r="C997" t="s">
        <v>115</v>
      </c>
      <c r="D997">
        <v>3</v>
      </c>
      <c r="E997" s="15">
        <v>152</v>
      </c>
    </row>
    <row r="998" spans="1:5" x14ac:dyDescent="0.2">
      <c r="A998">
        <v>2022</v>
      </c>
      <c r="B998" t="s">
        <v>152</v>
      </c>
      <c r="C998" t="s">
        <v>116</v>
      </c>
      <c r="D998">
        <v>4</v>
      </c>
      <c r="E998" s="15">
        <v>201</v>
      </c>
    </row>
    <row r="999" spans="1:5" x14ac:dyDescent="0.2">
      <c r="A999">
        <v>2022</v>
      </c>
      <c r="B999" t="s">
        <v>152</v>
      </c>
      <c r="C999" t="s">
        <v>117</v>
      </c>
      <c r="D999">
        <v>5</v>
      </c>
      <c r="E999" s="15">
        <v>1047</v>
      </c>
    </row>
    <row r="1000" spans="1:5" x14ac:dyDescent="0.2">
      <c r="A1000">
        <v>2022</v>
      </c>
      <c r="B1000" t="s">
        <v>152</v>
      </c>
      <c r="C1000" t="s">
        <v>118</v>
      </c>
      <c r="D1000">
        <v>6</v>
      </c>
      <c r="E1000" s="15">
        <v>2963</v>
      </c>
    </row>
    <row r="1001" spans="1:5" x14ac:dyDescent="0.2">
      <c r="A1001">
        <v>2022</v>
      </c>
      <c r="B1001" t="s">
        <v>152</v>
      </c>
      <c r="C1001" t="s">
        <v>119</v>
      </c>
      <c r="D1001">
        <v>7</v>
      </c>
      <c r="E1001" s="15">
        <v>1993</v>
      </c>
    </row>
    <row r="1002" spans="1:5" x14ac:dyDescent="0.2">
      <c r="A1002">
        <v>2022</v>
      </c>
      <c r="B1002" t="s">
        <v>152</v>
      </c>
      <c r="C1002" t="s">
        <v>120</v>
      </c>
      <c r="D1002">
        <v>8</v>
      </c>
      <c r="E1002" s="15">
        <v>4997</v>
      </c>
    </row>
    <row r="1003" spans="1:5" x14ac:dyDescent="0.2">
      <c r="A1003">
        <v>2022</v>
      </c>
      <c r="B1003" t="s">
        <v>152</v>
      </c>
      <c r="C1003" t="s">
        <v>121</v>
      </c>
      <c r="D1003">
        <v>9</v>
      </c>
      <c r="E1003" s="15">
        <v>4022</v>
      </c>
    </row>
    <row r="1004" spans="1:5" x14ac:dyDescent="0.2">
      <c r="A1004">
        <v>2022</v>
      </c>
      <c r="B1004" t="s">
        <v>152</v>
      </c>
      <c r="C1004" t="s">
        <v>122</v>
      </c>
      <c r="D1004">
        <v>10</v>
      </c>
      <c r="E1004" s="15">
        <v>3821</v>
      </c>
    </row>
    <row r="1005" spans="1:5" x14ac:dyDescent="0.2">
      <c r="A1005">
        <v>2022</v>
      </c>
      <c r="B1005" t="s">
        <v>152</v>
      </c>
      <c r="C1005" t="s">
        <v>123</v>
      </c>
      <c r="D1005">
        <v>11</v>
      </c>
      <c r="E1005" s="15">
        <v>6404</v>
      </c>
    </row>
    <row r="1006" spans="1:5" x14ac:dyDescent="0.2">
      <c r="A1006">
        <v>2023</v>
      </c>
      <c r="B1006" t="s">
        <v>140</v>
      </c>
      <c r="C1006" t="s">
        <v>113</v>
      </c>
      <c r="D1006">
        <v>1</v>
      </c>
      <c r="E1006" s="15">
        <v>322</v>
      </c>
    </row>
    <row r="1007" spans="1:5" x14ac:dyDescent="0.2">
      <c r="A1007">
        <v>2023</v>
      </c>
      <c r="B1007" t="s">
        <v>140</v>
      </c>
      <c r="C1007" t="s">
        <v>114</v>
      </c>
      <c r="D1007">
        <v>2</v>
      </c>
      <c r="E1007" s="15">
        <v>3260</v>
      </c>
    </row>
    <row r="1008" spans="1:5" x14ac:dyDescent="0.2">
      <c r="A1008">
        <v>2023</v>
      </c>
      <c r="B1008" t="s">
        <v>140</v>
      </c>
      <c r="C1008" t="s">
        <v>115</v>
      </c>
      <c r="D1008">
        <v>3</v>
      </c>
      <c r="E1008" s="15">
        <v>2446</v>
      </c>
    </row>
    <row r="1009" spans="1:5" x14ac:dyDescent="0.2">
      <c r="A1009">
        <v>2023</v>
      </c>
      <c r="B1009" t="s">
        <v>140</v>
      </c>
      <c r="C1009" t="s">
        <v>116</v>
      </c>
      <c r="D1009">
        <v>4</v>
      </c>
      <c r="E1009" s="15">
        <v>1183</v>
      </c>
    </row>
    <row r="1010" spans="1:5" x14ac:dyDescent="0.2">
      <c r="A1010">
        <v>2023</v>
      </c>
      <c r="B1010" t="s">
        <v>140</v>
      </c>
      <c r="C1010" t="s">
        <v>117</v>
      </c>
      <c r="D1010">
        <v>5</v>
      </c>
      <c r="E1010" s="15">
        <v>3496</v>
      </c>
    </row>
    <row r="1011" spans="1:5" x14ac:dyDescent="0.2">
      <c r="A1011">
        <v>2023</v>
      </c>
      <c r="B1011" t="s">
        <v>140</v>
      </c>
      <c r="C1011" t="s">
        <v>118</v>
      </c>
      <c r="D1011">
        <v>6</v>
      </c>
      <c r="E1011" s="15">
        <v>4295</v>
      </c>
    </row>
    <row r="1012" spans="1:5" x14ac:dyDescent="0.2">
      <c r="A1012">
        <v>2023</v>
      </c>
      <c r="B1012" t="s">
        <v>140</v>
      </c>
      <c r="C1012" t="s">
        <v>119</v>
      </c>
      <c r="D1012">
        <v>7</v>
      </c>
      <c r="E1012" s="15">
        <v>2216</v>
      </c>
    </row>
    <row r="1013" spans="1:5" x14ac:dyDescent="0.2">
      <c r="A1013">
        <v>2023</v>
      </c>
      <c r="B1013" t="s">
        <v>140</v>
      </c>
      <c r="C1013" t="s">
        <v>120</v>
      </c>
      <c r="D1013">
        <v>8</v>
      </c>
      <c r="E1013" s="15">
        <v>6652</v>
      </c>
    </row>
    <row r="1014" spans="1:5" x14ac:dyDescent="0.2">
      <c r="A1014">
        <v>2023</v>
      </c>
      <c r="B1014" t="s">
        <v>140</v>
      </c>
      <c r="C1014" t="s">
        <v>121</v>
      </c>
      <c r="D1014">
        <v>9</v>
      </c>
      <c r="E1014" s="15">
        <v>6860</v>
      </c>
    </row>
    <row r="1015" spans="1:5" x14ac:dyDescent="0.2">
      <c r="A1015">
        <v>2023</v>
      </c>
      <c r="B1015" t="s">
        <v>140</v>
      </c>
      <c r="C1015" t="s">
        <v>122</v>
      </c>
      <c r="D1015">
        <v>10</v>
      </c>
      <c r="E1015" s="15">
        <v>9831</v>
      </c>
    </row>
    <row r="1016" spans="1:5" x14ac:dyDescent="0.2">
      <c r="A1016">
        <v>2023</v>
      </c>
      <c r="B1016" t="s">
        <v>140</v>
      </c>
      <c r="C1016" t="s">
        <v>123</v>
      </c>
      <c r="D1016">
        <v>11</v>
      </c>
      <c r="E1016" s="15">
        <v>35886</v>
      </c>
    </row>
    <row r="1017" spans="1:5" x14ac:dyDescent="0.2">
      <c r="A1017">
        <v>2023</v>
      </c>
      <c r="B1017" t="s">
        <v>141</v>
      </c>
      <c r="C1017" t="s">
        <v>113</v>
      </c>
      <c r="D1017">
        <v>1</v>
      </c>
      <c r="E1017" s="15">
        <v>559</v>
      </c>
    </row>
    <row r="1018" spans="1:5" x14ac:dyDescent="0.2">
      <c r="A1018">
        <v>2023</v>
      </c>
      <c r="B1018" t="s">
        <v>141</v>
      </c>
      <c r="C1018" t="s">
        <v>114</v>
      </c>
      <c r="D1018">
        <v>2</v>
      </c>
      <c r="E1018" s="15">
        <v>5147</v>
      </c>
    </row>
    <row r="1019" spans="1:5" x14ac:dyDescent="0.2">
      <c r="A1019">
        <v>2023</v>
      </c>
      <c r="B1019" t="s">
        <v>141</v>
      </c>
      <c r="C1019" t="s">
        <v>115</v>
      </c>
      <c r="D1019">
        <v>3</v>
      </c>
      <c r="E1019" s="15">
        <v>3801</v>
      </c>
    </row>
    <row r="1020" spans="1:5" x14ac:dyDescent="0.2">
      <c r="A1020">
        <v>2023</v>
      </c>
      <c r="B1020" t="s">
        <v>141</v>
      </c>
      <c r="C1020" t="s">
        <v>116</v>
      </c>
      <c r="D1020">
        <v>4</v>
      </c>
      <c r="E1020" s="15">
        <v>1637</v>
      </c>
    </row>
    <row r="1021" spans="1:5" x14ac:dyDescent="0.2">
      <c r="A1021">
        <v>2023</v>
      </c>
      <c r="B1021" t="s">
        <v>141</v>
      </c>
      <c r="C1021" t="s">
        <v>117</v>
      </c>
      <c r="D1021">
        <v>5</v>
      </c>
      <c r="E1021" s="15">
        <v>5832</v>
      </c>
    </row>
    <row r="1022" spans="1:5" x14ac:dyDescent="0.2">
      <c r="A1022">
        <v>2023</v>
      </c>
      <c r="B1022" t="s">
        <v>141</v>
      </c>
      <c r="C1022" t="s">
        <v>118</v>
      </c>
      <c r="D1022">
        <v>6</v>
      </c>
      <c r="E1022" s="15">
        <v>10214</v>
      </c>
    </row>
    <row r="1023" spans="1:5" x14ac:dyDescent="0.2">
      <c r="A1023">
        <v>2023</v>
      </c>
      <c r="B1023" t="s">
        <v>141</v>
      </c>
      <c r="C1023" t="s">
        <v>119</v>
      </c>
      <c r="D1023">
        <v>7</v>
      </c>
      <c r="E1023" s="15">
        <v>5481</v>
      </c>
    </row>
    <row r="1024" spans="1:5" x14ac:dyDescent="0.2">
      <c r="A1024">
        <v>2023</v>
      </c>
      <c r="B1024" t="s">
        <v>141</v>
      </c>
      <c r="C1024" t="s">
        <v>120</v>
      </c>
      <c r="D1024">
        <v>8</v>
      </c>
      <c r="E1024" s="15">
        <v>15901</v>
      </c>
    </row>
    <row r="1025" spans="1:5" x14ac:dyDescent="0.2">
      <c r="A1025">
        <v>2023</v>
      </c>
      <c r="B1025" t="s">
        <v>141</v>
      </c>
      <c r="C1025" t="s">
        <v>121</v>
      </c>
      <c r="D1025">
        <v>9</v>
      </c>
      <c r="E1025" s="15">
        <v>14735</v>
      </c>
    </row>
    <row r="1026" spans="1:5" x14ac:dyDescent="0.2">
      <c r="A1026">
        <v>2023</v>
      </c>
      <c r="B1026" t="s">
        <v>141</v>
      </c>
      <c r="C1026" t="s">
        <v>122</v>
      </c>
      <c r="D1026">
        <v>10</v>
      </c>
      <c r="E1026" s="15">
        <v>19074</v>
      </c>
    </row>
    <row r="1027" spans="1:5" x14ac:dyDescent="0.2">
      <c r="A1027">
        <v>2023</v>
      </c>
      <c r="B1027" t="s">
        <v>141</v>
      </c>
      <c r="C1027" t="s">
        <v>123</v>
      </c>
      <c r="D1027">
        <v>11</v>
      </c>
      <c r="E1027" s="15">
        <v>60587</v>
      </c>
    </row>
    <row r="1028" spans="1:5" x14ac:dyDescent="0.2">
      <c r="A1028">
        <v>2023</v>
      </c>
      <c r="B1028" t="s">
        <v>142</v>
      </c>
      <c r="C1028" t="s">
        <v>113</v>
      </c>
      <c r="D1028">
        <v>1</v>
      </c>
      <c r="E1028" s="15">
        <v>64</v>
      </c>
    </row>
    <row r="1029" spans="1:5" x14ac:dyDescent="0.2">
      <c r="A1029">
        <v>2023</v>
      </c>
      <c r="B1029" t="s">
        <v>142</v>
      </c>
      <c r="C1029" t="s">
        <v>114</v>
      </c>
      <c r="D1029">
        <v>2</v>
      </c>
      <c r="E1029" s="15">
        <v>960</v>
      </c>
    </row>
    <row r="1030" spans="1:5" x14ac:dyDescent="0.2">
      <c r="A1030">
        <v>2023</v>
      </c>
      <c r="B1030" t="s">
        <v>142</v>
      </c>
      <c r="C1030" t="s">
        <v>115</v>
      </c>
      <c r="D1030">
        <v>3</v>
      </c>
      <c r="E1030" s="15">
        <v>769</v>
      </c>
    </row>
    <row r="1031" spans="1:5" x14ac:dyDescent="0.2">
      <c r="A1031">
        <v>2023</v>
      </c>
      <c r="B1031" t="s">
        <v>142</v>
      </c>
      <c r="C1031" t="s">
        <v>116</v>
      </c>
      <c r="D1031">
        <v>4</v>
      </c>
      <c r="E1031" s="15">
        <v>323</v>
      </c>
    </row>
    <row r="1032" spans="1:5" x14ac:dyDescent="0.2">
      <c r="A1032">
        <v>2023</v>
      </c>
      <c r="B1032" t="s">
        <v>142</v>
      </c>
      <c r="C1032" t="s">
        <v>117</v>
      </c>
      <c r="D1032">
        <v>5</v>
      </c>
      <c r="E1032" s="15">
        <v>938</v>
      </c>
    </row>
    <row r="1033" spans="1:5" x14ac:dyDescent="0.2">
      <c r="A1033">
        <v>2023</v>
      </c>
      <c r="B1033" t="s">
        <v>142</v>
      </c>
      <c r="C1033" t="s">
        <v>118</v>
      </c>
      <c r="D1033">
        <v>6</v>
      </c>
      <c r="E1033" s="15">
        <v>1801</v>
      </c>
    </row>
    <row r="1034" spans="1:5" x14ac:dyDescent="0.2">
      <c r="A1034">
        <v>2023</v>
      </c>
      <c r="B1034" t="s">
        <v>142</v>
      </c>
      <c r="C1034" t="s">
        <v>119</v>
      </c>
      <c r="D1034">
        <v>7</v>
      </c>
      <c r="E1034" s="15">
        <v>1123</v>
      </c>
    </row>
    <row r="1035" spans="1:5" x14ac:dyDescent="0.2">
      <c r="A1035">
        <v>2023</v>
      </c>
      <c r="B1035" t="s">
        <v>142</v>
      </c>
      <c r="C1035" t="s">
        <v>120</v>
      </c>
      <c r="D1035">
        <v>8</v>
      </c>
      <c r="E1035" s="15">
        <v>3548</v>
      </c>
    </row>
    <row r="1036" spans="1:5" x14ac:dyDescent="0.2">
      <c r="A1036">
        <v>2023</v>
      </c>
      <c r="B1036" t="s">
        <v>142</v>
      </c>
      <c r="C1036" t="s">
        <v>121</v>
      </c>
      <c r="D1036">
        <v>9</v>
      </c>
      <c r="E1036" s="15">
        <v>3284</v>
      </c>
    </row>
    <row r="1037" spans="1:5" x14ac:dyDescent="0.2">
      <c r="A1037">
        <v>2023</v>
      </c>
      <c r="B1037" t="s">
        <v>142</v>
      </c>
      <c r="C1037" t="s">
        <v>122</v>
      </c>
      <c r="D1037">
        <v>10</v>
      </c>
      <c r="E1037" s="15">
        <v>4091</v>
      </c>
    </row>
    <row r="1038" spans="1:5" x14ac:dyDescent="0.2">
      <c r="A1038">
        <v>2023</v>
      </c>
      <c r="B1038" t="s">
        <v>142</v>
      </c>
      <c r="C1038" t="s">
        <v>123</v>
      </c>
      <c r="D1038">
        <v>11</v>
      </c>
      <c r="E1038" s="15">
        <v>10694</v>
      </c>
    </row>
    <row r="1039" spans="1:5" x14ac:dyDescent="0.2">
      <c r="A1039">
        <v>2023</v>
      </c>
      <c r="B1039" t="s">
        <v>143</v>
      </c>
      <c r="C1039" t="s">
        <v>113</v>
      </c>
      <c r="D1039">
        <v>1</v>
      </c>
      <c r="E1039" s="15">
        <v>78</v>
      </c>
    </row>
    <row r="1040" spans="1:5" x14ac:dyDescent="0.2">
      <c r="A1040">
        <v>2023</v>
      </c>
      <c r="B1040" t="s">
        <v>143</v>
      </c>
      <c r="C1040" t="s">
        <v>114</v>
      </c>
      <c r="D1040">
        <v>2</v>
      </c>
      <c r="E1040" s="15">
        <v>1055</v>
      </c>
    </row>
    <row r="1041" spans="1:5" x14ac:dyDescent="0.2">
      <c r="A1041">
        <v>2023</v>
      </c>
      <c r="B1041" t="s">
        <v>143</v>
      </c>
      <c r="C1041" t="s">
        <v>115</v>
      </c>
      <c r="D1041">
        <v>3</v>
      </c>
      <c r="E1041" s="15">
        <v>1041</v>
      </c>
    </row>
    <row r="1042" spans="1:5" x14ac:dyDescent="0.2">
      <c r="A1042">
        <v>2023</v>
      </c>
      <c r="B1042" t="s">
        <v>143</v>
      </c>
      <c r="C1042" t="s">
        <v>116</v>
      </c>
      <c r="D1042">
        <v>4</v>
      </c>
      <c r="E1042" s="15">
        <v>460</v>
      </c>
    </row>
    <row r="1043" spans="1:5" x14ac:dyDescent="0.2">
      <c r="A1043">
        <v>2023</v>
      </c>
      <c r="B1043" t="s">
        <v>143</v>
      </c>
      <c r="C1043" t="s">
        <v>117</v>
      </c>
      <c r="D1043">
        <v>5</v>
      </c>
      <c r="E1043" s="15">
        <v>1161</v>
      </c>
    </row>
    <row r="1044" spans="1:5" x14ac:dyDescent="0.2">
      <c r="A1044">
        <v>2023</v>
      </c>
      <c r="B1044" t="s">
        <v>143</v>
      </c>
      <c r="C1044" t="s">
        <v>118</v>
      </c>
      <c r="D1044">
        <v>6</v>
      </c>
      <c r="E1044" s="15">
        <v>1221</v>
      </c>
    </row>
    <row r="1045" spans="1:5" x14ac:dyDescent="0.2">
      <c r="A1045">
        <v>2023</v>
      </c>
      <c r="B1045" t="s">
        <v>143</v>
      </c>
      <c r="C1045" t="s">
        <v>119</v>
      </c>
      <c r="D1045">
        <v>7</v>
      </c>
      <c r="E1045" s="15">
        <v>584</v>
      </c>
    </row>
    <row r="1046" spans="1:5" x14ac:dyDescent="0.2">
      <c r="A1046">
        <v>2023</v>
      </c>
      <c r="B1046" t="s">
        <v>143</v>
      </c>
      <c r="C1046" t="s">
        <v>120</v>
      </c>
      <c r="D1046">
        <v>8</v>
      </c>
      <c r="E1046" s="15">
        <v>1904</v>
      </c>
    </row>
    <row r="1047" spans="1:5" x14ac:dyDescent="0.2">
      <c r="A1047">
        <v>2023</v>
      </c>
      <c r="B1047" t="s">
        <v>143</v>
      </c>
      <c r="C1047" t="s">
        <v>121</v>
      </c>
      <c r="D1047">
        <v>9</v>
      </c>
      <c r="E1047" s="15">
        <v>2142</v>
      </c>
    </row>
    <row r="1048" spans="1:5" x14ac:dyDescent="0.2">
      <c r="A1048">
        <v>2023</v>
      </c>
      <c r="B1048" t="s">
        <v>143</v>
      </c>
      <c r="C1048" t="s">
        <v>122</v>
      </c>
      <c r="D1048">
        <v>10</v>
      </c>
      <c r="E1048" s="15">
        <v>2728</v>
      </c>
    </row>
    <row r="1049" spans="1:5" x14ac:dyDescent="0.2">
      <c r="A1049">
        <v>2023</v>
      </c>
      <c r="B1049" t="s">
        <v>143</v>
      </c>
      <c r="C1049" t="s">
        <v>123</v>
      </c>
      <c r="D1049">
        <v>11</v>
      </c>
      <c r="E1049" s="15">
        <v>9268</v>
      </c>
    </row>
    <row r="1050" spans="1:5" x14ac:dyDescent="0.2">
      <c r="A1050">
        <v>2023</v>
      </c>
      <c r="B1050" t="s">
        <v>144</v>
      </c>
      <c r="C1050" t="s">
        <v>113</v>
      </c>
      <c r="D1050">
        <v>1</v>
      </c>
      <c r="E1050" s="15">
        <v>169</v>
      </c>
    </row>
    <row r="1051" spans="1:5" x14ac:dyDescent="0.2">
      <c r="A1051">
        <v>2023</v>
      </c>
      <c r="B1051" t="s">
        <v>144</v>
      </c>
      <c r="C1051" t="s">
        <v>114</v>
      </c>
      <c r="D1051">
        <v>2</v>
      </c>
      <c r="E1051" s="15">
        <v>2119</v>
      </c>
    </row>
    <row r="1052" spans="1:5" x14ac:dyDescent="0.2">
      <c r="A1052">
        <v>2023</v>
      </c>
      <c r="B1052" t="s">
        <v>144</v>
      </c>
      <c r="C1052" t="s">
        <v>115</v>
      </c>
      <c r="D1052">
        <v>3</v>
      </c>
      <c r="E1052" s="15">
        <v>1548</v>
      </c>
    </row>
    <row r="1053" spans="1:5" x14ac:dyDescent="0.2">
      <c r="A1053">
        <v>2023</v>
      </c>
      <c r="B1053" t="s">
        <v>144</v>
      </c>
      <c r="C1053" t="s">
        <v>116</v>
      </c>
      <c r="D1053">
        <v>4</v>
      </c>
      <c r="E1053" s="15">
        <v>648</v>
      </c>
    </row>
    <row r="1054" spans="1:5" x14ac:dyDescent="0.2">
      <c r="A1054">
        <v>2023</v>
      </c>
      <c r="B1054" t="s">
        <v>144</v>
      </c>
      <c r="C1054" t="s">
        <v>117</v>
      </c>
      <c r="D1054">
        <v>5</v>
      </c>
      <c r="E1054" s="15">
        <v>1948</v>
      </c>
    </row>
    <row r="1055" spans="1:5" x14ac:dyDescent="0.2">
      <c r="A1055">
        <v>2023</v>
      </c>
      <c r="B1055" t="s">
        <v>144</v>
      </c>
      <c r="C1055" t="s">
        <v>118</v>
      </c>
      <c r="D1055">
        <v>6</v>
      </c>
      <c r="E1055" s="15">
        <v>2656</v>
      </c>
    </row>
    <row r="1056" spans="1:5" x14ac:dyDescent="0.2">
      <c r="A1056">
        <v>2023</v>
      </c>
      <c r="B1056" t="s">
        <v>144</v>
      </c>
      <c r="C1056" t="s">
        <v>119</v>
      </c>
      <c r="D1056">
        <v>7</v>
      </c>
      <c r="E1056" s="15">
        <v>1640</v>
      </c>
    </row>
    <row r="1057" spans="1:5" x14ac:dyDescent="0.2">
      <c r="A1057">
        <v>2023</v>
      </c>
      <c r="B1057" t="s">
        <v>144</v>
      </c>
      <c r="C1057" t="s">
        <v>120</v>
      </c>
      <c r="D1057">
        <v>8</v>
      </c>
      <c r="E1057" s="15">
        <v>5161</v>
      </c>
    </row>
    <row r="1058" spans="1:5" x14ac:dyDescent="0.2">
      <c r="A1058">
        <v>2023</v>
      </c>
      <c r="B1058" t="s">
        <v>144</v>
      </c>
      <c r="C1058" t="s">
        <v>121</v>
      </c>
      <c r="D1058">
        <v>9</v>
      </c>
      <c r="E1058" s="15">
        <v>5057</v>
      </c>
    </row>
    <row r="1059" spans="1:5" x14ac:dyDescent="0.2">
      <c r="A1059">
        <v>2023</v>
      </c>
      <c r="B1059" t="s">
        <v>144</v>
      </c>
      <c r="C1059" t="s">
        <v>122</v>
      </c>
      <c r="D1059">
        <v>10</v>
      </c>
      <c r="E1059" s="15">
        <v>6644</v>
      </c>
    </row>
    <row r="1060" spans="1:5" x14ac:dyDescent="0.2">
      <c r="A1060">
        <v>2023</v>
      </c>
      <c r="B1060" t="s">
        <v>144</v>
      </c>
      <c r="C1060" t="s">
        <v>123</v>
      </c>
      <c r="D1060">
        <v>11</v>
      </c>
      <c r="E1060" s="15">
        <v>22321</v>
      </c>
    </row>
    <row r="1061" spans="1:5" x14ac:dyDescent="0.2">
      <c r="A1061">
        <v>2023</v>
      </c>
      <c r="B1061" t="s">
        <v>145</v>
      </c>
      <c r="C1061" t="s">
        <v>113</v>
      </c>
      <c r="D1061">
        <v>1</v>
      </c>
      <c r="E1061" s="15">
        <v>12</v>
      </c>
    </row>
    <row r="1062" spans="1:5" x14ac:dyDescent="0.2">
      <c r="A1062">
        <v>2023</v>
      </c>
      <c r="B1062" t="s">
        <v>145</v>
      </c>
      <c r="C1062" t="s">
        <v>114</v>
      </c>
      <c r="D1062">
        <v>2</v>
      </c>
      <c r="E1062" s="15">
        <v>189</v>
      </c>
    </row>
    <row r="1063" spans="1:5" x14ac:dyDescent="0.2">
      <c r="A1063">
        <v>2023</v>
      </c>
      <c r="B1063" t="s">
        <v>145</v>
      </c>
      <c r="C1063" t="s">
        <v>115</v>
      </c>
      <c r="D1063">
        <v>3</v>
      </c>
      <c r="E1063" s="15">
        <v>315</v>
      </c>
    </row>
    <row r="1064" spans="1:5" x14ac:dyDescent="0.2">
      <c r="A1064">
        <v>2023</v>
      </c>
      <c r="B1064" t="s">
        <v>145</v>
      </c>
      <c r="C1064" t="s">
        <v>116</v>
      </c>
      <c r="D1064">
        <v>4</v>
      </c>
      <c r="E1064" s="15">
        <v>130</v>
      </c>
    </row>
    <row r="1065" spans="1:5" x14ac:dyDescent="0.2">
      <c r="A1065">
        <v>2023</v>
      </c>
      <c r="B1065" t="s">
        <v>145</v>
      </c>
      <c r="C1065" t="s">
        <v>117</v>
      </c>
      <c r="D1065">
        <v>5</v>
      </c>
      <c r="E1065" s="15">
        <v>437</v>
      </c>
    </row>
    <row r="1066" spans="1:5" x14ac:dyDescent="0.2">
      <c r="A1066">
        <v>2023</v>
      </c>
      <c r="B1066" t="s">
        <v>145</v>
      </c>
      <c r="C1066" t="s">
        <v>118</v>
      </c>
      <c r="D1066">
        <v>6</v>
      </c>
      <c r="E1066" s="15">
        <v>1004</v>
      </c>
    </row>
    <row r="1067" spans="1:5" x14ac:dyDescent="0.2">
      <c r="A1067">
        <v>2023</v>
      </c>
      <c r="B1067" t="s">
        <v>145</v>
      </c>
      <c r="C1067" t="s">
        <v>119</v>
      </c>
      <c r="D1067">
        <v>7</v>
      </c>
      <c r="E1067" s="15">
        <v>898</v>
      </c>
    </row>
    <row r="1068" spans="1:5" x14ac:dyDescent="0.2">
      <c r="A1068">
        <v>2023</v>
      </c>
      <c r="B1068" t="s">
        <v>145</v>
      </c>
      <c r="C1068" t="s">
        <v>120</v>
      </c>
      <c r="D1068">
        <v>8</v>
      </c>
      <c r="E1068" s="15">
        <v>3020</v>
      </c>
    </row>
    <row r="1069" spans="1:5" x14ac:dyDescent="0.2">
      <c r="A1069">
        <v>2023</v>
      </c>
      <c r="B1069" t="s">
        <v>145</v>
      </c>
      <c r="C1069" t="s">
        <v>121</v>
      </c>
      <c r="D1069">
        <v>9</v>
      </c>
      <c r="E1069" s="15">
        <v>2643</v>
      </c>
    </row>
    <row r="1070" spans="1:5" x14ac:dyDescent="0.2">
      <c r="A1070">
        <v>2023</v>
      </c>
      <c r="B1070" t="s">
        <v>145</v>
      </c>
      <c r="C1070" t="s">
        <v>122</v>
      </c>
      <c r="D1070">
        <v>10</v>
      </c>
      <c r="E1070" s="15">
        <v>3095</v>
      </c>
    </row>
    <row r="1071" spans="1:5" x14ac:dyDescent="0.2">
      <c r="A1071">
        <v>2023</v>
      </c>
      <c r="B1071" t="s">
        <v>145</v>
      </c>
      <c r="C1071" t="s">
        <v>123</v>
      </c>
      <c r="D1071">
        <v>11</v>
      </c>
      <c r="E1071" s="15">
        <v>6356</v>
      </c>
    </row>
    <row r="1072" spans="1:5" x14ac:dyDescent="0.2">
      <c r="A1072">
        <v>2023</v>
      </c>
      <c r="B1072" t="s">
        <v>146</v>
      </c>
      <c r="C1072" t="s">
        <v>113</v>
      </c>
      <c r="D1072">
        <v>1</v>
      </c>
      <c r="E1072" s="15">
        <v>169</v>
      </c>
    </row>
    <row r="1073" spans="1:5" x14ac:dyDescent="0.2">
      <c r="A1073">
        <v>2023</v>
      </c>
      <c r="B1073" t="s">
        <v>146</v>
      </c>
      <c r="C1073" t="s">
        <v>114</v>
      </c>
      <c r="D1073">
        <v>2</v>
      </c>
      <c r="E1073" s="15">
        <v>2187</v>
      </c>
    </row>
    <row r="1074" spans="1:5" x14ac:dyDescent="0.2">
      <c r="A1074">
        <v>2023</v>
      </c>
      <c r="B1074" t="s">
        <v>146</v>
      </c>
      <c r="C1074" t="s">
        <v>115</v>
      </c>
      <c r="D1074">
        <v>3</v>
      </c>
      <c r="E1074" s="15">
        <v>1834</v>
      </c>
    </row>
    <row r="1075" spans="1:5" x14ac:dyDescent="0.2">
      <c r="A1075">
        <v>2023</v>
      </c>
      <c r="B1075" t="s">
        <v>146</v>
      </c>
      <c r="C1075" t="s">
        <v>116</v>
      </c>
      <c r="D1075">
        <v>4</v>
      </c>
      <c r="E1075" s="15">
        <v>944</v>
      </c>
    </row>
    <row r="1076" spans="1:5" x14ac:dyDescent="0.2">
      <c r="A1076">
        <v>2023</v>
      </c>
      <c r="B1076" t="s">
        <v>146</v>
      </c>
      <c r="C1076" t="s">
        <v>117</v>
      </c>
      <c r="D1076">
        <v>5</v>
      </c>
      <c r="E1076" s="15">
        <v>3044</v>
      </c>
    </row>
    <row r="1077" spans="1:5" x14ac:dyDescent="0.2">
      <c r="A1077">
        <v>2023</v>
      </c>
      <c r="B1077" t="s">
        <v>146</v>
      </c>
      <c r="C1077" t="s">
        <v>118</v>
      </c>
      <c r="D1077">
        <v>6</v>
      </c>
      <c r="E1077" s="15">
        <v>4459</v>
      </c>
    </row>
    <row r="1078" spans="1:5" x14ac:dyDescent="0.2">
      <c r="A1078">
        <v>2023</v>
      </c>
      <c r="B1078" t="s">
        <v>146</v>
      </c>
      <c r="C1078" t="s">
        <v>119</v>
      </c>
      <c r="D1078">
        <v>7</v>
      </c>
      <c r="E1078" s="15">
        <v>2668</v>
      </c>
    </row>
    <row r="1079" spans="1:5" x14ac:dyDescent="0.2">
      <c r="A1079">
        <v>2023</v>
      </c>
      <c r="B1079" t="s">
        <v>146</v>
      </c>
      <c r="C1079" t="s">
        <v>120</v>
      </c>
      <c r="D1079">
        <v>8</v>
      </c>
      <c r="E1079" s="15">
        <v>7926</v>
      </c>
    </row>
    <row r="1080" spans="1:5" x14ac:dyDescent="0.2">
      <c r="A1080">
        <v>2023</v>
      </c>
      <c r="B1080" t="s">
        <v>146</v>
      </c>
      <c r="C1080" t="s">
        <v>121</v>
      </c>
      <c r="D1080">
        <v>9</v>
      </c>
      <c r="E1080" s="15">
        <v>7959</v>
      </c>
    </row>
    <row r="1081" spans="1:5" x14ac:dyDescent="0.2">
      <c r="A1081">
        <v>2023</v>
      </c>
      <c r="B1081" t="s">
        <v>146</v>
      </c>
      <c r="C1081" t="s">
        <v>122</v>
      </c>
      <c r="D1081">
        <v>10</v>
      </c>
      <c r="E1081" s="15">
        <v>10148</v>
      </c>
    </row>
    <row r="1082" spans="1:5" x14ac:dyDescent="0.2">
      <c r="A1082">
        <v>2023</v>
      </c>
      <c r="B1082" t="s">
        <v>146</v>
      </c>
      <c r="C1082" t="s">
        <v>123</v>
      </c>
      <c r="D1082">
        <v>11</v>
      </c>
      <c r="E1082" s="15">
        <v>33110</v>
      </c>
    </row>
    <row r="1083" spans="1:5" x14ac:dyDescent="0.2">
      <c r="A1083">
        <v>2023</v>
      </c>
      <c r="B1083" t="s">
        <v>147</v>
      </c>
      <c r="C1083" t="s">
        <v>113</v>
      </c>
      <c r="D1083">
        <v>1</v>
      </c>
      <c r="E1083" s="15">
        <v>426</v>
      </c>
    </row>
    <row r="1084" spans="1:5" x14ac:dyDescent="0.2">
      <c r="A1084">
        <v>2023</v>
      </c>
      <c r="B1084" t="s">
        <v>147</v>
      </c>
      <c r="C1084" t="s">
        <v>114</v>
      </c>
      <c r="D1084">
        <v>2</v>
      </c>
      <c r="E1084" s="15">
        <v>4153</v>
      </c>
    </row>
    <row r="1085" spans="1:5" x14ac:dyDescent="0.2">
      <c r="A1085">
        <v>2023</v>
      </c>
      <c r="B1085" t="s">
        <v>147</v>
      </c>
      <c r="C1085" t="s">
        <v>115</v>
      </c>
      <c r="D1085">
        <v>3</v>
      </c>
      <c r="E1085" s="15">
        <v>3639</v>
      </c>
    </row>
    <row r="1086" spans="1:5" x14ac:dyDescent="0.2">
      <c r="A1086">
        <v>2023</v>
      </c>
      <c r="B1086" t="s">
        <v>147</v>
      </c>
      <c r="C1086" t="s">
        <v>116</v>
      </c>
      <c r="D1086">
        <v>4</v>
      </c>
      <c r="E1086" s="15">
        <v>1873</v>
      </c>
    </row>
    <row r="1087" spans="1:5" x14ac:dyDescent="0.2">
      <c r="A1087">
        <v>2023</v>
      </c>
      <c r="B1087" t="s">
        <v>147</v>
      </c>
      <c r="C1087" t="s">
        <v>117</v>
      </c>
      <c r="D1087">
        <v>5</v>
      </c>
      <c r="E1087" s="15">
        <v>6328</v>
      </c>
    </row>
    <row r="1088" spans="1:5" x14ac:dyDescent="0.2">
      <c r="A1088">
        <v>2023</v>
      </c>
      <c r="B1088" t="s">
        <v>147</v>
      </c>
      <c r="C1088" t="s">
        <v>118</v>
      </c>
      <c r="D1088">
        <v>6</v>
      </c>
      <c r="E1088" s="15">
        <v>9613</v>
      </c>
    </row>
    <row r="1089" spans="1:5" x14ac:dyDescent="0.2">
      <c r="A1089">
        <v>2023</v>
      </c>
      <c r="B1089" t="s">
        <v>147</v>
      </c>
      <c r="C1089" t="s">
        <v>119</v>
      </c>
      <c r="D1089">
        <v>7</v>
      </c>
      <c r="E1089" s="15">
        <v>4979</v>
      </c>
    </row>
    <row r="1090" spans="1:5" x14ac:dyDescent="0.2">
      <c r="A1090">
        <v>2023</v>
      </c>
      <c r="B1090" t="s">
        <v>147</v>
      </c>
      <c r="C1090" t="s">
        <v>120</v>
      </c>
      <c r="D1090">
        <v>8</v>
      </c>
      <c r="E1090" s="15">
        <v>13524</v>
      </c>
    </row>
    <row r="1091" spans="1:5" x14ac:dyDescent="0.2">
      <c r="A1091">
        <v>2023</v>
      </c>
      <c r="B1091" t="s">
        <v>147</v>
      </c>
      <c r="C1091" t="s">
        <v>121</v>
      </c>
      <c r="D1091">
        <v>9</v>
      </c>
      <c r="E1091" s="15">
        <v>14677</v>
      </c>
    </row>
    <row r="1092" spans="1:5" x14ac:dyDescent="0.2">
      <c r="A1092">
        <v>2023</v>
      </c>
      <c r="B1092" t="s">
        <v>147</v>
      </c>
      <c r="C1092" t="s">
        <v>122</v>
      </c>
      <c r="D1092">
        <v>10</v>
      </c>
      <c r="E1092" s="15">
        <v>19490</v>
      </c>
    </row>
    <row r="1093" spans="1:5" x14ac:dyDescent="0.2">
      <c r="A1093">
        <v>2023</v>
      </c>
      <c r="B1093" t="s">
        <v>147</v>
      </c>
      <c r="C1093" t="s">
        <v>123</v>
      </c>
      <c r="D1093">
        <v>11</v>
      </c>
      <c r="E1093" s="15">
        <v>65038</v>
      </c>
    </row>
    <row r="1094" spans="1:5" x14ac:dyDescent="0.2">
      <c r="A1094">
        <v>2023</v>
      </c>
      <c r="B1094" t="s">
        <v>148</v>
      </c>
      <c r="C1094" t="s">
        <v>113</v>
      </c>
      <c r="D1094">
        <v>1</v>
      </c>
      <c r="E1094" s="15">
        <v>143</v>
      </c>
    </row>
    <row r="1095" spans="1:5" x14ac:dyDescent="0.2">
      <c r="A1095">
        <v>2023</v>
      </c>
      <c r="B1095" t="s">
        <v>148</v>
      </c>
      <c r="C1095" t="s">
        <v>114</v>
      </c>
      <c r="D1095">
        <v>2</v>
      </c>
      <c r="E1095" s="15">
        <v>1035</v>
      </c>
    </row>
    <row r="1096" spans="1:5" x14ac:dyDescent="0.2">
      <c r="A1096">
        <v>2023</v>
      </c>
      <c r="B1096" t="s">
        <v>148</v>
      </c>
      <c r="C1096" t="s">
        <v>115</v>
      </c>
      <c r="D1096">
        <v>3</v>
      </c>
      <c r="E1096" s="15">
        <v>785</v>
      </c>
    </row>
    <row r="1097" spans="1:5" x14ac:dyDescent="0.2">
      <c r="A1097">
        <v>2023</v>
      </c>
      <c r="B1097" t="s">
        <v>148</v>
      </c>
      <c r="C1097" t="s">
        <v>116</v>
      </c>
      <c r="D1097">
        <v>4</v>
      </c>
      <c r="E1097" s="15">
        <v>329</v>
      </c>
    </row>
    <row r="1098" spans="1:5" x14ac:dyDescent="0.2">
      <c r="A1098">
        <v>2023</v>
      </c>
      <c r="B1098" t="s">
        <v>148</v>
      </c>
      <c r="C1098" t="s">
        <v>117</v>
      </c>
      <c r="D1098">
        <v>5</v>
      </c>
      <c r="E1098" s="15">
        <v>1189</v>
      </c>
    </row>
    <row r="1099" spans="1:5" x14ac:dyDescent="0.2">
      <c r="A1099">
        <v>2023</v>
      </c>
      <c r="B1099" t="s">
        <v>148</v>
      </c>
      <c r="C1099" t="s">
        <v>118</v>
      </c>
      <c r="D1099">
        <v>6</v>
      </c>
      <c r="E1099" s="15">
        <v>1651</v>
      </c>
    </row>
    <row r="1100" spans="1:5" x14ac:dyDescent="0.2">
      <c r="A1100">
        <v>2023</v>
      </c>
      <c r="B1100" t="s">
        <v>148</v>
      </c>
      <c r="C1100" t="s">
        <v>119</v>
      </c>
      <c r="D1100">
        <v>7</v>
      </c>
      <c r="E1100" s="15">
        <v>1067</v>
      </c>
    </row>
    <row r="1101" spans="1:5" x14ac:dyDescent="0.2">
      <c r="A1101">
        <v>2023</v>
      </c>
      <c r="B1101" t="s">
        <v>148</v>
      </c>
      <c r="C1101" t="s">
        <v>120</v>
      </c>
      <c r="D1101">
        <v>8</v>
      </c>
      <c r="E1101" s="15">
        <v>2953</v>
      </c>
    </row>
    <row r="1102" spans="1:5" x14ac:dyDescent="0.2">
      <c r="A1102">
        <v>2023</v>
      </c>
      <c r="B1102" t="s">
        <v>148</v>
      </c>
      <c r="C1102" t="s">
        <v>121</v>
      </c>
      <c r="D1102">
        <v>9</v>
      </c>
      <c r="E1102" s="15">
        <v>3155</v>
      </c>
    </row>
    <row r="1103" spans="1:5" x14ac:dyDescent="0.2">
      <c r="A1103">
        <v>2023</v>
      </c>
      <c r="B1103" t="s">
        <v>148</v>
      </c>
      <c r="C1103" t="s">
        <v>122</v>
      </c>
      <c r="D1103">
        <v>10</v>
      </c>
      <c r="E1103" s="15">
        <v>4392</v>
      </c>
    </row>
    <row r="1104" spans="1:5" x14ac:dyDescent="0.2">
      <c r="A1104">
        <v>2023</v>
      </c>
      <c r="B1104" t="s">
        <v>148</v>
      </c>
      <c r="C1104" t="s">
        <v>123</v>
      </c>
      <c r="D1104">
        <v>11</v>
      </c>
      <c r="E1104" s="15">
        <v>14023</v>
      </c>
    </row>
    <row r="1105" spans="1:5" x14ac:dyDescent="0.2">
      <c r="A1105">
        <v>2023</v>
      </c>
      <c r="B1105" t="s">
        <v>149</v>
      </c>
      <c r="C1105" t="s">
        <v>113</v>
      </c>
      <c r="D1105">
        <v>1</v>
      </c>
      <c r="E1105" s="15">
        <v>8</v>
      </c>
    </row>
    <row r="1106" spans="1:5" x14ac:dyDescent="0.2">
      <c r="A1106">
        <v>2023</v>
      </c>
      <c r="B1106" t="s">
        <v>149</v>
      </c>
      <c r="C1106" t="s">
        <v>114</v>
      </c>
      <c r="D1106">
        <v>2</v>
      </c>
      <c r="E1106" s="15">
        <v>103</v>
      </c>
    </row>
    <row r="1107" spans="1:5" x14ac:dyDescent="0.2">
      <c r="A1107">
        <v>2023</v>
      </c>
      <c r="B1107" t="s">
        <v>149</v>
      </c>
      <c r="C1107" t="s">
        <v>115</v>
      </c>
      <c r="D1107">
        <v>3</v>
      </c>
      <c r="E1107" s="15">
        <v>84</v>
      </c>
    </row>
    <row r="1108" spans="1:5" x14ac:dyDescent="0.2">
      <c r="A1108">
        <v>2023</v>
      </c>
      <c r="B1108" t="s">
        <v>149</v>
      </c>
      <c r="C1108" t="s">
        <v>116</v>
      </c>
      <c r="D1108">
        <v>4</v>
      </c>
      <c r="E1108" s="15">
        <v>43</v>
      </c>
    </row>
    <row r="1109" spans="1:5" x14ac:dyDescent="0.2">
      <c r="A1109">
        <v>2023</v>
      </c>
      <c r="B1109" t="s">
        <v>149</v>
      </c>
      <c r="C1109" t="s">
        <v>117</v>
      </c>
      <c r="D1109">
        <v>5</v>
      </c>
      <c r="E1109" s="15">
        <v>141</v>
      </c>
    </row>
    <row r="1110" spans="1:5" x14ac:dyDescent="0.2">
      <c r="A1110">
        <v>2023</v>
      </c>
      <c r="B1110" t="s">
        <v>149</v>
      </c>
      <c r="C1110" t="s">
        <v>118</v>
      </c>
      <c r="D1110">
        <v>6</v>
      </c>
      <c r="E1110" s="15">
        <v>121</v>
      </c>
    </row>
    <row r="1111" spans="1:5" x14ac:dyDescent="0.2">
      <c r="A1111">
        <v>2023</v>
      </c>
      <c r="B1111" t="s">
        <v>149</v>
      </c>
      <c r="C1111" t="s">
        <v>119</v>
      </c>
      <c r="D1111">
        <v>7</v>
      </c>
      <c r="E1111" s="15">
        <v>100</v>
      </c>
    </row>
    <row r="1112" spans="1:5" x14ac:dyDescent="0.2">
      <c r="A1112">
        <v>2023</v>
      </c>
      <c r="B1112" t="s">
        <v>149</v>
      </c>
      <c r="C1112" t="s">
        <v>120</v>
      </c>
      <c r="D1112">
        <v>8</v>
      </c>
      <c r="E1112" s="15">
        <v>295</v>
      </c>
    </row>
    <row r="1113" spans="1:5" x14ac:dyDescent="0.2">
      <c r="A1113">
        <v>2023</v>
      </c>
      <c r="B1113" t="s">
        <v>149</v>
      </c>
      <c r="C1113" t="s">
        <v>121</v>
      </c>
      <c r="D1113">
        <v>9</v>
      </c>
      <c r="E1113" s="15">
        <v>315</v>
      </c>
    </row>
    <row r="1114" spans="1:5" x14ac:dyDescent="0.2">
      <c r="A1114">
        <v>2023</v>
      </c>
      <c r="B1114" t="s">
        <v>149</v>
      </c>
      <c r="C1114" t="s">
        <v>122</v>
      </c>
      <c r="D1114">
        <v>10</v>
      </c>
      <c r="E1114" s="15">
        <v>374</v>
      </c>
    </row>
    <row r="1115" spans="1:5" x14ac:dyDescent="0.2">
      <c r="A1115">
        <v>2023</v>
      </c>
      <c r="B1115" t="s">
        <v>149</v>
      </c>
      <c r="C1115" t="s">
        <v>123</v>
      </c>
      <c r="D1115">
        <v>11</v>
      </c>
      <c r="E1115" s="15">
        <v>642</v>
      </c>
    </row>
    <row r="1116" spans="1:5" x14ac:dyDescent="0.2">
      <c r="A1116">
        <v>2023</v>
      </c>
      <c r="B1116" t="s">
        <v>150</v>
      </c>
      <c r="C1116" t="s">
        <v>113</v>
      </c>
      <c r="D1116">
        <v>1</v>
      </c>
      <c r="E1116" s="15">
        <v>19</v>
      </c>
    </row>
    <row r="1117" spans="1:5" x14ac:dyDescent="0.2">
      <c r="A1117">
        <v>2023</v>
      </c>
      <c r="B1117" t="s">
        <v>150</v>
      </c>
      <c r="C1117" t="s">
        <v>114</v>
      </c>
      <c r="D1117">
        <v>2</v>
      </c>
      <c r="E1117" s="15">
        <v>437</v>
      </c>
    </row>
    <row r="1118" spans="1:5" x14ac:dyDescent="0.2">
      <c r="A1118">
        <v>2023</v>
      </c>
      <c r="B1118" t="s">
        <v>150</v>
      </c>
      <c r="C1118" t="s">
        <v>115</v>
      </c>
      <c r="D1118">
        <v>3</v>
      </c>
      <c r="E1118" s="15">
        <v>411</v>
      </c>
    </row>
    <row r="1119" spans="1:5" x14ac:dyDescent="0.2">
      <c r="A1119">
        <v>2023</v>
      </c>
      <c r="B1119" t="s">
        <v>150</v>
      </c>
      <c r="C1119" t="s">
        <v>116</v>
      </c>
      <c r="D1119">
        <v>4</v>
      </c>
      <c r="E1119" s="15">
        <v>171</v>
      </c>
    </row>
    <row r="1120" spans="1:5" x14ac:dyDescent="0.2">
      <c r="A1120">
        <v>2023</v>
      </c>
      <c r="B1120" t="s">
        <v>150</v>
      </c>
      <c r="C1120" t="s">
        <v>117</v>
      </c>
      <c r="D1120">
        <v>5</v>
      </c>
      <c r="E1120" s="15">
        <v>584</v>
      </c>
    </row>
    <row r="1121" spans="1:5" x14ac:dyDescent="0.2">
      <c r="A1121">
        <v>2023</v>
      </c>
      <c r="B1121" t="s">
        <v>150</v>
      </c>
      <c r="C1121" t="s">
        <v>118</v>
      </c>
      <c r="D1121">
        <v>6</v>
      </c>
      <c r="E1121" s="15">
        <v>758</v>
      </c>
    </row>
    <row r="1122" spans="1:5" x14ac:dyDescent="0.2">
      <c r="A1122">
        <v>2023</v>
      </c>
      <c r="B1122" t="s">
        <v>150</v>
      </c>
      <c r="C1122" t="s">
        <v>119</v>
      </c>
      <c r="D1122">
        <v>7</v>
      </c>
      <c r="E1122" s="15">
        <v>562</v>
      </c>
    </row>
    <row r="1123" spans="1:5" x14ac:dyDescent="0.2">
      <c r="A1123">
        <v>2023</v>
      </c>
      <c r="B1123" t="s">
        <v>150</v>
      </c>
      <c r="C1123" t="s">
        <v>120</v>
      </c>
      <c r="D1123">
        <v>8</v>
      </c>
      <c r="E1123" s="15">
        <v>2038</v>
      </c>
    </row>
    <row r="1124" spans="1:5" x14ac:dyDescent="0.2">
      <c r="A1124">
        <v>2023</v>
      </c>
      <c r="B1124" t="s">
        <v>150</v>
      </c>
      <c r="C1124" t="s">
        <v>121</v>
      </c>
      <c r="D1124">
        <v>9</v>
      </c>
      <c r="E1124" s="15">
        <v>1849</v>
      </c>
    </row>
    <row r="1125" spans="1:5" x14ac:dyDescent="0.2">
      <c r="A1125">
        <v>2023</v>
      </c>
      <c r="B1125" t="s">
        <v>150</v>
      </c>
      <c r="C1125" t="s">
        <v>122</v>
      </c>
      <c r="D1125">
        <v>10</v>
      </c>
      <c r="E1125" s="15">
        <v>2190</v>
      </c>
    </row>
    <row r="1126" spans="1:5" x14ac:dyDescent="0.2">
      <c r="A1126">
        <v>2023</v>
      </c>
      <c r="B1126" t="s">
        <v>150</v>
      </c>
      <c r="C1126" t="s">
        <v>123</v>
      </c>
      <c r="D1126">
        <v>11</v>
      </c>
      <c r="E1126" s="15">
        <v>4115</v>
      </c>
    </row>
    <row r="1127" spans="1:5" x14ac:dyDescent="0.2">
      <c r="A1127">
        <v>2023</v>
      </c>
      <c r="B1127" t="s">
        <v>151</v>
      </c>
      <c r="C1127" t="s">
        <v>113</v>
      </c>
      <c r="D1127">
        <v>1</v>
      </c>
      <c r="E1127" s="15">
        <v>160</v>
      </c>
    </row>
    <row r="1128" spans="1:5" x14ac:dyDescent="0.2">
      <c r="A1128">
        <v>2023</v>
      </c>
      <c r="B1128" t="s">
        <v>151</v>
      </c>
      <c r="C1128" t="s">
        <v>114</v>
      </c>
      <c r="D1128">
        <v>2</v>
      </c>
      <c r="E1128" s="15">
        <v>1683</v>
      </c>
    </row>
    <row r="1129" spans="1:5" x14ac:dyDescent="0.2">
      <c r="A1129">
        <v>2023</v>
      </c>
      <c r="B1129" t="s">
        <v>151</v>
      </c>
      <c r="C1129" t="s">
        <v>115</v>
      </c>
      <c r="D1129">
        <v>3</v>
      </c>
      <c r="E1129" s="15">
        <v>1525</v>
      </c>
    </row>
    <row r="1130" spans="1:5" x14ac:dyDescent="0.2">
      <c r="A1130">
        <v>2023</v>
      </c>
      <c r="B1130" t="s">
        <v>151</v>
      </c>
      <c r="C1130" t="s">
        <v>116</v>
      </c>
      <c r="D1130">
        <v>4</v>
      </c>
      <c r="E1130" s="15">
        <v>749</v>
      </c>
    </row>
    <row r="1131" spans="1:5" x14ac:dyDescent="0.2">
      <c r="A1131">
        <v>2023</v>
      </c>
      <c r="B1131" t="s">
        <v>151</v>
      </c>
      <c r="C1131" t="s">
        <v>117</v>
      </c>
      <c r="D1131">
        <v>5</v>
      </c>
      <c r="E1131" s="15">
        <v>2163</v>
      </c>
    </row>
    <row r="1132" spans="1:5" x14ac:dyDescent="0.2">
      <c r="A1132">
        <v>2023</v>
      </c>
      <c r="B1132" t="s">
        <v>151</v>
      </c>
      <c r="C1132" t="s">
        <v>118</v>
      </c>
      <c r="D1132">
        <v>6</v>
      </c>
      <c r="E1132" s="15">
        <v>3237</v>
      </c>
    </row>
    <row r="1133" spans="1:5" x14ac:dyDescent="0.2">
      <c r="A1133">
        <v>2023</v>
      </c>
      <c r="B1133" t="s">
        <v>151</v>
      </c>
      <c r="C1133" t="s">
        <v>119</v>
      </c>
      <c r="D1133">
        <v>7</v>
      </c>
      <c r="E1133" s="15">
        <v>1922</v>
      </c>
    </row>
    <row r="1134" spans="1:5" x14ac:dyDescent="0.2">
      <c r="A1134">
        <v>2023</v>
      </c>
      <c r="B1134" t="s">
        <v>151</v>
      </c>
      <c r="C1134" t="s">
        <v>120</v>
      </c>
      <c r="D1134">
        <v>8</v>
      </c>
      <c r="E1134" s="15">
        <v>5844</v>
      </c>
    </row>
    <row r="1135" spans="1:5" x14ac:dyDescent="0.2">
      <c r="A1135">
        <v>2023</v>
      </c>
      <c r="B1135" t="s">
        <v>151</v>
      </c>
      <c r="C1135" t="s">
        <v>121</v>
      </c>
      <c r="D1135">
        <v>9</v>
      </c>
      <c r="E1135" s="15">
        <v>6043</v>
      </c>
    </row>
    <row r="1136" spans="1:5" x14ac:dyDescent="0.2">
      <c r="A1136">
        <v>2023</v>
      </c>
      <c r="B1136" t="s">
        <v>151</v>
      </c>
      <c r="C1136" t="s">
        <v>122</v>
      </c>
      <c r="D1136">
        <v>10</v>
      </c>
      <c r="E1136" s="15">
        <v>7786</v>
      </c>
    </row>
    <row r="1137" spans="1:5" x14ac:dyDescent="0.2">
      <c r="A1137">
        <v>2023</v>
      </c>
      <c r="B1137" t="s">
        <v>151</v>
      </c>
      <c r="C1137" t="s">
        <v>123</v>
      </c>
      <c r="D1137">
        <v>11</v>
      </c>
      <c r="E1137" s="15">
        <v>22829</v>
      </c>
    </row>
    <row r="1138" spans="1:5" x14ac:dyDescent="0.2">
      <c r="A1138">
        <v>2023</v>
      </c>
      <c r="B1138" t="s">
        <v>152</v>
      </c>
      <c r="C1138" t="s">
        <v>113</v>
      </c>
      <c r="D1138">
        <v>1</v>
      </c>
      <c r="E1138" s="15">
        <v>1</v>
      </c>
    </row>
    <row r="1139" spans="1:5" x14ac:dyDescent="0.2">
      <c r="A1139">
        <v>2023</v>
      </c>
      <c r="B1139" t="s">
        <v>152</v>
      </c>
      <c r="C1139" t="s">
        <v>114</v>
      </c>
      <c r="D1139">
        <v>2</v>
      </c>
      <c r="E1139" s="15">
        <v>45</v>
      </c>
    </row>
    <row r="1140" spans="1:5" x14ac:dyDescent="0.2">
      <c r="A1140">
        <v>2023</v>
      </c>
      <c r="B1140" t="s">
        <v>152</v>
      </c>
      <c r="C1140" t="s">
        <v>115</v>
      </c>
      <c r="D1140">
        <v>3</v>
      </c>
      <c r="E1140" s="15">
        <v>158</v>
      </c>
    </row>
    <row r="1141" spans="1:5" x14ac:dyDescent="0.2">
      <c r="A1141">
        <v>2023</v>
      </c>
      <c r="B1141" t="s">
        <v>152</v>
      </c>
      <c r="C1141" t="s">
        <v>116</v>
      </c>
      <c r="D1141">
        <v>4</v>
      </c>
      <c r="E1141" s="15">
        <v>220</v>
      </c>
    </row>
    <row r="1142" spans="1:5" x14ac:dyDescent="0.2">
      <c r="A1142">
        <v>2023</v>
      </c>
      <c r="B1142" t="s">
        <v>152</v>
      </c>
      <c r="C1142" t="s">
        <v>117</v>
      </c>
      <c r="D1142">
        <v>5</v>
      </c>
      <c r="E1142" s="15">
        <v>1285</v>
      </c>
    </row>
    <row r="1143" spans="1:5" x14ac:dyDescent="0.2">
      <c r="A1143">
        <v>2023</v>
      </c>
      <c r="B1143" t="s">
        <v>152</v>
      </c>
      <c r="C1143" t="s">
        <v>118</v>
      </c>
      <c r="D1143">
        <v>6</v>
      </c>
      <c r="E1143" s="15">
        <v>3279</v>
      </c>
    </row>
    <row r="1144" spans="1:5" x14ac:dyDescent="0.2">
      <c r="A1144">
        <v>2023</v>
      </c>
      <c r="B1144" t="s">
        <v>152</v>
      </c>
      <c r="C1144" t="s">
        <v>119</v>
      </c>
      <c r="D1144">
        <v>7</v>
      </c>
      <c r="E1144" s="15">
        <v>2098</v>
      </c>
    </row>
    <row r="1145" spans="1:5" x14ac:dyDescent="0.2">
      <c r="A1145">
        <v>2023</v>
      </c>
      <c r="B1145" t="s">
        <v>152</v>
      </c>
      <c r="C1145" t="s">
        <v>120</v>
      </c>
      <c r="D1145">
        <v>8</v>
      </c>
      <c r="E1145" s="15">
        <v>5063</v>
      </c>
    </row>
    <row r="1146" spans="1:5" x14ac:dyDescent="0.2">
      <c r="A1146">
        <v>2023</v>
      </c>
      <c r="B1146" t="s">
        <v>152</v>
      </c>
      <c r="C1146" t="s">
        <v>121</v>
      </c>
      <c r="D1146">
        <v>9</v>
      </c>
      <c r="E1146" s="15">
        <v>3946</v>
      </c>
    </row>
    <row r="1147" spans="1:5" x14ac:dyDescent="0.2">
      <c r="A1147">
        <v>2023</v>
      </c>
      <c r="B1147" t="s">
        <v>152</v>
      </c>
      <c r="C1147" t="s">
        <v>122</v>
      </c>
      <c r="D1147">
        <v>10</v>
      </c>
      <c r="E1147" s="15">
        <v>4116</v>
      </c>
    </row>
    <row r="1148" spans="1:5" x14ac:dyDescent="0.2">
      <c r="A1148">
        <v>2023</v>
      </c>
      <c r="B1148" t="s">
        <v>152</v>
      </c>
      <c r="C1148" t="s">
        <v>123</v>
      </c>
      <c r="D1148">
        <v>11</v>
      </c>
      <c r="E1148" s="15">
        <v>7042</v>
      </c>
    </row>
    <row r="1149" spans="1:5" x14ac:dyDescent="0.2">
      <c r="A1149">
        <v>2024</v>
      </c>
      <c r="B1149" t="s">
        <v>140</v>
      </c>
      <c r="C1149" t="s">
        <v>113</v>
      </c>
      <c r="D1149">
        <v>1</v>
      </c>
      <c r="E1149" s="15">
        <v>327</v>
      </c>
    </row>
    <row r="1150" spans="1:5" x14ac:dyDescent="0.2">
      <c r="A1150">
        <v>2024</v>
      </c>
      <c r="B1150" t="s">
        <v>140</v>
      </c>
      <c r="C1150" t="s">
        <v>114</v>
      </c>
      <c r="D1150">
        <v>2</v>
      </c>
      <c r="E1150" s="15">
        <v>3172</v>
      </c>
    </row>
    <row r="1151" spans="1:5" x14ac:dyDescent="0.2">
      <c r="A1151">
        <v>2024</v>
      </c>
      <c r="B1151" t="s">
        <v>140</v>
      </c>
      <c r="C1151" t="s">
        <v>115</v>
      </c>
      <c r="D1151">
        <v>3</v>
      </c>
      <c r="E1151" s="15">
        <v>2423</v>
      </c>
    </row>
    <row r="1152" spans="1:5" x14ac:dyDescent="0.2">
      <c r="A1152">
        <v>2024</v>
      </c>
      <c r="B1152" t="s">
        <v>140</v>
      </c>
      <c r="C1152" t="s">
        <v>116</v>
      </c>
      <c r="D1152">
        <v>4</v>
      </c>
      <c r="E1152" s="15">
        <v>1228</v>
      </c>
    </row>
    <row r="1153" spans="1:5" x14ac:dyDescent="0.2">
      <c r="A1153">
        <v>2024</v>
      </c>
      <c r="B1153" t="s">
        <v>140</v>
      </c>
      <c r="C1153" t="s">
        <v>117</v>
      </c>
      <c r="D1153">
        <v>5</v>
      </c>
      <c r="E1153" s="15">
        <v>3607</v>
      </c>
    </row>
    <row r="1154" spans="1:5" x14ac:dyDescent="0.2">
      <c r="A1154">
        <v>2024</v>
      </c>
      <c r="B1154" t="s">
        <v>140</v>
      </c>
      <c r="C1154" t="s">
        <v>118</v>
      </c>
      <c r="D1154">
        <v>6</v>
      </c>
      <c r="E1154" s="15">
        <v>4513</v>
      </c>
    </row>
    <row r="1155" spans="1:5" x14ac:dyDescent="0.2">
      <c r="A1155">
        <v>2024</v>
      </c>
      <c r="B1155" t="s">
        <v>140</v>
      </c>
      <c r="C1155" t="s">
        <v>119</v>
      </c>
      <c r="D1155">
        <v>7</v>
      </c>
      <c r="E1155" s="15">
        <v>2272</v>
      </c>
    </row>
    <row r="1156" spans="1:5" x14ac:dyDescent="0.2">
      <c r="A1156">
        <v>2024</v>
      </c>
      <c r="B1156" t="s">
        <v>140</v>
      </c>
      <c r="C1156" t="s">
        <v>120</v>
      </c>
      <c r="D1156">
        <v>8</v>
      </c>
      <c r="E1156" s="15">
        <v>6346</v>
      </c>
    </row>
    <row r="1157" spans="1:5" x14ac:dyDescent="0.2">
      <c r="A1157">
        <v>2024</v>
      </c>
      <c r="B1157" t="s">
        <v>140</v>
      </c>
      <c r="C1157" t="s">
        <v>121</v>
      </c>
      <c r="D1157">
        <v>9</v>
      </c>
      <c r="E1157" s="15">
        <v>6232</v>
      </c>
    </row>
    <row r="1158" spans="1:5" x14ac:dyDescent="0.2">
      <c r="A1158">
        <v>2024</v>
      </c>
      <c r="B1158" t="s">
        <v>140</v>
      </c>
      <c r="C1158" t="s">
        <v>122</v>
      </c>
      <c r="D1158">
        <v>10</v>
      </c>
      <c r="E1158" s="15">
        <v>9631</v>
      </c>
    </row>
    <row r="1159" spans="1:5" x14ac:dyDescent="0.2">
      <c r="A1159">
        <v>2024</v>
      </c>
      <c r="B1159" t="s">
        <v>140</v>
      </c>
      <c r="C1159" t="s">
        <v>123</v>
      </c>
      <c r="D1159">
        <v>11</v>
      </c>
      <c r="E1159" s="15">
        <v>36169</v>
      </c>
    </row>
    <row r="1160" spans="1:5" x14ac:dyDescent="0.2">
      <c r="A1160">
        <v>2024</v>
      </c>
      <c r="B1160" t="s">
        <v>141</v>
      </c>
      <c r="C1160" t="s">
        <v>113</v>
      </c>
      <c r="D1160">
        <v>1</v>
      </c>
      <c r="E1160" s="15">
        <v>570</v>
      </c>
    </row>
    <row r="1161" spans="1:5" x14ac:dyDescent="0.2">
      <c r="A1161">
        <v>2024</v>
      </c>
      <c r="B1161" t="s">
        <v>141</v>
      </c>
      <c r="C1161" t="s">
        <v>114</v>
      </c>
      <c r="D1161">
        <v>2</v>
      </c>
      <c r="E1161" s="15">
        <v>5071</v>
      </c>
    </row>
    <row r="1162" spans="1:5" x14ac:dyDescent="0.2">
      <c r="A1162">
        <v>2024</v>
      </c>
      <c r="B1162" t="s">
        <v>141</v>
      </c>
      <c r="C1162" t="s">
        <v>115</v>
      </c>
      <c r="D1162">
        <v>3</v>
      </c>
      <c r="E1162" s="15">
        <v>3862</v>
      </c>
    </row>
    <row r="1163" spans="1:5" x14ac:dyDescent="0.2">
      <c r="A1163">
        <v>2024</v>
      </c>
      <c r="B1163" t="s">
        <v>141</v>
      </c>
      <c r="C1163" t="s">
        <v>116</v>
      </c>
      <c r="D1163">
        <v>4</v>
      </c>
      <c r="E1163" s="15">
        <v>1763</v>
      </c>
    </row>
    <row r="1164" spans="1:5" x14ac:dyDescent="0.2">
      <c r="A1164">
        <v>2024</v>
      </c>
      <c r="B1164" t="s">
        <v>141</v>
      </c>
      <c r="C1164" t="s">
        <v>117</v>
      </c>
      <c r="D1164">
        <v>5</v>
      </c>
      <c r="E1164" s="15">
        <v>6252</v>
      </c>
    </row>
    <row r="1165" spans="1:5" x14ac:dyDescent="0.2">
      <c r="A1165">
        <v>2024</v>
      </c>
      <c r="B1165" t="s">
        <v>141</v>
      </c>
      <c r="C1165" t="s">
        <v>118</v>
      </c>
      <c r="D1165">
        <v>6</v>
      </c>
      <c r="E1165" s="15">
        <v>10556</v>
      </c>
    </row>
    <row r="1166" spans="1:5" x14ac:dyDescent="0.2">
      <c r="A1166">
        <v>2024</v>
      </c>
      <c r="B1166" t="s">
        <v>141</v>
      </c>
      <c r="C1166" t="s">
        <v>119</v>
      </c>
      <c r="D1166">
        <v>7</v>
      </c>
      <c r="E1166" s="15">
        <v>5711</v>
      </c>
    </row>
    <row r="1167" spans="1:5" x14ac:dyDescent="0.2">
      <c r="A1167">
        <v>2024</v>
      </c>
      <c r="B1167" t="s">
        <v>141</v>
      </c>
      <c r="C1167" t="s">
        <v>120</v>
      </c>
      <c r="D1167">
        <v>8</v>
      </c>
      <c r="E1167" s="15">
        <v>15400</v>
      </c>
    </row>
    <row r="1168" spans="1:5" x14ac:dyDescent="0.2">
      <c r="A1168">
        <v>2024</v>
      </c>
      <c r="B1168" t="s">
        <v>141</v>
      </c>
      <c r="C1168" t="s">
        <v>121</v>
      </c>
      <c r="D1168">
        <v>9</v>
      </c>
      <c r="E1168" s="15">
        <v>13330</v>
      </c>
    </row>
    <row r="1169" spans="1:5" x14ac:dyDescent="0.2">
      <c r="A1169">
        <v>2024</v>
      </c>
      <c r="B1169" t="s">
        <v>141</v>
      </c>
      <c r="C1169" t="s">
        <v>122</v>
      </c>
      <c r="D1169">
        <v>10</v>
      </c>
      <c r="E1169" s="15">
        <v>19186</v>
      </c>
    </row>
    <row r="1170" spans="1:5" x14ac:dyDescent="0.2">
      <c r="A1170">
        <v>2024</v>
      </c>
      <c r="B1170" t="s">
        <v>141</v>
      </c>
      <c r="C1170" t="s">
        <v>123</v>
      </c>
      <c r="D1170">
        <v>11</v>
      </c>
      <c r="E1170" s="15">
        <v>61986</v>
      </c>
    </row>
    <row r="1171" spans="1:5" x14ac:dyDescent="0.2">
      <c r="A1171">
        <v>2024</v>
      </c>
      <c r="B1171" t="s">
        <v>142</v>
      </c>
      <c r="C1171" t="s">
        <v>113</v>
      </c>
      <c r="D1171">
        <v>1</v>
      </c>
      <c r="E1171" s="15">
        <v>82</v>
      </c>
    </row>
    <row r="1172" spans="1:5" x14ac:dyDescent="0.2">
      <c r="A1172">
        <v>2024</v>
      </c>
      <c r="B1172" t="s">
        <v>142</v>
      </c>
      <c r="C1172" t="s">
        <v>114</v>
      </c>
      <c r="D1172">
        <v>2</v>
      </c>
      <c r="E1172" s="15">
        <v>933</v>
      </c>
    </row>
    <row r="1173" spans="1:5" x14ac:dyDescent="0.2">
      <c r="A1173">
        <v>2024</v>
      </c>
      <c r="B1173" t="s">
        <v>142</v>
      </c>
      <c r="C1173" t="s">
        <v>115</v>
      </c>
      <c r="D1173">
        <v>3</v>
      </c>
      <c r="E1173" s="15">
        <v>792</v>
      </c>
    </row>
    <row r="1174" spans="1:5" x14ac:dyDescent="0.2">
      <c r="A1174">
        <v>2024</v>
      </c>
      <c r="B1174" t="s">
        <v>142</v>
      </c>
      <c r="C1174" t="s">
        <v>116</v>
      </c>
      <c r="D1174">
        <v>4</v>
      </c>
      <c r="E1174" s="15">
        <v>333</v>
      </c>
    </row>
    <row r="1175" spans="1:5" x14ac:dyDescent="0.2">
      <c r="A1175">
        <v>2024</v>
      </c>
      <c r="B1175" t="s">
        <v>142</v>
      </c>
      <c r="C1175" t="s">
        <v>117</v>
      </c>
      <c r="D1175">
        <v>5</v>
      </c>
      <c r="E1175" s="15">
        <v>1035</v>
      </c>
    </row>
    <row r="1176" spans="1:5" x14ac:dyDescent="0.2">
      <c r="A1176">
        <v>2024</v>
      </c>
      <c r="B1176" t="s">
        <v>142</v>
      </c>
      <c r="C1176" t="s">
        <v>118</v>
      </c>
      <c r="D1176">
        <v>6</v>
      </c>
      <c r="E1176" s="15">
        <v>1968</v>
      </c>
    </row>
    <row r="1177" spans="1:5" x14ac:dyDescent="0.2">
      <c r="A1177">
        <v>2024</v>
      </c>
      <c r="B1177" t="s">
        <v>142</v>
      </c>
      <c r="C1177" t="s">
        <v>119</v>
      </c>
      <c r="D1177">
        <v>7</v>
      </c>
      <c r="E1177" s="15">
        <v>1226</v>
      </c>
    </row>
    <row r="1178" spans="1:5" x14ac:dyDescent="0.2">
      <c r="A1178">
        <v>2024</v>
      </c>
      <c r="B1178" t="s">
        <v>142</v>
      </c>
      <c r="C1178" t="s">
        <v>120</v>
      </c>
      <c r="D1178">
        <v>8</v>
      </c>
      <c r="E1178" s="15">
        <v>3423</v>
      </c>
    </row>
    <row r="1179" spans="1:5" x14ac:dyDescent="0.2">
      <c r="A1179">
        <v>2024</v>
      </c>
      <c r="B1179" t="s">
        <v>142</v>
      </c>
      <c r="C1179" t="s">
        <v>121</v>
      </c>
      <c r="D1179">
        <v>9</v>
      </c>
      <c r="E1179" s="15">
        <v>2952</v>
      </c>
    </row>
    <row r="1180" spans="1:5" x14ac:dyDescent="0.2">
      <c r="A1180">
        <v>2024</v>
      </c>
      <c r="B1180" t="s">
        <v>142</v>
      </c>
      <c r="C1180" t="s">
        <v>122</v>
      </c>
      <c r="D1180">
        <v>10</v>
      </c>
      <c r="E1180" s="15">
        <v>3954</v>
      </c>
    </row>
    <row r="1181" spans="1:5" x14ac:dyDescent="0.2">
      <c r="A1181">
        <v>2024</v>
      </c>
      <c r="B1181" t="s">
        <v>142</v>
      </c>
      <c r="C1181" t="s">
        <v>123</v>
      </c>
      <c r="D1181">
        <v>11</v>
      </c>
      <c r="E1181" s="15">
        <v>10924</v>
      </c>
    </row>
    <row r="1182" spans="1:5" x14ac:dyDescent="0.2">
      <c r="A1182">
        <v>2024</v>
      </c>
      <c r="B1182" t="s">
        <v>143</v>
      </c>
      <c r="C1182" t="s">
        <v>113</v>
      </c>
      <c r="D1182">
        <v>1</v>
      </c>
      <c r="E1182" s="15">
        <v>99</v>
      </c>
    </row>
    <row r="1183" spans="1:5" x14ac:dyDescent="0.2">
      <c r="A1183">
        <v>2024</v>
      </c>
      <c r="B1183" t="s">
        <v>143</v>
      </c>
      <c r="C1183" t="s">
        <v>114</v>
      </c>
      <c r="D1183">
        <v>2</v>
      </c>
      <c r="E1183" s="15">
        <v>1082</v>
      </c>
    </row>
    <row r="1184" spans="1:5" x14ac:dyDescent="0.2">
      <c r="A1184">
        <v>2024</v>
      </c>
      <c r="B1184" t="s">
        <v>143</v>
      </c>
      <c r="C1184" t="s">
        <v>115</v>
      </c>
      <c r="D1184">
        <v>3</v>
      </c>
      <c r="E1184" s="15">
        <v>1031</v>
      </c>
    </row>
    <row r="1185" spans="1:5" x14ac:dyDescent="0.2">
      <c r="A1185">
        <v>2024</v>
      </c>
      <c r="B1185" t="s">
        <v>143</v>
      </c>
      <c r="C1185" t="s">
        <v>116</v>
      </c>
      <c r="D1185">
        <v>4</v>
      </c>
      <c r="E1185" s="15">
        <v>462</v>
      </c>
    </row>
    <row r="1186" spans="1:5" x14ac:dyDescent="0.2">
      <c r="A1186">
        <v>2024</v>
      </c>
      <c r="B1186" t="s">
        <v>143</v>
      </c>
      <c r="C1186" t="s">
        <v>117</v>
      </c>
      <c r="D1186">
        <v>5</v>
      </c>
      <c r="E1186" s="15">
        <v>1277</v>
      </c>
    </row>
    <row r="1187" spans="1:5" x14ac:dyDescent="0.2">
      <c r="A1187">
        <v>2024</v>
      </c>
      <c r="B1187" t="s">
        <v>143</v>
      </c>
      <c r="C1187" t="s">
        <v>118</v>
      </c>
      <c r="D1187">
        <v>6</v>
      </c>
      <c r="E1187" s="15">
        <v>1414</v>
      </c>
    </row>
    <row r="1188" spans="1:5" x14ac:dyDescent="0.2">
      <c r="A1188">
        <v>2024</v>
      </c>
      <c r="B1188" t="s">
        <v>143</v>
      </c>
      <c r="C1188" t="s">
        <v>119</v>
      </c>
      <c r="D1188">
        <v>7</v>
      </c>
      <c r="E1188" s="15">
        <v>627</v>
      </c>
    </row>
    <row r="1189" spans="1:5" x14ac:dyDescent="0.2">
      <c r="A1189">
        <v>2024</v>
      </c>
      <c r="B1189" t="s">
        <v>143</v>
      </c>
      <c r="C1189" t="s">
        <v>120</v>
      </c>
      <c r="D1189">
        <v>8</v>
      </c>
      <c r="E1189" s="15">
        <v>1891</v>
      </c>
    </row>
    <row r="1190" spans="1:5" x14ac:dyDescent="0.2">
      <c r="A1190">
        <v>2024</v>
      </c>
      <c r="B1190" t="s">
        <v>143</v>
      </c>
      <c r="C1190" t="s">
        <v>121</v>
      </c>
      <c r="D1190">
        <v>9</v>
      </c>
      <c r="E1190" s="15">
        <v>1998</v>
      </c>
    </row>
    <row r="1191" spans="1:5" x14ac:dyDescent="0.2">
      <c r="A1191">
        <v>2024</v>
      </c>
      <c r="B1191" t="s">
        <v>143</v>
      </c>
      <c r="C1191" t="s">
        <v>122</v>
      </c>
      <c r="D1191">
        <v>10</v>
      </c>
      <c r="E1191" s="15">
        <v>2821</v>
      </c>
    </row>
    <row r="1192" spans="1:5" x14ac:dyDescent="0.2">
      <c r="A1192">
        <v>2024</v>
      </c>
      <c r="B1192" t="s">
        <v>143</v>
      </c>
      <c r="C1192" t="s">
        <v>123</v>
      </c>
      <c r="D1192">
        <v>11</v>
      </c>
      <c r="E1192" s="15">
        <v>9552</v>
      </c>
    </row>
    <row r="1193" spans="1:5" x14ac:dyDescent="0.2">
      <c r="A1193">
        <v>2024</v>
      </c>
      <c r="B1193" t="s">
        <v>144</v>
      </c>
      <c r="C1193" t="s">
        <v>113</v>
      </c>
      <c r="D1193">
        <v>1</v>
      </c>
      <c r="E1193" s="15">
        <v>178</v>
      </c>
    </row>
    <row r="1194" spans="1:5" x14ac:dyDescent="0.2">
      <c r="A1194">
        <v>2024</v>
      </c>
      <c r="B1194" t="s">
        <v>144</v>
      </c>
      <c r="C1194" t="s">
        <v>114</v>
      </c>
      <c r="D1194">
        <v>2</v>
      </c>
      <c r="E1194" s="15">
        <v>2082</v>
      </c>
    </row>
    <row r="1195" spans="1:5" x14ac:dyDescent="0.2">
      <c r="A1195">
        <v>2024</v>
      </c>
      <c r="B1195" t="s">
        <v>144</v>
      </c>
      <c r="C1195" t="s">
        <v>115</v>
      </c>
      <c r="D1195">
        <v>3</v>
      </c>
      <c r="E1195" s="15">
        <v>1503</v>
      </c>
    </row>
    <row r="1196" spans="1:5" x14ac:dyDescent="0.2">
      <c r="A1196">
        <v>2024</v>
      </c>
      <c r="B1196" t="s">
        <v>144</v>
      </c>
      <c r="C1196" t="s">
        <v>116</v>
      </c>
      <c r="D1196">
        <v>4</v>
      </c>
      <c r="E1196" s="15">
        <v>698</v>
      </c>
    </row>
    <row r="1197" spans="1:5" x14ac:dyDescent="0.2">
      <c r="A1197">
        <v>2024</v>
      </c>
      <c r="B1197" t="s">
        <v>144</v>
      </c>
      <c r="C1197" t="s">
        <v>117</v>
      </c>
      <c r="D1197">
        <v>5</v>
      </c>
      <c r="E1197" s="15">
        <v>1968</v>
      </c>
    </row>
    <row r="1198" spans="1:5" x14ac:dyDescent="0.2">
      <c r="A1198">
        <v>2024</v>
      </c>
      <c r="B1198" t="s">
        <v>144</v>
      </c>
      <c r="C1198" t="s">
        <v>118</v>
      </c>
      <c r="D1198">
        <v>6</v>
      </c>
      <c r="E1198" s="15">
        <v>2877</v>
      </c>
    </row>
    <row r="1199" spans="1:5" x14ac:dyDescent="0.2">
      <c r="A1199">
        <v>2024</v>
      </c>
      <c r="B1199" t="s">
        <v>144</v>
      </c>
      <c r="C1199" t="s">
        <v>119</v>
      </c>
      <c r="D1199">
        <v>7</v>
      </c>
      <c r="E1199" s="15">
        <v>1734</v>
      </c>
    </row>
    <row r="1200" spans="1:5" x14ac:dyDescent="0.2">
      <c r="A1200">
        <v>2024</v>
      </c>
      <c r="B1200" t="s">
        <v>144</v>
      </c>
      <c r="C1200" t="s">
        <v>120</v>
      </c>
      <c r="D1200">
        <v>8</v>
      </c>
      <c r="E1200" s="15">
        <v>5019</v>
      </c>
    </row>
    <row r="1201" spans="1:5" x14ac:dyDescent="0.2">
      <c r="A1201">
        <v>2024</v>
      </c>
      <c r="B1201" t="s">
        <v>144</v>
      </c>
      <c r="C1201" t="s">
        <v>121</v>
      </c>
      <c r="D1201">
        <v>9</v>
      </c>
      <c r="E1201" s="15">
        <v>4529</v>
      </c>
    </row>
    <row r="1202" spans="1:5" x14ac:dyDescent="0.2">
      <c r="A1202">
        <v>2024</v>
      </c>
      <c r="B1202" t="s">
        <v>144</v>
      </c>
      <c r="C1202" t="s">
        <v>122</v>
      </c>
      <c r="D1202">
        <v>10</v>
      </c>
      <c r="E1202" s="15">
        <v>6580</v>
      </c>
    </row>
    <row r="1203" spans="1:5" x14ac:dyDescent="0.2">
      <c r="A1203">
        <v>2024</v>
      </c>
      <c r="B1203" t="s">
        <v>144</v>
      </c>
      <c r="C1203" t="s">
        <v>123</v>
      </c>
      <c r="D1203">
        <v>11</v>
      </c>
      <c r="E1203" s="15">
        <v>22434</v>
      </c>
    </row>
    <row r="1204" spans="1:5" x14ac:dyDescent="0.2">
      <c r="A1204">
        <v>2024</v>
      </c>
      <c r="B1204" t="s">
        <v>145</v>
      </c>
      <c r="C1204" t="s">
        <v>113</v>
      </c>
      <c r="D1204">
        <v>1</v>
      </c>
      <c r="E1204" s="15">
        <v>11</v>
      </c>
    </row>
    <row r="1205" spans="1:5" x14ac:dyDescent="0.2">
      <c r="A1205">
        <v>2024</v>
      </c>
      <c r="B1205" t="s">
        <v>145</v>
      </c>
      <c r="C1205" t="s">
        <v>114</v>
      </c>
      <c r="D1205">
        <v>2</v>
      </c>
      <c r="E1205" s="15">
        <v>198</v>
      </c>
    </row>
    <row r="1206" spans="1:5" x14ac:dyDescent="0.2">
      <c r="A1206">
        <v>2024</v>
      </c>
      <c r="B1206" t="s">
        <v>145</v>
      </c>
      <c r="C1206" t="s">
        <v>115</v>
      </c>
      <c r="D1206">
        <v>3</v>
      </c>
      <c r="E1206" s="15">
        <v>319</v>
      </c>
    </row>
    <row r="1207" spans="1:5" x14ac:dyDescent="0.2">
      <c r="A1207">
        <v>2024</v>
      </c>
      <c r="B1207" t="s">
        <v>145</v>
      </c>
      <c r="C1207" t="s">
        <v>116</v>
      </c>
      <c r="D1207">
        <v>4</v>
      </c>
      <c r="E1207" s="15">
        <v>123</v>
      </c>
    </row>
    <row r="1208" spans="1:5" x14ac:dyDescent="0.2">
      <c r="A1208">
        <v>2024</v>
      </c>
      <c r="B1208" t="s">
        <v>145</v>
      </c>
      <c r="C1208" t="s">
        <v>117</v>
      </c>
      <c r="D1208">
        <v>5</v>
      </c>
      <c r="E1208" s="15">
        <v>484</v>
      </c>
    </row>
    <row r="1209" spans="1:5" x14ac:dyDescent="0.2">
      <c r="A1209">
        <v>2024</v>
      </c>
      <c r="B1209" t="s">
        <v>145</v>
      </c>
      <c r="C1209" t="s">
        <v>118</v>
      </c>
      <c r="D1209">
        <v>6</v>
      </c>
      <c r="E1209" s="15">
        <v>1126</v>
      </c>
    </row>
    <row r="1210" spans="1:5" x14ac:dyDescent="0.2">
      <c r="A1210">
        <v>2024</v>
      </c>
      <c r="B1210" t="s">
        <v>145</v>
      </c>
      <c r="C1210" t="s">
        <v>119</v>
      </c>
      <c r="D1210">
        <v>7</v>
      </c>
      <c r="E1210" s="15">
        <v>846</v>
      </c>
    </row>
    <row r="1211" spans="1:5" x14ac:dyDescent="0.2">
      <c r="A1211">
        <v>2024</v>
      </c>
      <c r="B1211" t="s">
        <v>145</v>
      </c>
      <c r="C1211" t="s">
        <v>120</v>
      </c>
      <c r="D1211">
        <v>8</v>
      </c>
      <c r="E1211" s="15">
        <v>2839</v>
      </c>
    </row>
    <row r="1212" spans="1:5" x14ac:dyDescent="0.2">
      <c r="A1212">
        <v>2024</v>
      </c>
      <c r="B1212" t="s">
        <v>145</v>
      </c>
      <c r="C1212" t="s">
        <v>121</v>
      </c>
      <c r="D1212">
        <v>9</v>
      </c>
      <c r="E1212" s="15">
        <v>2499</v>
      </c>
    </row>
    <row r="1213" spans="1:5" x14ac:dyDescent="0.2">
      <c r="A1213">
        <v>2024</v>
      </c>
      <c r="B1213" t="s">
        <v>145</v>
      </c>
      <c r="C1213" t="s">
        <v>122</v>
      </c>
      <c r="D1213">
        <v>10</v>
      </c>
      <c r="E1213" s="15">
        <v>3151</v>
      </c>
    </row>
    <row r="1214" spans="1:5" x14ac:dyDescent="0.2">
      <c r="A1214">
        <v>2024</v>
      </c>
      <c r="B1214" t="s">
        <v>145</v>
      </c>
      <c r="C1214" t="s">
        <v>123</v>
      </c>
      <c r="D1214">
        <v>11</v>
      </c>
      <c r="E1214" s="15">
        <v>6719</v>
      </c>
    </row>
    <row r="1215" spans="1:5" x14ac:dyDescent="0.2">
      <c r="A1215">
        <v>2024</v>
      </c>
      <c r="B1215" t="s">
        <v>146</v>
      </c>
      <c r="C1215" t="s">
        <v>113</v>
      </c>
      <c r="D1215">
        <v>1</v>
      </c>
      <c r="E1215" s="15">
        <v>173</v>
      </c>
    </row>
    <row r="1216" spans="1:5" x14ac:dyDescent="0.2">
      <c r="A1216">
        <v>2024</v>
      </c>
      <c r="B1216" t="s">
        <v>146</v>
      </c>
      <c r="C1216" t="s">
        <v>114</v>
      </c>
      <c r="D1216">
        <v>2</v>
      </c>
      <c r="E1216" s="15">
        <v>2092</v>
      </c>
    </row>
    <row r="1217" spans="1:5" x14ac:dyDescent="0.2">
      <c r="A1217">
        <v>2024</v>
      </c>
      <c r="B1217" t="s">
        <v>146</v>
      </c>
      <c r="C1217" t="s">
        <v>115</v>
      </c>
      <c r="D1217">
        <v>3</v>
      </c>
      <c r="E1217" s="15">
        <v>1817</v>
      </c>
    </row>
    <row r="1218" spans="1:5" x14ac:dyDescent="0.2">
      <c r="A1218">
        <v>2024</v>
      </c>
      <c r="B1218" t="s">
        <v>146</v>
      </c>
      <c r="C1218" t="s">
        <v>116</v>
      </c>
      <c r="D1218">
        <v>4</v>
      </c>
      <c r="E1218" s="15">
        <v>1004</v>
      </c>
    </row>
    <row r="1219" spans="1:5" x14ac:dyDescent="0.2">
      <c r="A1219">
        <v>2024</v>
      </c>
      <c r="B1219" t="s">
        <v>146</v>
      </c>
      <c r="C1219" t="s">
        <v>117</v>
      </c>
      <c r="D1219">
        <v>5</v>
      </c>
      <c r="E1219" s="15">
        <v>3311</v>
      </c>
    </row>
    <row r="1220" spans="1:5" x14ac:dyDescent="0.2">
      <c r="A1220">
        <v>2024</v>
      </c>
      <c r="B1220" t="s">
        <v>146</v>
      </c>
      <c r="C1220" t="s">
        <v>118</v>
      </c>
      <c r="D1220">
        <v>6</v>
      </c>
      <c r="E1220" s="15">
        <v>5118</v>
      </c>
    </row>
    <row r="1221" spans="1:5" x14ac:dyDescent="0.2">
      <c r="A1221">
        <v>2024</v>
      </c>
      <c r="B1221" t="s">
        <v>146</v>
      </c>
      <c r="C1221" t="s">
        <v>119</v>
      </c>
      <c r="D1221">
        <v>7</v>
      </c>
      <c r="E1221" s="15">
        <v>2800</v>
      </c>
    </row>
    <row r="1222" spans="1:5" x14ac:dyDescent="0.2">
      <c r="A1222">
        <v>2024</v>
      </c>
      <c r="B1222" t="s">
        <v>146</v>
      </c>
      <c r="C1222" t="s">
        <v>120</v>
      </c>
      <c r="D1222">
        <v>8</v>
      </c>
      <c r="E1222" s="15">
        <v>7908</v>
      </c>
    </row>
    <row r="1223" spans="1:5" x14ac:dyDescent="0.2">
      <c r="A1223">
        <v>2024</v>
      </c>
      <c r="B1223" t="s">
        <v>146</v>
      </c>
      <c r="C1223" t="s">
        <v>121</v>
      </c>
      <c r="D1223">
        <v>9</v>
      </c>
      <c r="E1223" s="15">
        <v>7179</v>
      </c>
    </row>
    <row r="1224" spans="1:5" x14ac:dyDescent="0.2">
      <c r="A1224">
        <v>2024</v>
      </c>
      <c r="B1224" t="s">
        <v>146</v>
      </c>
      <c r="C1224" t="s">
        <v>122</v>
      </c>
      <c r="D1224">
        <v>10</v>
      </c>
      <c r="E1224" s="15">
        <v>10566</v>
      </c>
    </row>
    <row r="1225" spans="1:5" x14ac:dyDescent="0.2">
      <c r="A1225">
        <v>2024</v>
      </c>
      <c r="B1225" t="s">
        <v>146</v>
      </c>
      <c r="C1225" t="s">
        <v>123</v>
      </c>
      <c r="D1225">
        <v>11</v>
      </c>
      <c r="E1225" s="15">
        <v>34140</v>
      </c>
    </row>
    <row r="1226" spans="1:5" x14ac:dyDescent="0.2">
      <c r="A1226">
        <v>2024</v>
      </c>
      <c r="B1226" t="s">
        <v>147</v>
      </c>
      <c r="C1226" t="s">
        <v>113</v>
      </c>
      <c r="D1226">
        <v>1</v>
      </c>
      <c r="E1226" s="15">
        <v>445</v>
      </c>
    </row>
    <row r="1227" spans="1:5" x14ac:dyDescent="0.2">
      <c r="A1227">
        <v>2024</v>
      </c>
      <c r="B1227" t="s">
        <v>147</v>
      </c>
      <c r="C1227" t="s">
        <v>114</v>
      </c>
      <c r="D1227">
        <v>2</v>
      </c>
      <c r="E1227" s="15">
        <v>3977</v>
      </c>
    </row>
    <row r="1228" spans="1:5" x14ac:dyDescent="0.2">
      <c r="A1228">
        <v>2024</v>
      </c>
      <c r="B1228" t="s">
        <v>147</v>
      </c>
      <c r="C1228" t="s">
        <v>115</v>
      </c>
      <c r="D1228">
        <v>3</v>
      </c>
      <c r="E1228" s="15">
        <v>3573</v>
      </c>
    </row>
    <row r="1229" spans="1:5" x14ac:dyDescent="0.2">
      <c r="A1229">
        <v>2024</v>
      </c>
      <c r="B1229" t="s">
        <v>147</v>
      </c>
      <c r="C1229" t="s">
        <v>116</v>
      </c>
      <c r="D1229">
        <v>4</v>
      </c>
      <c r="E1229" s="15">
        <v>1915</v>
      </c>
    </row>
    <row r="1230" spans="1:5" x14ac:dyDescent="0.2">
      <c r="A1230">
        <v>2024</v>
      </c>
      <c r="B1230" t="s">
        <v>147</v>
      </c>
      <c r="C1230" t="s">
        <v>117</v>
      </c>
      <c r="D1230">
        <v>5</v>
      </c>
      <c r="E1230" s="15">
        <v>6816</v>
      </c>
    </row>
    <row r="1231" spans="1:5" x14ac:dyDescent="0.2">
      <c r="A1231">
        <v>2024</v>
      </c>
      <c r="B1231" t="s">
        <v>147</v>
      </c>
      <c r="C1231" t="s">
        <v>118</v>
      </c>
      <c r="D1231">
        <v>6</v>
      </c>
      <c r="E1231" s="15">
        <v>10057</v>
      </c>
    </row>
    <row r="1232" spans="1:5" x14ac:dyDescent="0.2">
      <c r="A1232">
        <v>2024</v>
      </c>
      <c r="B1232" t="s">
        <v>147</v>
      </c>
      <c r="C1232" t="s">
        <v>119</v>
      </c>
      <c r="D1232">
        <v>7</v>
      </c>
      <c r="E1232" s="15">
        <v>5111</v>
      </c>
    </row>
    <row r="1233" spans="1:5" x14ac:dyDescent="0.2">
      <c r="A1233">
        <v>2024</v>
      </c>
      <c r="B1233" t="s">
        <v>147</v>
      </c>
      <c r="C1233" t="s">
        <v>120</v>
      </c>
      <c r="D1233">
        <v>8</v>
      </c>
      <c r="E1233" s="15">
        <v>13181</v>
      </c>
    </row>
    <row r="1234" spans="1:5" x14ac:dyDescent="0.2">
      <c r="A1234">
        <v>2024</v>
      </c>
      <c r="B1234" t="s">
        <v>147</v>
      </c>
      <c r="C1234" t="s">
        <v>121</v>
      </c>
      <c r="D1234">
        <v>9</v>
      </c>
      <c r="E1234" s="15">
        <v>13096</v>
      </c>
    </row>
    <row r="1235" spans="1:5" x14ac:dyDescent="0.2">
      <c r="A1235">
        <v>2024</v>
      </c>
      <c r="B1235" t="s">
        <v>147</v>
      </c>
      <c r="C1235" t="s">
        <v>122</v>
      </c>
      <c r="D1235">
        <v>10</v>
      </c>
      <c r="E1235" s="15">
        <v>19610</v>
      </c>
    </row>
    <row r="1236" spans="1:5" x14ac:dyDescent="0.2">
      <c r="A1236">
        <v>2024</v>
      </c>
      <c r="B1236" t="s">
        <v>147</v>
      </c>
      <c r="C1236" t="s">
        <v>123</v>
      </c>
      <c r="D1236">
        <v>11</v>
      </c>
      <c r="E1236" s="15">
        <v>66018</v>
      </c>
    </row>
    <row r="1237" spans="1:5" x14ac:dyDescent="0.2">
      <c r="A1237">
        <v>2024</v>
      </c>
      <c r="B1237" t="s">
        <v>148</v>
      </c>
      <c r="C1237" t="s">
        <v>113</v>
      </c>
      <c r="D1237">
        <v>1</v>
      </c>
      <c r="E1237" s="15">
        <v>138</v>
      </c>
    </row>
    <row r="1238" spans="1:5" x14ac:dyDescent="0.2">
      <c r="A1238">
        <v>2024</v>
      </c>
      <c r="B1238" t="s">
        <v>148</v>
      </c>
      <c r="C1238" t="s">
        <v>114</v>
      </c>
      <c r="D1238">
        <v>2</v>
      </c>
      <c r="E1238" s="15">
        <v>978</v>
      </c>
    </row>
    <row r="1239" spans="1:5" x14ac:dyDescent="0.2">
      <c r="A1239">
        <v>2024</v>
      </c>
      <c r="B1239" t="s">
        <v>148</v>
      </c>
      <c r="C1239" t="s">
        <v>115</v>
      </c>
      <c r="D1239">
        <v>3</v>
      </c>
      <c r="E1239" s="15">
        <v>746</v>
      </c>
    </row>
    <row r="1240" spans="1:5" x14ac:dyDescent="0.2">
      <c r="A1240">
        <v>2024</v>
      </c>
      <c r="B1240" t="s">
        <v>148</v>
      </c>
      <c r="C1240" t="s">
        <v>116</v>
      </c>
      <c r="D1240">
        <v>4</v>
      </c>
      <c r="E1240" s="15">
        <v>347</v>
      </c>
    </row>
    <row r="1241" spans="1:5" x14ac:dyDescent="0.2">
      <c r="A1241">
        <v>2024</v>
      </c>
      <c r="B1241" t="s">
        <v>148</v>
      </c>
      <c r="C1241" t="s">
        <v>117</v>
      </c>
      <c r="D1241">
        <v>5</v>
      </c>
      <c r="E1241" s="15">
        <v>1155</v>
      </c>
    </row>
    <row r="1242" spans="1:5" x14ac:dyDescent="0.2">
      <c r="A1242">
        <v>2024</v>
      </c>
      <c r="B1242" t="s">
        <v>148</v>
      </c>
      <c r="C1242" t="s">
        <v>118</v>
      </c>
      <c r="D1242">
        <v>6</v>
      </c>
      <c r="E1242" s="15">
        <v>1731</v>
      </c>
    </row>
    <row r="1243" spans="1:5" x14ac:dyDescent="0.2">
      <c r="A1243">
        <v>2024</v>
      </c>
      <c r="B1243" t="s">
        <v>148</v>
      </c>
      <c r="C1243" t="s">
        <v>119</v>
      </c>
      <c r="D1243">
        <v>7</v>
      </c>
      <c r="E1243" s="15">
        <v>1064</v>
      </c>
    </row>
    <row r="1244" spans="1:5" x14ac:dyDescent="0.2">
      <c r="A1244">
        <v>2024</v>
      </c>
      <c r="B1244" t="s">
        <v>148</v>
      </c>
      <c r="C1244" t="s">
        <v>120</v>
      </c>
      <c r="D1244">
        <v>8</v>
      </c>
      <c r="E1244" s="15">
        <v>2814</v>
      </c>
    </row>
    <row r="1245" spans="1:5" x14ac:dyDescent="0.2">
      <c r="A1245">
        <v>2024</v>
      </c>
      <c r="B1245" t="s">
        <v>148</v>
      </c>
      <c r="C1245" t="s">
        <v>121</v>
      </c>
      <c r="D1245">
        <v>9</v>
      </c>
      <c r="E1245" s="15">
        <v>2847</v>
      </c>
    </row>
    <row r="1246" spans="1:5" x14ac:dyDescent="0.2">
      <c r="A1246">
        <v>2024</v>
      </c>
      <c r="B1246" t="s">
        <v>148</v>
      </c>
      <c r="C1246" t="s">
        <v>122</v>
      </c>
      <c r="D1246">
        <v>10</v>
      </c>
      <c r="E1246" s="15">
        <v>4361</v>
      </c>
    </row>
    <row r="1247" spans="1:5" x14ac:dyDescent="0.2">
      <c r="A1247">
        <v>2024</v>
      </c>
      <c r="B1247" t="s">
        <v>148</v>
      </c>
      <c r="C1247" t="s">
        <v>123</v>
      </c>
      <c r="D1247">
        <v>11</v>
      </c>
      <c r="E1247" s="15">
        <v>14344</v>
      </c>
    </row>
    <row r="1248" spans="1:5" x14ac:dyDescent="0.2">
      <c r="A1248">
        <v>2024</v>
      </c>
      <c r="B1248" t="s">
        <v>149</v>
      </c>
      <c r="C1248" t="s">
        <v>113</v>
      </c>
      <c r="D1248">
        <v>1</v>
      </c>
      <c r="E1248" s="15">
        <v>6</v>
      </c>
    </row>
    <row r="1249" spans="1:5" x14ac:dyDescent="0.2">
      <c r="A1249">
        <v>2024</v>
      </c>
      <c r="B1249" t="s">
        <v>149</v>
      </c>
      <c r="C1249" t="s">
        <v>114</v>
      </c>
      <c r="D1249">
        <v>2</v>
      </c>
      <c r="E1249" s="15">
        <v>96</v>
      </c>
    </row>
    <row r="1250" spans="1:5" x14ac:dyDescent="0.2">
      <c r="A1250">
        <v>2024</v>
      </c>
      <c r="B1250" t="s">
        <v>149</v>
      </c>
      <c r="C1250" t="s">
        <v>115</v>
      </c>
      <c r="D1250">
        <v>3</v>
      </c>
      <c r="E1250" s="15">
        <v>93</v>
      </c>
    </row>
    <row r="1251" spans="1:5" x14ac:dyDescent="0.2">
      <c r="A1251">
        <v>2024</v>
      </c>
      <c r="B1251" t="s">
        <v>149</v>
      </c>
      <c r="C1251" t="s">
        <v>116</v>
      </c>
      <c r="D1251">
        <v>4</v>
      </c>
      <c r="E1251" s="15">
        <v>41</v>
      </c>
    </row>
    <row r="1252" spans="1:5" x14ac:dyDescent="0.2">
      <c r="A1252">
        <v>2024</v>
      </c>
      <c r="B1252" t="s">
        <v>149</v>
      </c>
      <c r="C1252" t="s">
        <v>117</v>
      </c>
      <c r="D1252">
        <v>5</v>
      </c>
      <c r="E1252" s="15">
        <v>158</v>
      </c>
    </row>
    <row r="1253" spans="1:5" x14ac:dyDescent="0.2">
      <c r="A1253">
        <v>2024</v>
      </c>
      <c r="B1253" t="s">
        <v>149</v>
      </c>
      <c r="C1253" t="s">
        <v>118</v>
      </c>
      <c r="D1253">
        <v>6</v>
      </c>
      <c r="E1253" s="15">
        <v>128</v>
      </c>
    </row>
    <row r="1254" spans="1:5" x14ac:dyDescent="0.2">
      <c r="A1254">
        <v>2024</v>
      </c>
      <c r="B1254" t="s">
        <v>149</v>
      </c>
      <c r="C1254" t="s">
        <v>119</v>
      </c>
      <c r="D1254">
        <v>7</v>
      </c>
      <c r="E1254" s="15">
        <v>98</v>
      </c>
    </row>
    <row r="1255" spans="1:5" x14ac:dyDescent="0.2">
      <c r="A1255">
        <v>2024</v>
      </c>
      <c r="B1255" t="s">
        <v>149</v>
      </c>
      <c r="C1255" t="s">
        <v>120</v>
      </c>
      <c r="D1255">
        <v>8</v>
      </c>
      <c r="E1255" s="15">
        <v>284</v>
      </c>
    </row>
    <row r="1256" spans="1:5" x14ac:dyDescent="0.2">
      <c r="A1256">
        <v>2024</v>
      </c>
      <c r="B1256" t="s">
        <v>149</v>
      </c>
      <c r="C1256" t="s">
        <v>121</v>
      </c>
      <c r="D1256">
        <v>9</v>
      </c>
      <c r="E1256" s="15">
        <v>293</v>
      </c>
    </row>
    <row r="1257" spans="1:5" x14ac:dyDescent="0.2">
      <c r="A1257">
        <v>2024</v>
      </c>
      <c r="B1257" t="s">
        <v>149</v>
      </c>
      <c r="C1257" t="s">
        <v>122</v>
      </c>
      <c r="D1257">
        <v>10</v>
      </c>
      <c r="E1257" s="15">
        <v>380</v>
      </c>
    </row>
    <row r="1258" spans="1:5" x14ac:dyDescent="0.2">
      <c r="A1258">
        <v>2024</v>
      </c>
      <c r="B1258" t="s">
        <v>149</v>
      </c>
      <c r="C1258" t="s">
        <v>123</v>
      </c>
      <c r="D1258">
        <v>11</v>
      </c>
      <c r="E1258" s="15">
        <v>675</v>
      </c>
    </row>
    <row r="1259" spans="1:5" x14ac:dyDescent="0.2">
      <c r="A1259">
        <v>2024</v>
      </c>
      <c r="B1259" t="s">
        <v>150</v>
      </c>
      <c r="C1259" t="s">
        <v>113</v>
      </c>
      <c r="D1259">
        <v>1</v>
      </c>
      <c r="E1259" s="15">
        <v>22</v>
      </c>
    </row>
    <row r="1260" spans="1:5" x14ac:dyDescent="0.2">
      <c r="A1260">
        <v>2024</v>
      </c>
      <c r="B1260" t="s">
        <v>150</v>
      </c>
      <c r="C1260" t="s">
        <v>114</v>
      </c>
      <c r="D1260">
        <v>2</v>
      </c>
      <c r="E1260" s="15">
        <v>444</v>
      </c>
    </row>
    <row r="1261" spans="1:5" x14ac:dyDescent="0.2">
      <c r="A1261">
        <v>2024</v>
      </c>
      <c r="B1261" t="s">
        <v>150</v>
      </c>
      <c r="C1261" t="s">
        <v>115</v>
      </c>
      <c r="D1261">
        <v>3</v>
      </c>
      <c r="E1261" s="15">
        <v>365</v>
      </c>
    </row>
    <row r="1262" spans="1:5" x14ac:dyDescent="0.2">
      <c r="A1262">
        <v>2024</v>
      </c>
      <c r="B1262" t="s">
        <v>150</v>
      </c>
      <c r="C1262" t="s">
        <v>116</v>
      </c>
      <c r="D1262">
        <v>4</v>
      </c>
      <c r="E1262" s="15">
        <v>212</v>
      </c>
    </row>
    <row r="1263" spans="1:5" x14ac:dyDescent="0.2">
      <c r="A1263">
        <v>2024</v>
      </c>
      <c r="B1263" t="s">
        <v>150</v>
      </c>
      <c r="C1263" t="s">
        <v>117</v>
      </c>
      <c r="D1263">
        <v>5</v>
      </c>
      <c r="E1263" s="15">
        <v>635</v>
      </c>
    </row>
    <row r="1264" spans="1:5" x14ac:dyDescent="0.2">
      <c r="A1264">
        <v>2024</v>
      </c>
      <c r="B1264" t="s">
        <v>150</v>
      </c>
      <c r="C1264" t="s">
        <v>118</v>
      </c>
      <c r="D1264">
        <v>6</v>
      </c>
      <c r="E1264" s="15">
        <v>811</v>
      </c>
    </row>
    <row r="1265" spans="1:5" x14ac:dyDescent="0.2">
      <c r="A1265">
        <v>2024</v>
      </c>
      <c r="B1265" t="s">
        <v>150</v>
      </c>
      <c r="C1265" t="s">
        <v>119</v>
      </c>
      <c r="D1265">
        <v>7</v>
      </c>
      <c r="E1265" s="15">
        <v>592</v>
      </c>
    </row>
    <row r="1266" spans="1:5" x14ac:dyDescent="0.2">
      <c r="A1266">
        <v>2024</v>
      </c>
      <c r="B1266" t="s">
        <v>150</v>
      </c>
      <c r="C1266" t="s">
        <v>120</v>
      </c>
      <c r="D1266">
        <v>8</v>
      </c>
      <c r="E1266" s="15">
        <v>1934</v>
      </c>
    </row>
    <row r="1267" spans="1:5" x14ac:dyDescent="0.2">
      <c r="A1267">
        <v>2024</v>
      </c>
      <c r="B1267" t="s">
        <v>150</v>
      </c>
      <c r="C1267" t="s">
        <v>121</v>
      </c>
      <c r="D1267">
        <v>9</v>
      </c>
      <c r="E1267" s="15">
        <v>1769</v>
      </c>
    </row>
    <row r="1268" spans="1:5" x14ac:dyDescent="0.2">
      <c r="A1268">
        <v>2024</v>
      </c>
      <c r="B1268" t="s">
        <v>150</v>
      </c>
      <c r="C1268" t="s">
        <v>122</v>
      </c>
      <c r="D1268">
        <v>10</v>
      </c>
      <c r="E1268" s="15">
        <v>2176</v>
      </c>
    </row>
    <row r="1269" spans="1:5" x14ac:dyDescent="0.2">
      <c r="A1269">
        <v>2024</v>
      </c>
      <c r="B1269" t="s">
        <v>150</v>
      </c>
      <c r="C1269" t="s">
        <v>123</v>
      </c>
      <c r="D1269">
        <v>11</v>
      </c>
      <c r="E1269" s="15">
        <v>4454</v>
      </c>
    </row>
    <row r="1270" spans="1:5" x14ac:dyDescent="0.2">
      <c r="A1270">
        <v>2024</v>
      </c>
      <c r="B1270" t="s">
        <v>151</v>
      </c>
      <c r="C1270" t="s">
        <v>113</v>
      </c>
      <c r="D1270">
        <v>1</v>
      </c>
      <c r="E1270" s="15">
        <v>138</v>
      </c>
    </row>
    <row r="1271" spans="1:5" x14ac:dyDescent="0.2">
      <c r="A1271">
        <v>2024</v>
      </c>
      <c r="B1271" t="s">
        <v>151</v>
      </c>
      <c r="C1271" t="s">
        <v>114</v>
      </c>
      <c r="D1271">
        <v>2</v>
      </c>
      <c r="E1271" s="15">
        <v>1629</v>
      </c>
    </row>
    <row r="1272" spans="1:5" x14ac:dyDescent="0.2">
      <c r="A1272">
        <v>2024</v>
      </c>
      <c r="B1272" t="s">
        <v>151</v>
      </c>
      <c r="C1272" t="s">
        <v>115</v>
      </c>
      <c r="D1272">
        <v>3</v>
      </c>
      <c r="E1272" s="15">
        <v>1550</v>
      </c>
    </row>
    <row r="1273" spans="1:5" x14ac:dyDescent="0.2">
      <c r="A1273">
        <v>2024</v>
      </c>
      <c r="B1273" t="s">
        <v>151</v>
      </c>
      <c r="C1273" t="s">
        <v>116</v>
      </c>
      <c r="D1273">
        <v>4</v>
      </c>
      <c r="E1273" s="15">
        <v>717</v>
      </c>
    </row>
    <row r="1274" spans="1:5" x14ac:dyDescent="0.2">
      <c r="A1274">
        <v>2024</v>
      </c>
      <c r="B1274" t="s">
        <v>151</v>
      </c>
      <c r="C1274" t="s">
        <v>117</v>
      </c>
      <c r="D1274">
        <v>5</v>
      </c>
      <c r="E1274" s="15">
        <v>2255</v>
      </c>
    </row>
    <row r="1275" spans="1:5" x14ac:dyDescent="0.2">
      <c r="A1275">
        <v>2024</v>
      </c>
      <c r="B1275" t="s">
        <v>151</v>
      </c>
      <c r="C1275" t="s">
        <v>118</v>
      </c>
      <c r="D1275">
        <v>6</v>
      </c>
      <c r="E1275" s="15">
        <v>3414</v>
      </c>
    </row>
    <row r="1276" spans="1:5" x14ac:dyDescent="0.2">
      <c r="A1276">
        <v>2024</v>
      </c>
      <c r="B1276" t="s">
        <v>151</v>
      </c>
      <c r="C1276" t="s">
        <v>119</v>
      </c>
      <c r="D1276">
        <v>7</v>
      </c>
      <c r="E1276" s="15">
        <v>1959</v>
      </c>
    </row>
    <row r="1277" spans="1:5" x14ac:dyDescent="0.2">
      <c r="A1277">
        <v>2024</v>
      </c>
      <c r="B1277" t="s">
        <v>151</v>
      </c>
      <c r="C1277" t="s">
        <v>120</v>
      </c>
      <c r="D1277">
        <v>8</v>
      </c>
      <c r="E1277" s="15">
        <v>5500</v>
      </c>
    </row>
    <row r="1278" spans="1:5" x14ac:dyDescent="0.2">
      <c r="A1278">
        <v>2024</v>
      </c>
      <c r="B1278" t="s">
        <v>151</v>
      </c>
      <c r="C1278" t="s">
        <v>121</v>
      </c>
      <c r="D1278">
        <v>9</v>
      </c>
      <c r="E1278" s="15">
        <v>5448</v>
      </c>
    </row>
    <row r="1279" spans="1:5" x14ac:dyDescent="0.2">
      <c r="A1279">
        <v>2024</v>
      </c>
      <c r="B1279" t="s">
        <v>151</v>
      </c>
      <c r="C1279" t="s">
        <v>122</v>
      </c>
      <c r="D1279">
        <v>10</v>
      </c>
      <c r="E1279" s="15">
        <v>7855</v>
      </c>
    </row>
    <row r="1280" spans="1:5" x14ac:dyDescent="0.2">
      <c r="A1280">
        <v>2024</v>
      </c>
      <c r="B1280" t="s">
        <v>151</v>
      </c>
      <c r="C1280" t="s">
        <v>123</v>
      </c>
      <c r="D1280">
        <v>11</v>
      </c>
      <c r="E1280" s="15">
        <v>23476</v>
      </c>
    </row>
    <row r="1281" spans="1:5" x14ac:dyDescent="0.2">
      <c r="A1281">
        <v>2024</v>
      </c>
      <c r="B1281" t="s">
        <v>152</v>
      </c>
      <c r="C1281" t="s">
        <v>113</v>
      </c>
      <c r="D1281">
        <v>1</v>
      </c>
      <c r="E1281" s="15">
        <v>0</v>
      </c>
    </row>
    <row r="1282" spans="1:5" x14ac:dyDescent="0.2">
      <c r="A1282">
        <v>2024</v>
      </c>
      <c r="B1282" t="s">
        <v>152</v>
      </c>
      <c r="C1282" t="s">
        <v>114</v>
      </c>
      <c r="D1282">
        <v>2</v>
      </c>
      <c r="E1282" s="15">
        <v>38</v>
      </c>
    </row>
    <row r="1283" spans="1:5" x14ac:dyDescent="0.2">
      <c r="A1283">
        <v>2024</v>
      </c>
      <c r="B1283" t="s">
        <v>152</v>
      </c>
      <c r="C1283" t="s">
        <v>115</v>
      </c>
      <c r="D1283">
        <v>3</v>
      </c>
      <c r="E1283" s="15">
        <v>192</v>
      </c>
    </row>
    <row r="1284" spans="1:5" x14ac:dyDescent="0.2">
      <c r="A1284">
        <v>2024</v>
      </c>
      <c r="B1284" t="s">
        <v>152</v>
      </c>
      <c r="C1284" t="s">
        <v>116</v>
      </c>
      <c r="D1284">
        <v>4</v>
      </c>
      <c r="E1284" s="15">
        <v>230</v>
      </c>
    </row>
    <row r="1285" spans="1:5" x14ac:dyDescent="0.2">
      <c r="A1285">
        <v>2024</v>
      </c>
      <c r="B1285" t="s">
        <v>152</v>
      </c>
      <c r="C1285" t="s">
        <v>117</v>
      </c>
      <c r="D1285">
        <v>5</v>
      </c>
      <c r="E1285" s="15">
        <v>1478</v>
      </c>
    </row>
    <row r="1286" spans="1:5" x14ac:dyDescent="0.2">
      <c r="A1286">
        <v>2024</v>
      </c>
      <c r="B1286" t="s">
        <v>152</v>
      </c>
      <c r="C1286" t="s">
        <v>118</v>
      </c>
      <c r="D1286">
        <v>6</v>
      </c>
      <c r="E1286" s="15">
        <v>3764</v>
      </c>
    </row>
    <row r="1287" spans="1:5" x14ac:dyDescent="0.2">
      <c r="A1287">
        <v>2024</v>
      </c>
      <c r="B1287" t="s">
        <v>152</v>
      </c>
      <c r="C1287" t="s">
        <v>119</v>
      </c>
      <c r="D1287">
        <v>7</v>
      </c>
      <c r="E1287" s="15">
        <v>2345</v>
      </c>
    </row>
    <row r="1288" spans="1:5" x14ac:dyDescent="0.2">
      <c r="A1288">
        <v>2024</v>
      </c>
      <c r="B1288" t="s">
        <v>152</v>
      </c>
      <c r="C1288" t="s">
        <v>120</v>
      </c>
      <c r="D1288">
        <v>8</v>
      </c>
      <c r="E1288" s="15">
        <v>5149</v>
      </c>
    </row>
    <row r="1289" spans="1:5" x14ac:dyDescent="0.2">
      <c r="A1289">
        <v>2024</v>
      </c>
      <c r="B1289" t="s">
        <v>152</v>
      </c>
      <c r="C1289" t="s">
        <v>121</v>
      </c>
      <c r="D1289">
        <v>9</v>
      </c>
      <c r="E1289" s="15">
        <v>3791</v>
      </c>
    </row>
    <row r="1290" spans="1:5" x14ac:dyDescent="0.2">
      <c r="A1290">
        <v>2024</v>
      </c>
      <c r="B1290" t="s">
        <v>152</v>
      </c>
      <c r="C1290" t="s">
        <v>122</v>
      </c>
      <c r="D1290">
        <v>10</v>
      </c>
      <c r="E1290" s="15">
        <v>4468</v>
      </c>
    </row>
    <row r="1291" spans="1:5" x14ac:dyDescent="0.2">
      <c r="A1291">
        <v>2024</v>
      </c>
      <c r="B1291" t="s">
        <v>152</v>
      </c>
      <c r="C1291" t="s">
        <v>123</v>
      </c>
      <c r="D1291">
        <v>11</v>
      </c>
      <c r="E1291" s="15">
        <v>7814</v>
      </c>
    </row>
    <row r="1292" spans="1:5" x14ac:dyDescent="0.2">
      <c r="A1292">
        <v>2025</v>
      </c>
      <c r="B1292" t="s">
        <v>140</v>
      </c>
      <c r="C1292" t="s">
        <v>113</v>
      </c>
      <c r="D1292">
        <v>1</v>
      </c>
      <c r="E1292" s="15">
        <v>345</v>
      </c>
    </row>
    <row r="1293" spans="1:5" x14ac:dyDescent="0.2">
      <c r="A1293">
        <v>2025</v>
      </c>
      <c r="B1293" t="s">
        <v>140</v>
      </c>
      <c r="C1293" t="s">
        <v>114</v>
      </c>
      <c r="D1293">
        <v>2</v>
      </c>
      <c r="E1293" s="15">
        <v>3111</v>
      </c>
    </row>
    <row r="1294" spans="1:5" x14ac:dyDescent="0.2">
      <c r="A1294">
        <v>2025</v>
      </c>
      <c r="B1294" t="s">
        <v>140</v>
      </c>
      <c r="C1294" t="s">
        <v>115</v>
      </c>
      <c r="D1294">
        <v>3</v>
      </c>
      <c r="E1294" s="15">
        <v>2436</v>
      </c>
    </row>
    <row r="1295" spans="1:5" x14ac:dyDescent="0.2">
      <c r="A1295">
        <v>2025</v>
      </c>
      <c r="B1295" t="s">
        <v>140</v>
      </c>
      <c r="C1295" t="s">
        <v>116</v>
      </c>
      <c r="D1295">
        <v>4</v>
      </c>
      <c r="E1295" s="15">
        <v>1205</v>
      </c>
    </row>
    <row r="1296" spans="1:5" x14ac:dyDescent="0.2">
      <c r="A1296">
        <v>2025</v>
      </c>
      <c r="B1296" t="s">
        <v>140</v>
      </c>
      <c r="C1296" t="s">
        <v>117</v>
      </c>
      <c r="D1296">
        <v>5</v>
      </c>
      <c r="E1296" s="15">
        <v>3876</v>
      </c>
    </row>
    <row r="1297" spans="1:5" x14ac:dyDescent="0.2">
      <c r="A1297">
        <v>2025</v>
      </c>
      <c r="B1297" t="s">
        <v>140</v>
      </c>
      <c r="C1297" t="s">
        <v>118</v>
      </c>
      <c r="D1297">
        <v>6</v>
      </c>
      <c r="E1297" s="15">
        <v>4775</v>
      </c>
    </row>
    <row r="1298" spans="1:5" x14ac:dyDescent="0.2">
      <c r="A1298">
        <v>2025</v>
      </c>
      <c r="B1298" t="s">
        <v>140</v>
      </c>
      <c r="C1298" t="s">
        <v>119</v>
      </c>
      <c r="D1298">
        <v>7</v>
      </c>
      <c r="E1298" s="15">
        <v>2360</v>
      </c>
    </row>
    <row r="1299" spans="1:5" x14ac:dyDescent="0.2">
      <c r="A1299">
        <v>2025</v>
      </c>
      <c r="B1299" t="s">
        <v>140</v>
      </c>
      <c r="C1299" t="s">
        <v>120</v>
      </c>
      <c r="D1299">
        <v>8</v>
      </c>
      <c r="E1299" s="15">
        <v>6153</v>
      </c>
    </row>
    <row r="1300" spans="1:5" x14ac:dyDescent="0.2">
      <c r="A1300">
        <v>2025</v>
      </c>
      <c r="B1300" t="s">
        <v>140</v>
      </c>
      <c r="C1300" t="s">
        <v>121</v>
      </c>
      <c r="D1300">
        <v>9</v>
      </c>
      <c r="E1300" s="15">
        <v>5605</v>
      </c>
    </row>
    <row r="1301" spans="1:5" x14ac:dyDescent="0.2">
      <c r="A1301">
        <v>2025</v>
      </c>
      <c r="B1301" t="s">
        <v>140</v>
      </c>
      <c r="C1301" t="s">
        <v>122</v>
      </c>
      <c r="D1301">
        <v>10</v>
      </c>
      <c r="E1301" s="15">
        <v>9334</v>
      </c>
    </row>
    <row r="1302" spans="1:5" x14ac:dyDescent="0.2">
      <c r="A1302">
        <v>2025</v>
      </c>
      <c r="B1302" t="s">
        <v>140</v>
      </c>
      <c r="C1302" t="s">
        <v>123</v>
      </c>
      <c r="D1302">
        <v>11</v>
      </c>
      <c r="E1302" s="15">
        <v>36879</v>
      </c>
    </row>
    <row r="1303" spans="1:5" x14ac:dyDescent="0.2">
      <c r="A1303">
        <v>2025</v>
      </c>
      <c r="B1303" t="s">
        <v>141</v>
      </c>
      <c r="C1303" t="s">
        <v>113</v>
      </c>
      <c r="D1303">
        <v>1</v>
      </c>
      <c r="E1303" s="15">
        <v>501</v>
      </c>
    </row>
    <row r="1304" spans="1:5" x14ac:dyDescent="0.2">
      <c r="A1304">
        <v>2025</v>
      </c>
      <c r="B1304" t="s">
        <v>141</v>
      </c>
      <c r="C1304" t="s">
        <v>114</v>
      </c>
      <c r="D1304">
        <v>2</v>
      </c>
      <c r="E1304" s="15">
        <v>4990</v>
      </c>
    </row>
    <row r="1305" spans="1:5" x14ac:dyDescent="0.2">
      <c r="A1305">
        <v>2025</v>
      </c>
      <c r="B1305" t="s">
        <v>141</v>
      </c>
      <c r="C1305" t="s">
        <v>115</v>
      </c>
      <c r="D1305">
        <v>3</v>
      </c>
      <c r="E1305" s="15">
        <v>4066</v>
      </c>
    </row>
    <row r="1306" spans="1:5" x14ac:dyDescent="0.2">
      <c r="A1306">
        <v>2025</v>
      </c>
      <c r="B1306" t="s">
        <v>141</v>
      </c>
      <c r="C1306" t="s">
        <v>116</v>
      </c>
      <c r="D1306">
        <v>4</v>
      </c>
      <c r="E1306" s="15">
        <v>1865</v>
      </c>
    </row>
    <row r="1307" spans="1:5" x14ac:dyDescent="0.2">
      <c r="A1307">
        <v>2025</v>
      </c>
      <c r="B1307" t="s">
        <v>141</v>
      </c>
      <c r="C1307" t="s">
        <v>117</v>
      </c>
      <c r="D1307">
        <v>5</v>
      </c>
      <c r="E1307" s="15">
        <v>6658</v>
      </c>
    </row>
    <row r="1308" spans="1:5" x14ac:dyDescent="0.2">
      <c r="A1308">
        <v>2025</v>
      </c>
      <c r="B1308" t="s">
        <v>141</v>
      </c>
      <c r="C1308" t="s">
        <v>118</v>
      </c>
      <c r="D1308">
        <v>6</v>
      </c>
      <c r="E1308" s="15">
        <v>10954</v>
      </c>
    </row>
    <row r="1309" spans="1:5" x14ac:dyDescent="0.2">
      <c r="A1309">
        <v>2025</v>
      </c>
      <c r="B1309" t="s">
        <v>141</v>
      </c>
      <c r="C1309" t="s">
        <v>119</v>
      </c>
      <c r="D1309">
        <v>7</v>
      </c>
      <c r="E1309" s="15">
        <v>5872</v>
      </c>
    </row>
    <row r="1310" spans="1:5" x14ac:dyDescent="0.2">
      <c r="A1310">
        <v>2025</v>
      </c>
      <c r="B1310" t="s">
        <v>141</v>
      </c>
      <c r="C1310" t="s">
        <v>120</v>
      </c>
      <c r="D1310">
        <v>8</v>
      </c>
      <c r="E1310" s="15">
        <v>15051</v>
      </c>
    </row>
    <row r="1311" spans="1:5" x14ac:dyDescent="0.2">
      <c r="A1311">
        <v>2025</v>
      </c>
      <c r="B1311" t="s">
        <v>141</v>
      </c>
      <c r="C1311" t="s">
        <v>121</v>
      </c>
      <c r="D1311">
        <v>9</v>
      </c>
      <c r="E1311" s="15">
        <v>12181</v>
      </c>
    </row>
    <row r="1312" spans="1:5" x14ac:dyDescent="0.2">
      <c r="A1312">
        <v>2025</v>
      </c>
      <c r="B1312" t="s">
        <v>141</v>
      </c>
      <c r="C1312" t="s">
        <v>122</v>
      </c>
      <c r="D1312">
        <v>10</v>
      </c>
      <c r="E1312" s="15">
        <v>18918</v>
      </c>
    </row>
    <row r="1313" spans="1:5" x14ac:dyDescent="0.2">
      <c r="A1313">
        <v>2025</v>
      </c>
      <c r="B1313" t="s">
        <v>141</v>
      </c>
      <c r="C1313" t="s">
        <v>123</v>
      </c>
      <c r="D1313">
        <v>11</v>
      </c>
      <c r="E1313" s="15">
        <v>63445</v>
      </c>
    </row>
    <row r="1314" spans="1:5" x14ac:dyDescent="0.2">
      <c r="A1314">
        <v>2025</v>
      </c>
      <c r="B1314" t="s">
        <v>142</v>
      </c>
      <c r="C1314" t="s">
        <v>113</v>
      </c>
      <c r="D1314">
        <v>1</v>
      </c>
      <c r="E1314" s="15">
        <v>75</v>
      </c>
    </row>
    <row r="1315" spans="1:5" x14ac:dyDescent="0.2">
      <c r="A1315">
        <v>2025</v>
      </c>
      <c r="B1315" t="s">
        <v>142</v>
      </c>
      <c r="C1315" t="s">
        <v>114</v>
      </c>
      <c r="D1315">
        <v>2</v>
      </c>
      <c r="E1315" s="15">
        <v>940</v>
      </c>
    </row>
    <row r="1316" spans="1:5" x14ac:dyDescent="0.2">
      <c r="A1316">
        <v>2025</v>
      </c>
      <c r="B1316" t="s">
        <v>142</v>
      </c>
      <c r="C1316" t="s">
        <v>115</v>
      </c>
      <c r="D1316">
        <v>3</v>
      </c>
      <c r="E1316" s="15">
        <v>759</v>
      </c>
    </row>
    <row r="1317" spans="1:5" x14ac:dyDescent="0.2">
      <c r="A1317">
        <v>2025</v>
      </c>
      <c r="B1317" t="s">
        <v>142</v>
      </c>
      <c r="C1317" t="s">
        <v>116</v>
      </c>
      <c r="D1317">
        <v>4</v>
      </c>
      <c r="E1317" s="15">
        <v>340</v>
      </c>
    </row>
    <row r="1318" spans="1:5" x14ac:dyDescent="0.2">
      <c r="A1318">
        <v>2025</v>
      </c>
      <c r="B1318" t="s">
        <v>142</v>
      </c>
      <c r="C1318" t="s">
        <v>117</v>
      </c>
      <c r="D1318">
        <v>5</v>
      </c>
      <c r="E1318" s="15">
        <v>1138</v>
      </c>
    </row>
    <row r="1319" spans="1:5" x14ac:dyDescent="0.2">
      <c r="A1319">
        <v>2025</v>
      </c>
      <c r="B1319" t="s">
        <v>142</v>
      </c>
      <c r="C1319" t="s">
        <v>118</v>
      </c>
      <c r="D1319">
        <v>6</v>
      </c>
      <c r="E1319" s="15">
        <v>2087</v>
      </c>
    </row>
    <row r="1320" spans="1:5" x14ac:dyDescent="0.2">
      <c r="A1320">
        <v>2025</v>
      </c>
      <c r="B1320" t="s">
        <v>142</v>
      </c>
      <c r="C1320" t="s">
        <v>119</v>
      </c>
      <c r="D1320">
        <v>7</v>
      </c>
      <c r="E1320" s="15">
        <v>1349</v>
      </c>
    </row>
    <row r="1321" spans="1:5" x14ac:dyDescent="0.2">
      <c r="A1321">
        <v>2025</v>
      </c>
      <c r="B1321" t="s">
        <v>142</v>
      </c>
      <c r="C1321" t="s">
        <v>120</v>
      </c>
      <c r="D1321">
        <v>8</v>
      </c>
      <c r="E1321" s="15">
        <v>3426</v>
      </c>
    </row>
    <row r="1322" spans="1:5" x14ac:dyDescent="0.2">
      <c r="A1322">
        <v>2025</v>
      </c>
      <c r="B1322" t="s">
        <v>142</v>
      </c>
      <c r="C1322" t="s">
        <v>121</v>
      </c>
      <c r="D1322">
        <v>9</v>
      </c>
      <c r="E1322" s="15">
        <v>2703</v>
      </c>
    </row>
    <row r="1323" spans="1:5" x14ac:dyDescent="0.2">
      <c r="A1323">
        <v>2025</v>
      </c>
      <c r="B1323" t="s">
        <v>142</v>
      </c>
      <c r="C1323" t="s">
        <v>122</v>
      </c>
      <c r="D1323">
        <v>10</v>
      </c>
      <c r="E1323" s="15">
        <v>3805</v>
      </c>
    </row>
    <row r="1324" spans="1:5" x14ac:dyDescent="0.2">
      <c r="A1324">
        <v>2025</v>
      </c>
      <c r="B1324" t="s">
        <v>142</v>
      </c>
      <c r="C1324" t="s">
        <v>123</v>
      </c>
      <c r="D1324">
        <v>11</v>
      </c>
      <c r="E1324" s="15">
        <v>11155</v>
      </c>
    </row>
    <row r="1325" spans="1:5" x14ac:dyDescent="0.2">
      <c r="A1325">
        <v>2025</v>
      </c>
      <c r="B1325" t="s">
        <v>143</v>
      </c>
      <c r="C1325" t="s">
        <v>113</v>
      </c>
      <c r="D1325">
        <v>1</v>
      </c>
      <c r="E1325" s="15">
        <v>90</v>
      </c>
    </row>
    <row r="1326" spans="1:5" x14ac:dyDescent="0.2">
      <c r="A1326">
        <v>2025</v>
      </c>
      <c r="B1326" t="s">
        <v>143</v>
      </c>
      <c r="C1326" t="s">
        <v>114</v>
      </c>
      <c r="D1326">
        <v>2</v>
      </c>
      <c r="E1326" s="15">
        <v>1128</v>
      </c>
    </row>
    <row r="1327" spans="1:5" x14ac:dyDescent="0.2">
      <c r="A1327">
        <v>2025</v>
      </c>
      <c r="B1327" t="s">
        <v>143</v>
      </c>
      <c r="C1327" t="s">
        <v>115</v>
      </c>
      <c r="D1327">
        <v>3</v>
      </c>
      <c r="E1327" s="15">
        <v>1133</v>
      </c>
    </row>
    <row r="1328" spans="1:5" x14ac:dyDescent="0.2">
      <c r="A1328">
        <v>2025</v>
      </c>
      <c r="B1328" t="s">
        <v>143</v>
      </c>
      <c r="C1328" t="s">
        <v>116</v>
      </c>
      <c r="D1328">
        <v>4</v>
      </c>
      <c r="E1328" s="15">
        <v>535</v>
      </c>
    </row>
    <row r="1329" spans="1:5" x14ac:dyDescent="0.2">
      <c r="A1329">
        <v>2025</v>
      </c>
      <c r="B1329" t="s">
        <v>143</v>
      </c>
      <c r="C1329" t="s">
        <v>117</v>
      </c>
      <c r="D1329">
        <v>5</v>
      </c>
      <c r="E1329" s="15">
        <v>1381</v>
      </c>
    </row>
    <row r="1330" spans="1:5" x14ac:dyDescent="0.2">
      <c r="A1330">
        <v>2025</v>
      </c>
      <c r="B1330" t="s">
        <v>143</v>
      </c>
      <c r="C1330" t="s">
        <v>118</v>
      </c>
      <c r="D1330">
        <v>6</v>
      </c>
      <c r="E1330" s="15">
        <v>1431</v>
      </c>
    </row>
    <row r="1331" spans="1:5" x14ac:dyDescent="0.2">
      <c r="A1331">
        <v>2025</v>
      </c>
      <c r="B1331" t="s">
        <v>143</v>
      </c>
      <c r="C1331" t="s">
        <v>119</v>
      </c>
      <c r="D1331">
        <v>7</v>
      </c>
      <c r="E1331" s="15">
        <v>648</v>
      </c>
    </row>
    <row r="1332" spans="1:5" x14ac:dyDescent="0.2">
      <c r="A1332">
        <v>2025</v>
      </c>
      <c r="B1332" t="s">
        <v>143</v>
      </c>
      <c r="C1332" t="s">
        <v>120</v>
      </c>
      <c r="D1332">
        <v>8</v>
      </c>
      <c r="E1332" s="15">
        <v>1744</v>
      </c>
    </row>
    <row r="1333" spans="1:5" x14ac:dyDescent="0.2">
      <c r="A1333">
        <v>2025</v>
      </c>
      <c r="B1333" t="s">
        <v>143</v>
      </c>
      <c r="C1333" t="s">
        <v>121</v>
      </c>
      <c r="D1333">
        <v>9</v>
      </c>
      <c r="E1333" s="15">
        <v>1765</v>
      </c>
    </row>
    <row r="1334" spans="1:5" x14ac:dyDescent="0.2">
      <c r="A1334">
        <v>2025</v>
      </c>
      <c r="B1334" t="s">
        <v>143</v>
      </c>
      <c r="C1334" t="s">
        <v>122</v>
      </c>
      <c r="D1334">
        <v>10</v>
      </c>
      <c r="E1334" s="15">
        <v>2717</v>
      </c>
    </row>
    <row r="1335" spans="1:5" x14ac:dyDescent="0.2">
      <c r="A1335">
        <v>2025</v>
      </c>
      <c r="B1335" t="s">
        <v>143</v>
      </c>
      <c r="C1335" t="s">
        <v>123</v>
      </c>
      <c r="D1335">
        <v>11</v>
      </c>
      <c r="E1335" s="15">
        <v>9527</v>
      </c>
    </row>
    <row r="1336" spans="1:5" x14ac:dyDescent="0.2">
      <c r="A1336">
        <v>2025</v>
      </c>
      <c r="B1336" t="s">
        <v>144</v>
      </c>
      <c r="C1336" t="s">
        <v>113</v>
      </c>
      <c r="D1336">
        <v>1</v>
      </c>
      <c r="E1336" s="15">
        <v>205</v>
      </c>
    </row>
    <row r="1337" spans="1:5" x14ac:dyDescent="0.2">
      <c r="A1337">
        <v>2025</v>
      </c>
      <c r="B1337" t="s">
        <v>144</v>
      </c>
      <c r="C1337" t="s">
        <v>114</v>
      </c>
      <c r="D1337">
        <v>2</v>
      </c>
      <c r="E1337" s="15">
        <v>2061</v>
      </c>
    </row>
    <row r="1338" spans="1:5" x14ac:dyDescent="0.2">
      <c r="A1338">
        <v>2025</v>
      </c>
      <c r="B1338" t="s">
        <v>144</v>
      </c>
      <c r="C1338" t="s">
        <v>115</v>
      </c>
      <c r="D1338">
        <v>3</v>
      </c>
      <c r="E1338" s="15">
        <v>1564</v>
      </c>
    </row>
    <row r="1339" spans="1:5" x14ac:dyDescent="0.2">
      <c r="A1339">
        <v>2025</v>
      </c>
      <c r="B1339" t="s">
        <v>144</v>
      </c>
      <c r="C1339" t="s">
        <v>116</v>
      </c>
      <c r="D1339">
        <v>4</v>
      </c>
      <c r="E1339" s="15">
        <v>729</v>
      </c>
    </row>
    <row r="1340" spans="1:5" x14ac:dyDescent="0.2">
      <c r="A1340">
        <v>2025</v>
      </c>
      <c r="B1340" t="s">
        <v>144</v>
      </c>
      <c r="C1340" t="s">
        <v>117</v>
      </c>
      <c r="D1340">
        <v>5</v>
      </c>
      <c r="E1340" s="15">
        <v>2103</v>
      </c>
    </row>
    <row r="1341" spans="1:5" x14ac:dyDescent="0.2">
      <c r="A1341">
        <v>2025</v>
      </c>
      <c r="B1341" t="s">
        <v>144</v>
      </c>
      <c r="C1341" t="s">
        <v>118</v>
      </c>
      <c r="D1341">
        <v>6</v>
      </c>
      <c r="E1341" s="15">
        <v>3138</v>
      </c>
    </row>
    <row r="1342" spans="1:5" x14ac:dyDescent="0.2">
      <c r="A1342">
        <v>2025</v>
      </c>
      <c r="B1342" t="s">
        <v>144</v>
      </c>
      <c r="C1342" t="s">
        <v>119</v>
      </c>
      <c r="D1342">
        <v>7</v>
      </c>
      <c r="E1342" s="15">
        <v>1807</v>
      </c>
    </row>
    <row r="1343" spans="1:5" x14ac:dyDescent="0.2">
      <c r="A1343">
        <v>2025</v>
      </c>
      <c r="B1343" t="s">
        <v>144</v>
      </c>
      <c r="C1343" t="s">
        <v>120</v>
      </c>
      <c r="D1343">
        <v>8</v>
      </c>
      <c r="E1343" s="15">
        <v>4842</v>
      </c>
    </row>
    <row r="1344" spans="1:5" x14ac:dyDescent="0.2">
      <c r="A1344">
        <v>2025</v>
      </c>
      <c r="B1344" t="s">
        <v>144</v>
      </c>
      <c r="C1344" t="s">
        <v>121</v>
      </c>
      <c r="D1344">
        <v>9</v>
      </c>
      <c r="E1344" s="15">
        <v>4167</v>
      </c>
    </row>
    <row r="1345" spans="1:5" x14ac:dyDescent="0.2">
      <c r="A1345">
        <v>2025</v>
      </c>
      <c r="B1345" t="s">
        <v>144</v>
      </c>
      <c r="C1345" t="s">
        <v>122</v>
      </c>
      <c r="D1345">
        <v>10</v>
      </c>
      <c r="E1345" s="15">
        <v>6473</v>
      </c>
    </row>
    <row r="1346" spans="1:5" x14ac:dyDescent="0.2">
      <c r="A1346">
        <v>2025</v>
      </c>
      <c r="B1346" t="s">
        <v>144</v>
      </c>
      <c r="C1346" t="s">
        <v>123</v>
      </c>
      <c r="D1346">
        <v>11</v>
      </c>
      <c r="E1346" s="15">
        <v>22652</v>
      </c>
    </row>
    <row r="1347" spans="1:5" x14ac:dyDescent="0.2">
      <c r="A1347">
        <v>2025</v>
      </c>
      <c r="B1347" t="s">
        <v>145</v>
      </c>
      <c r="C1347" t="s">
        <v>113</v>
      </c>
      <c r="D1347">
        <v>1</v>
      </c>
      <c r="E1347" s="15">
        <v>11</v>
      </c>
    </row>
    <row r="1348" spans="1:5" x14ac:dyDescent="0.2">
      <c r="A1348">
        <v>2025</v>
      </c>
      <c r="B1348" t="s">
        <v>145</v>
      </c>
      <c r="C1348" t="s">
        <v>114</v>
      </c>
      <c r="D1348">
        <v>2</v>
      </c>
      <c r="E1348" s="15">
        <v>217</v>
      </c>
    </row>
    <row r="1349" spans="1:5" x14ac:dyDescent="0.2">
      <c r="A1349">
        <v>2025</v>
      </c>
      <c r="B1349" t="s">
        <v>145</v>
      </c>
      <c r="C1349" t="s">
        <v>115</v>
      </c>
      <c r="D1349">
        <v>3</v>
      </c>
      <c r="E1349" s="15">
        <v>329</v>
      </c>
    </row>
    <row r="1350" spans="1:5" x14ac:dyDescent="0.2">
      <c r="A1350">
        <v>2025</v>
      </c>
      <c r="B1350" t="s">
        <v>145</v>
      </c>
      <c r="C1350" t="s">
        <v>116</v>
      </c>
      <c r="D1350">
        <v>4</v>
      </c>
      <c r="E1350" s="15">
        <v>140</v>
      </c>
    </row>
    <row r="1351" spans="1:5" x14ac:dyDescent="0.2">
      <c r="A1351">
        <v>2025</v>
      </c>
      <c r="B1351" t="s">
        <v>145</v>
      </c>
      <c r="C1351" t="s">
        <v>117</v>
      </c>
      <c r="D1351">
        <v>5</v>
      </c>
      <c r="E1351" s="15">
        <v>514</v>
      </c>
    </row>
    <row r="1352" spans="1:5" x14ac:dyDescent="0.2">
      <c r="A1352">
        <v>2025</v>
      </c>
      <c r="B1352" t="s">
        <v>145</v>
      </c>
      <c r="C1352" t="s">
        <v>118</v>
      </c>
      <c r="D1352">
        <v>6</v>
      </c>
      <c r="E1352" s="15">
        <v>1187</v>
      </c>
    </row>
    <row r="1353" spans="1:5" x14ac:dyDescent="0.2">
      <c r="A1353">
        <v>2025</v>
      </c>
      <c r="B1353" t="s">
        <v>145</v>
      </c>
      <c r="C1353" t="s">
        <v>119</v>
      </c>
      <c r="D1353">
        <v>7</v>
      </c>
      <c r="E1353" s="15">
        <v>931</v>
      </c>
    </row>
    <row r="1354" spans="1:5" x14ac:dyDescent="0.2">
      <c r="A1354">
        <v>2025</v>
      </c>
      <c r="B1354" t="s">
        <v>145</v>
      </c>
      <c r="C1354" t="s">
        <v>120</v>
      </c>
      <c r="D1354">
        <v>8</v>
      </c>
      <c r="E1354" s="15">
        <v>2769</v>
      </c>
    </row>
    <row r="1355" spans="1:5" x14ac:dyDescent="0.2">
      <c r="A1355">
        <v>2025</v>
      </c>
      <c r="B1355" t="s">
        <v>145</v>
      </c>
      <c r="C1355" t="s">
        <v>121</v>
      </c>
      <c r="D1355">
        <v>9</v>
      </c>
      <c r="E1355" s="15">
        <v>2291</v>
      </c>
    </row>
    <row r="1356" spans="1:5" x14ac:dyDescent="0.2">
      <c r="A1356">
        <v>2025</v>
      </c>
      <c r="B1356" t="s">
        <v>145</v>
      </c>
      <c r="C1356" t="s">
        <v>122</v>
      </c>
      <c r="D1356">
        <v>10</v>
      </c>
      <c r="E1356" s="15">
        <v>3180</v>
      </c>
    </row>
    <row r="1357" spans="1:5" x14ac:dyDescent="0.2">
      <c r="A1357">
        <v>2025</v>
      </c>
      <c r="B1357" t="s">
        <v>145</v>
      </c>
      <c r="C1357" t="s">
        <v>123</v>
      </c>
      <c r="D1357">
        <v>11</v>
      </c>
      <c r="E1357" s="15">
        <v>7183</v>
      </c>
    </row>
    <row r="1358" spans="1:5" x14ac:dyDescent="0.2">
      <c r="A1358">
        <v>2025</v>
      </c>
      <c r="B1358" t="s">
        <v>146</v>
      </c>
      <c r="C1358" t="s">
        <v>113</v>
      </c>
      <c r="D1358">
        <v>1</v>
      </c>
      <c r="E1358" s="15">
        <v>166</v>
      </c>
    </row>
    <row r="1359" spans="1:5" x14ac:dyDescent="0.2">
      <c r="A1359">
        <v>2025</v>
      </c>
      <c r="B1359" t="s">
        <v>146</v>
      </c>
      <c r="C1359" t="s">
        <v>114</v>
      </c>
      <c r="D1359">
        <v>2</v>
      </c>
      <c r="E1359" s="15">
        <v>2083</v>
      </c>
    </row>
    <row r="1360" spans="1:5" x14ac:dyDescent="0.2">
      <c r="A1360">
        <v>2025</v>
      </c>
      <c r="B1360" t="s">
        <v>146</v>
      </c>
      <c r="C1360" t="s">
        <v>115</v>
      </c>
      <c r="D1360">
        <v>3</v>
      </c>
      <c r="E1360" s="15">
        <v>1882</v>
      </c>
    </row>
    <row r="1361" spans="1:5" x14ac:dyDescent="0.2">
      <c r="A1361">
        <v>2025</v>
      </c>
      <c r="B1361" t="s">
        <v>146</v>
      </c>
      <c r="C1361" t="s">
        <v>116</v>
      </c>
      <c r="D1361">
        <v>4</v>
      </c>
      <c r="E1361" s="15">
        <v>1061</v>
      </c>
    </row>
    <row r="1362" spans="1:5" x14ac:dyDescent="0.2">
      <c r="A1362">
        <v>2025</v>
      </c>
      <c r="B1362" t="s">
        <v>146</v>
      </c>
      <c r="C1362" t="s">
        <v>117</v>
      </c>
      <c r="D1362">
        <v>5</v>
      </c>
      <c r="E1362" s="15">
        <v>3748</v>
      </c>
    </row>
    <row r="1363" spans="1:5" x14ac:dyDescent="0.2">
      <c r="A1363">
        <v>2025</v>
      </c>
      <c r="B1363" t="s">
        <v>146</v>
      </c>
      <c r="C1363" t="s">
        <v>118</v>
      </c>
      <c r="D1363">
        <v>6</v>
      </c>
      <c r="E1363" s="15">
        <v>5853</v>
      </c>
    </row>
    <row r="1364" spans="1:5" x14ac:dyDescent="0.2">
      <c r="A1364">
        <v>2025</v>
      </c>
      <c r="B1364" t="s">
        <v>146</v>
      </c>
      <c r="C1364" t="s">
        <v>119</v>
      </c>
      <c r="D1364">
        <v>7</v>
      </c>
      <c r="E1364" s="15">
        <v>3161</v>
      </c>
    </row>
    <row r="1365" spans="1:5" x14ac:dyDescent="0.2">
      <c r="A1365">
        <v>2025</v>
      </c>
      <c r="B1365" t="s">
        <v>146</v>
      </c>
      <c r="C1365" t="s">
        <v>120</v>
      </c>
      <c r="D1365">
        <v>8</v>
      </c>
      <c r="E1365" s="15">
        <v>8038</v>
      </c>
    </row>
    <row r="1366" spans="1:5" x14ac:dyDescent="0.2">
      <c r="A1366">
        <v>2025</v>
      </c>
      <c r="B1366" t="s">
        <v>146</v>
      </c>
      <c r="C1366" t="s">
        <v>121</v>
      </c>
      <c r="D1366">
        <v>9</v>
      </c>
      <c r="E1366" s="15">
        <v>6691</v>
      </c>
    </row>
    <row r="1367" spans="1:5" x14ac:dyDescent="0.2">
      <c r="A1367">
        <v>2025</v>
      </c>
      <c r="B1367" t="s">
        <v>146</v>
      </c>
      <c r="C1367" t="s">
        <v>122</v>
      </c>
      <c r="D1367">
        <v>10</v>
      </c>
      <c r="E1367" s="15">
        <v>10736</v>
      </c>
    </row>
    <row r="1368" spans="1:5" x14ac:dyDescent="0.2">
      <c r="A1368">
        <v>2025</v>
      </c>
      <c r="B1368" t="s">
        <v>146</v>
      </c>
      <c r="C1368" t="s">
        <v>123</v>
      </c>
      <c r="D1368">
        <v>11</v>
      </c>
      <c r="E1368" s="15">
        <v>35353</v>
      </c>
    </row>
    <row r="1369" spans="1:5" x14ac:dyDescent="0.2">
      <c r="A1369">
        <v>2025</v>
      </c>
      <c r="B1369" t="s">
        <v>147</v>
      </c>
      <c r="C1369" t="s">
        <v>113</v>
      </c>
      <c r="D1369">
        <v>1</v>
      </c>
      <c r="E1369" s="15">
        <v>466</v>
      </c>
    </row>
    <row r="1370" spans="1:5" x14ac:dyDescent="0.2">
      <c r="A1370">
        <v>2025</v>
      </c>
      <c r="B1370" t="s">
        <v>147</v>
      </c>
      <c r="C1370" t="s">
        <v>114</v>
      </c>
      <c r="D1370">
        <v>2</v>
      </c>
      <c r="E1370" s="15">
        <v>4015</v>
      </c>
    </row>
    <row r="1371" spans="1:5" x14ac:dyDescent="0.2">
      <c r="A1371">
        <v>2025</v>
      </c>
      <c r="B1371" t="s">
        <v>147</v>
      </c>
      <c r="C1371" t="s">
        <v>115</v>
      </c>
      <c r="D1371">
        <v>3</v>
      </c>
      <c r="E1371" s="15">
        <v>3632</v>
      </c>
    </row>
    <row r="1372" spans="1:5" x14ac:dyDescent="0.2">
      <c r="A1372">
        <v>2025</v>
      </c>
      <c r="B1372" t="s">
        <v>147</v>
      </c>
      <c r="C1372" t="s">
        <v>116</v>
      </c>
      <c r="D1372">
        <v>4</v>
      </c>
      <c r="E1372" s="15">
        <v>1917</v>
      </c>
    </row>
    <row r="1373" spans="1:5" x14ac:dyDescent="0.2">
      <c r="A1373">
        <v>2025</v>
      </c>
      <c r="B1373" t="s">
        <v>147</v>
      </c>
      <c r="C1373" t="s">
        <v>117</v>
      </c>
      <c r="D1373">
        <v>5</v>
      </c>
      <c r="E1373" s="15">
        <v>7286</v>
      </c>
    </row>
    <row r="1374" spans="1:5" x14ac:dyDescent="0.2">
      <c r="A1374">
        <v>2025</v>
      </c>
      <c r="B1374" t="s">
        <v>147</v>
      </c>
      <c r="C1374" t="s">
        <v>118</v>
      </c>
      <c r="D1374">
        <v>6</v>
      </c>
      <c r="E1374" s="15">
        <v>10878</v>
      </c>
    </row>
    <row r="1375" spans="1:5" x14ac:dyDescent="0.2">
      <c r="A1375">
        <v>2025</v>
      </c>
      <c r="B1375" t="s">
        <v>147</v>
      </c>
      <c r="C1375" t="s">
        <v>119</v>
      </c>
      <c r="D1375">
        <v>7</v>
      </c>
      <c r="E1375" s="15">
        <v>5368</v>
      </c>
    </row>
    <row r="1376" spans="1:5" x14ac:dyDescent="0.2">
      <c r="A1376">
        <v>2025</v>
      </c>
      <c r="B1376" t="s">
        <v>147</v>
      </c>
      <c r="C1376" t="s">
        <v>120</v>
      </c>
      <c r="D1376">
        <v>8</v>
      </c>
      <c r="E1376" s="15">
        <v>13103</v>
      </c>
    </row>
    <row r="1377" spans="1:5" x14ac:dyDescent="0.2">
      <c r="A1377">
        <v>2025</v>
      </c>
      <c r="B1377" t="s">
        <v>147</v>
      </c>
      <c r="C1377" t="s">
        <v>121</v>
      </c>
      <c r="D1377">
        <v>9</v>
      </c>
      <c r="E1377" s="15">
        <v>11801</v>
      </c>
    </row>
    <row r="1378" spans="1:5" x14ac:dyDescent="0.2">
      <c r="A1378">
        <v>2025</v>
      </c>
      <c r="B1378" t="s">
        <v>147</v>
      </c>
      <c r="C1378" t="s">
        <v>122</v>
      </c>
      <c r="D1378">
        <v>10</v>
      </c>
      <c r="E1378" s="15">
        <v>19244</v>
      </c>
    </row>
    <row r="1379" spans="1:5" x14ac:dyDescent="0.2">
      <c r="A1379">
        <v>2025</v>
      </c>
      <c r="B1379" t="s">
        <v>147</v>
      </c>
      <c r="C1379" t="s">
        <v>123</v>
      </c>
      <c r="D1379">
        <v>11</v>
      </c>
      <c r="E1379" s="15">
        <v>67040</v>
      </c>
    </row>
    <row r="1380" spans="1:5" x14ac:dyDescent="0.2">
      <c r="A1380">
        <v>2025</v>
      </c>
      <c r="B1380" t="s">
        <v>148</v>
      </c>
      <c r="C1380" t="s">
        <v>113</v>
      </c>
      <c r="D1380">
        <v>1</v>
      </c>
      <c r="E1380" s="15">
        <v>149</v>
      </c>
    </row>
    <row r="1381" spans="1:5" x14ac:dyDescent="0.2">
      <c r="A1381">
        <v>2025</v>
      </c>
      <c r="B1381" t="s">
        <v>148</v>
      </c>
      <c r="C1381" t="s">
        <v>114</v>
      </c>
      <c r="D1381">
        <v>2</v>
      </c>
      <c r="E1381" s="15">
        <v>972</v>
      </c>
    </row>
    <row r="1382" spans="1:5" x14ac:dyDescent="0.2">
      <c r="A1382">
        <v>2025</v>
      </c>
      <c r="B1382" t="s">
        <v>148</v>
      </c>
      <c r="C1382" t="s">
        <v>115</v>
      </c>
      <c r="D1382">
        <v>3</v>
      </c>
      <c r="E1382" s="15">
        <v>756</v>
      </c>
    </row>
    <row r="1383" spans="1:5" x14ac:dyDescent="0.2">
      <c r="A1383">
        <v>2025</v>
      </c>
      <c r="B1383" t="s">
        <v>148</v>
      </c>
      <c r="C1383" t="s">
        <v>116</v>
      </c>
      <c r="D1383">
        <v>4</v>
      </c>
      <c r="E1383" s="15">
        <v>391</v>
      </c>
    </row>
    <row r="1384" spans="1:5" x14ac:dyDescent="0.2">
      <c r="A1384">
        <v>2025</v>
      </c>
      <c r="B1384" t="s">
        <v>148</v>
      </c>
      <c r="C1384" t="s">
        <v>117</v>
      </c>
      <c r="D1384">
        <v>5</v>
      </c>
      <c r="E1384" s="15">
        <v>1179</v>
      </c>
    </row>
    <row r="1385" spans="1:5" x14ac:dyDescent="0.2">
      <c r="A1385">
        <v>2025</v>
      </c>
      <c r="B1385" t="s">
        <v>148</v>
      </c>
      <c r="C1385" t="s">
        <v>118</v>
      </c>
      <c r="D1385">
        <v>6</v>
      </c>
      <c r="E1385" s="15">
        <v>1904</v>
      </c>
    </row>
    <row r="1386" spans="1:5" x14ac:dyDescent="0.2">
      <c r="A1386">
        <v>2025</v>
      </c>
      <c r="B1386" t="s">
        <v>148</v>
      </c>
      <c r="C1386" t="s">
        <v>119</v>
      </c>
      <c r="D1386">
        <v>7</v>
      </c>
      <c r="E1386" s="15">
        <v>1043</v>
      </c>
    </row>
    <row r="1387" spans="1:5" x14ac:dyDescent="0.2">
      <c r="A1387">
        <v>2025</v>
      </c>
      <c r="B1387" t="s">
        <v>148</v>
      </c>
      <c r="C1387" t="s">
        <v>120</v>
      </c>
      <c r="D1387">
        <v>8</v>
      </c>
      <c r="E1387" s="15">
        <v>2728</v>
      </c>
    </row>
    <row r="1388" spans="1:5" x14ac:dyDescent="0.2">
      <c r="A1388">
        <v>2025</v>
      </c>
      <c r="B1388" t="s">
        <v>148</v>
      </c>
      <c r="C1388" t="s">
        <v>121</v>
      </c>
      <c r="D1388">
        <v>9</v>
      </c>
      <c r="E1388" s="15">
        <v>2513</v>
      </c>
    </row>
    <row r="1389" spans="1:5" x14ac:dyDescent="0.2">
      <c r="A1389">
        <v>2025</v>
      </c>
      <c r="B1389" t="s">
        <v>148</v>
      </c>
      <c r="C1389" t="s">
        <v>122</v>
      </c>
      <c r="D1389">
        <v>10</v>
      </c>
      <c r="E1389" s="15">
        <v>4141</v>
      </c>
    </row>
    <row r="1390" spans="1:5" x14ac:dyDescent="0.2">
      <c r="A1390">
        <v>2025</v>
      </c>
      <c r="B1390" t="s">
        <v>148</v>
      </c>
      <c r="C1390" t="s">
        <v>123</v>
      </c>
      <c r="D1390">
        <v>11</v>
      </c>
      <c r="E1390" s="15">
        <v>14337</v>
      </c>
    </row>
    <row r="1391" spans="1:5" x14ac:dyDescent="0.2">
      <c r="A1391">
        <v>2025</v>
      </c>
      <c r="B1391" t="s">
        <v>149</v>
      </c>
      <c r="C1391" t="s">
        <v>113</v>
      </c>
      <c r="D1391">
        <v>1</v>
      </c>
      <c r="E1391" s="15">
        <v>4</v>
      </c>
    </row>
    <row r="1392" spans="1:5" x14ac:dyDescent="0.2">
      <c r="A1392">
        <v>2025</v>
      </c>
      <c r="B1392" t="s">
        <v>149</v>
      </c>
      <c r="C1392" t="s">
        <v>114</v>
      </c>
      <c r="D1392">
        <v>2</v>
      </c>
      <c r="E1392" s="15">
        <v>84</v>
      </c>
    </row>
    <row r="1393" spans="1:5" x14ac:dyDescent="0.2">
      <c r="A1393">
        <v>2025</v>
      </c>
      <c r="B1393" t="s">
        <v>149</v>
      </c>
      <c r="C1393" t="s">
        <v>115</v>
      </c>
      <c r="D1393">
        <v>3</v>
      </c>
      <c r="E1393" s="15">
        <v>84</v>
      </c>
    </row>
    <row r="1394" spans="1:5" x14ac:dyDescent="0.2">
      <c r="A1394">
        <v>2025</v>
      </c>
      <c r="B1394" t="s">
        <v>149</v>
      </c>
      <c r="C1394" t="s">
        <v>116</v>
      </c>
      <c r="D1394">
        <v>4</v>
      </c>
      <c r="E1394" s="15">
        <v>42</v>
      </c>
    </row>
    <row r="1395" spans="1:5" x14ac:dyDescent="0.2">
      <c r="A1395">
        <v>2025</v>
      </c>
      <c r="B1395" t="s">
        <v>149</v>
      </c>
      <c r="C1395" t="s">
        <v>117</v>
      </c>
      <c r="D1395">
        <v>5</v>
      </c>
      <c r="E1395" s="15">
        <v>172</v>
      </c>
    </row>
    <row r="1396" spans="1:5" x14ac:dyDescent="0.2">
      <c r="A1396">
        <v>2025</v>
      </c>
      <c r="B1396" t="s">
        <v>149</v>
      </c>
      <c r="C1396" t="s">
        <v>118</v>
      </c>
      <c r="D1396">
        <v>6</v>
      </c>
      <c r="E1396" s="15">
        <v>137</v>
      </c>
    </row>
    <row r="1397" spans="1:5" x14ac:dyDescent="0.2">
      <c r="A1397">
        <v>2025</v>
      </c>
      <c r="B1397" t="s">
        <v>149</v>
      </c>
      <c r="C1397" t="s">
        <v>119</v>
      </c>
      <c r="D1397">
        <v>7</v>
      </c>
      <c r="E1397" s="15">
        <v>89</v>
      </c>
    </row>
    <row r="1398" spans="1:5" x14ac:dyDescent="0.2">
      <c r="A1398">
        <v>2025</v>
      </c>
      <c r="B1398" t="s">
        <v>149</v>
      </c>
      <c r="C1398" t="s">
        <v>120</v>
      </c>
      <c r="D1398">
        <v>8</v>
      </c>
      <c r="E1398" s="15">
        <v>252</v>
      </c>
    </row>
    <row r="1399" spans="1:5" x14ac:dyDescent="0.2">
      <c r="A1399">
        <v>2025</v>
      </c>
      <c r="B1399" t="s">
        <v>149</v>
      </c>
      <c r="C1399" t="s">
        <v>121</v>
      </c>
      <c r="D1399">
        <v>9</v>
      </c>
      <c r="E1399" s="15">
        <v>250</v>
      </c>
    </row>
    <row r="1400" spans="1:5" x14ac:dyDescent="0.2">
      <c r="A1400">
        <v>2025</v>
      </c>
      <c r="B1400" t="s">
        <v>149</v>
      </c>
      <c r="C1400" t="s">
        <v>122</v>
      </c>
      <c r="D1400">
        <v>10</v>
      </c>
      <c r="E1400" s="15">
        <v>375</v>
      </c>
    </row>
    <row r="1401" spans="1:5" x14ac:dyDescent="0.2">
      <c r="A1401">
        <v>2025</v>
      </c>
      <c r="B1401" t="s">
        <v>149</v>
      </c>
      <c r="C1401" t="s">
        <v>123</v>
      </c>
      <c r="D1401">
        <v>11</v>
      </c>
      <c r="E1401" s="15">
        <v>679</v>
      </c>
    </row>
    <row r="1402" spans="1:5" x14ac:dyDescent="0.2">
      <c r="A1402">
        <v>2025</v>
      </c>
      <c r="B1402" t="s">
        <v>150</v>
      </c>
      <c r="C1402" t="s">
        <v>113</v>
      </c>
      <c r="D1402">
        <v>1</v>
      </c>
      <c r="E1402" s="15">
        <v>20</v>
      </c>
    </row>
    <row r="1403" spans="1:5" x14ac:dyDescent="0.2">
      <c r="A1403">
        <v>2025</v>
      </c>
      <c r="B1403" t="s">
        <v>150</v>
      </c>
      <c r="C1403" t="s">
        <v>114</v>
      </c>
      <c r="D1403">
        <v>2</v>
      </c>
      <c r="E1403" s="15">
        <v>419</v>
      </c>
    </row>
    <row r="1404" spans="1:5" x14ac:dyDescent="0.2">
      <c r="A1404">
        <v>2025</v>
      </c>
      <c r="B1404" t="s">
        <v>150</v>
      </c>
      <c r="C1404" t="s">
        <v>115</v>
      </c>
      <c r="D1404">
        <v>3</v>
      </c>
      <c r="E1404" s="15">
        <v>396</v>
      </c>
    </row>
    <row r="1405" spans="1:5" x14ac:dyDescent="0.2">
      <c r="A1405">
        <v>2025</v>
      </c>
      <c r="B1405" t="s">
        <v>150</v>
      </c>
      <c r="C1405" t="s">
        <v>116</v>
      </c>
      <c r="D1405">
        <v>4</v>
      </c>
      <c r="E1405" s="15">
        <v>215</v>
      </c>
    </row>
    <row r="1406" spans="1:5" x14ac:dyDescent="0.2">
      <c r="A1406">
        <v>2025</v>
      </c>
      <c r="B1406" t="s">
        <v>150</v>
      </c>
      <c r="C1406" t="s">
        <v>117</v>
      </c>
      <c r="D1406">
        <v>5</v>
      </c>
      <c r="E1406" s="15">
        <v>691</v>
      </c>
    </row>
    <row r="1407" spans="1:5" x14ac:dyDescent="0.2">
      <c r="A1407">
        <v>2025</v>
      </c>
      <c r="B1407" t="s">
        <v>150</v>
      </c>
      <c r="C1407" t="s">
        <v>118</v>
      </c>
      <c r="D1407">
        <v>6</v>
      </c>
      <c r="E1407" s="15">
        <v>863</v>
      </c>
    </row>
    <row r="1408" spans="1:5" x14ac:dyDescent="0.2">
      <c r="A1408">
        <v>2025</v>
      </c>
      <c r="B1408" t="s">
        <v>150</v>
      </c>
      <c r="C1408" t="s">
        <v>119</v>
      </c>
      <c r="D1408">
        <v>7</v>
      </c>
      <c r="E1408" s="15">
        <v>619</v>
      </c>
    </row>
    <row r="1409" spans="1:5" x14ac:dyDescent="0.2">
      <c r="A1409">
        <v>2025</v>
      </c>
      <c r="B1409" t="s">
        <v>150</v>
      </c>
      <c r="C1409" t="s">
        <v>120</v>
      </c>
      <c r="D1409">
        <v>8</v>
      </c>
      <c r="E1409" s="15">
        <v>1886</v>
      </c>
    </row>
    <row r="1410" spans="1:5" x14ac:dyDescent="0.2">
      <c r="A1410">
        <v>2025</v>
      </c>
      <c r="B1410" t="s">
        <v>150</v>
      </c>
      <c r="C1410" t="s">
        <v>121</v>
      </c>
      <c r="D1410">
        <v>9</v>
      </c>
      <c r="E1410" s="15">
        <v>1666</v>
      </c>
    </row>
    <row r="1411" spans="1:5" x14ac:dyDescent="0.2">
      <c r="A1411">
        <v>2025</v>
      </c>
      <c r="B1411" t="s">
        <v>150</v>
      </c>
      <c r="C1411" t="s">
        <v>122</v>
      </c>
      <c r="D1411">
        <v>10</v>
      </c>
      <c r="E1411" s="15">
        <v>2137</v>
      </c>
    </row>
    <row r="1412" spans="1:5" x14ac:dyDescent="0.2">
      <c r="A1412">
        <v>2025</v>
      </c>
      <c r="B1412" t="s">
        <v>150</v>
      </c>
      <c r="C1412" t="s">
        <v>123</v>
      </c>
      <c r="D1412">
        <v>11</v>
      </c>
      <c r="E1412" s="15">
        <v>4784</v>
      </c>
    </row>
    <row r="1413" spans="1:5" x14ac:dyDescent="0.2">
      <c r="A1413">
        <v>2025</v>
      </c>
      <c r="B1413" t="s">
        <v>151</v>
      </c>
      <c r="C1413" t="s">
        <v>113</v>
      </c>
      <c r="D1413">
        <v>1</v>
      </c>
      <c r="E1413" s="15">
        <v>139</v>
      </c>
    </row>
    <row r="1414" spans="1:5" x14ac:dyDescent="0.2">
      <c r="A1414">
        <v>2025</v>
      </c>
      <c r="B1414" t="s">
        <v>151</v>
      </c>
      <c r="C1414" t="s">
        <v>114</v>
      </c>
      <c r="D1414">
        <v>2</v>
      </c>
      <c r="E1414" s="15">
        <v>1661</v>
      </c>
    </row>
    <row r="1415" spans="1:5" x14ac:dyDescent="0.2">
      <c r="A1415">
        <v>2025</v>
      </c>
      <c r="B1415" t="s">
        <v>151</v>
      </c>
      <c r="C1415" t="s">
        <v>115</v>
      </c>
      <c r="D1415">
        <v>3</v>
      </c>
      <c r="E1415" s="15">
        <v>1599</v>
      </c>
    </row>
    <row r="1416" spans="1:5" x14ac:dyDescent="0.2">
      <c r="A1416">
        <v>2025</v>
      </c>
      <c r="B1416" t="s">
        <v>151</v>
      </c>
      <c r="C1416" t="s">
        <v>116</v>
      </c>
      <c r="D1416">
        <v>4</v>
      </c>
      <c r="E1416" s="15">
        <v>809</v>
      </c>
    </row>
    <row r="1417" spans="1:5" x14ac:dyDescent="0.2">
      <c r="A1417">
        <v>2025</v>
      </c>
      <c r="B1417" t="s">
        <v>151</v>
      </c>
      <c r="C1417" t="s">
        <v>117</v>
      </c>
      <c r="D1417">
        <v>5</v>
      </c>
      <c r="E1417" s="15">
        <v>2396</v>
      </c>
    </row>
    <row r="1418" spans="1:5" x14ac:dyDescent="0.2">
      <c r="A1418">
        <v>2025</v>
      </c>
      <c r="B1418" t="s">
        <v>151</v>
      </c>
      <c r="C1418" t="s">
        <v>118</v>
      </c>
      <c r="D1418">
        <v>6</v>
      </c>
      <c r="E1418" s="15">
        <v>3589</v>
      </c>
    </row>
    <row r="1419" spans="1:5" x14ac:dyDescent="0.2">
      <c r="A1419">
        <v>2025</v>
      </c>
      <c r="B1419" t="s">
        <v>151</v>
      </c>
      <c r="C1419" t="s">
        <v>119</v>
      </c>
      <c r="D1419">
        <v>7</v>
      </c>
      <c r="E1419" s="15">
        <v>2041</v>
      </c>
    </row>
    <row r="1420" spans="1:5" x14ac:dyDescent="0.2">
      <c r="A1420">
        <v>2025</v>
      </c>
      <c r="B1420" t="s">
        <v>151</v>
      </c>
      <c r="C1420" t="s">
        <v>120</v>
      </c>
      <c r="D1420">
        <v>8</v>
      </c>
      <c r="E1420" s="15">
        <v>5301</v>
      </c>
    </row>
    <row r="1421" spans="1:5" x14ac:dyDescent="0.2">
      <c r="A1421">
        <v>2025</v>
      </c>
      <c r="B1421" t="s">
        <v>151</v>
      </c>
      <c r="C1421" t="s">
        <v>121</v>
      </c>
      <c r="D1421">
        <v>9</v>
      </c>
      <c r="E1421" s="15">
        <v>4903</v>
      </c>
    </row>
    <row r="1422" spans="1:5" x14ac:dyDescent="0.2">
      <c r="A1422">
        <v>2025</v>
      </c>
      <c r="B1422" t="s">
        <v>151</v>
      </c>
      <c r="C1422" t="s">
        <v>122</v>
      </c>
      <c r="D1422">
        <v>10</v>
      </c>
      <c r="E1422" s="15">
        <v>7844</v>
      </c>
    </row>
    <row r="1423" spans="1:5" x14ac:dyDescent="0.2">
      <c r="A1423">
        <v>2025</v>
      </c>
      <c r="B1423" t="s">
        <v>151</v>
      </c>
      <c r="C1423" t="s">
        <v>123</v>
      </c>
      <c r="D1423">
        <v>11</v>
      </c>
      <c r="E1423" s="15">
        <v>24189</v>
      </c>
    </row>
    <row r="1424" spans="1:5" x14ac:dyDescent="0.2">
      <c r="A1424">
        <v>2025</v>
      </c>
      <c r="B1424" t="s">
        <v>152</v>
      </c>
      <c r="C1424" t="s">
        <v>113</v>
      </c>
      <c r="D1424">
        <v>1</v>
      </c>
      <c r="E1424" s="15">
        <v>0</v>
      </c>
    </row>
    <row r="1425" spans="1:5" x14ac:dyDescent="0.2">
      <c r="A1425">
        <v>2025</v>
      </c>
      <c r="B1425" t="s">
        <v>152</v>
      </c>
      <c r="C1425" t="s">
        <v>114</v>
      </c>
      <c r="D1425">
        <v>2</v>
      </c>
      <c r="E1425" s="15">
        <v>59</v>
      </c>
    </row>
    <row r="1426" spans="1:5" x14ac:dyDescent="0.2">
      <c r="A1426">
        <v>2025</v>
      </c>
      <c r="B1426" t="s">
        <v>152</v>
      </c>
      <c r="C1426" t="s">
        <v>115</v>
      </c>
      <c r="D1426">
        <v>3</v>
      </c>
      <c r="E1426" s="15">
        <v>251</v>
      </c>
    </row>
    <row r="1427" spans="1:5" x14ac:dyDescent="0.2">
      <c r="A1427">
        <v>2025</v>
      </c>
      <c r="B1427" t="s">
        <v>152</v>
      </c>
      <c r="C1427" t="s">
        <v>116</v>
      </c>
      <c r="D1427">
        <v>4</v>
      </c>
      <c r="E1427" s="15">
        <v>273</v>
      </c>
    </row>
    <row r="1428" spans="1:5" x14ac:dyDescent="0.2">
      <c r="A1428">
        <v>2025</v>
      </c>
      <c r="B1428" t="s">
        <v>152</v>
      </c>
      <c r="C1428" t="s">
        <v>117</v>
      </c>
      <c r="D1428">
        <v>5</v>
      </c>
      <c r="E1428" s="15">
        <v>1757</v>
      </c>
    </row>
    <row r="1429" spans="1:5" x14ac:dyDescent="0.2">
      <c r="A1429">
        <v>2025</v>
      </c>
      <c r="B1429" t="s">
        <v>152</v>
      </c>
      <c r="C1429" t="s">
        <v>118</v>
      </c>
      <c r="D1429">
        <v>6</v>
      </c>
      <c r="E1429" s="15">
        <v>4589</v>
      </c>
    </row>
    <row r="1430" spans="1:5" x14ac:dyDescent="0.2">
      <c r="A1430">
        <v>2025</v>
      </c>
      <c r="B1430" t="s">
        <v>152</v>
      </c>
      <c r="C1430" t="s">
        <v>119</v>
      </c>
      <c r="D1430">
        <v>7</v>
      </c>
      <c r="E1430" s="15">
        <v>2717</v>
      </c>
    </row>
    <row r="1431" spans="1:5" x14ac:dyDescent="0.2">
      <c r="A1431">
        <v>2025</v>
      </c>
      <c r="B1431" t="s">
        <v>152</v>
      </c>
      <c r="C1431" t="s">
        <v>120</v>
      </c>
      <c r="D1431">
        <v>8</v>
      </c>
      <c r="E1431" s="15">
        <v>5557</v>
      </c>
    </row>
    <row r="1432" spans="1:5" x14ac:dyDescent="0.2">
      <c r="A1432">
        <v>2025</v>
      </c>
      <c r="B1432" t="s">
        <v>152</v>
      </c>
      <c r="C1432" t="s">
        <v>121</v>
      </c>
      <c r="D1432">
        <v>9</v>
      </c>
      <c r="E1432" s="15">
        <v>3783</v>
      </c>
    </row>
    <row r="1433" spans="1:5" x14ac:dyDescent="0.2">
      <c r="A1433">
        <v>2025</v>
      </c>
      <c r="B1433" t="s">
        <v>152</v>
      </c>
      <c r="C1433" t="s">
        <v>122</v>
      </c>
      <c r="D1433">
        <v>10</v>
      </c>
      <c r="E1433" s="15">
        <v>4782</v>
      </c>
    </row>
    <row r="1434" spans="1:5" x14ac:dyDescent="0.2">
      <c r="A1434">
        <v>2025</v>
      </c>
      <c r="B1434" t="s">
        <v>152</v>
      </c>
      <c r="C1434" t="s">
        <v>123</v>
      </c>
      <c r="D1434">
        <v>11</v>
      </c>
      <c r="E1434" s="15">
        <v>8930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5"/>
  <sheetViews>
    <sheetView workbookViewId="0"/>
  </sheetViews>
  <sheetFormatPr baseColWidth="10" defaultColWidth="8.83203125" defaultRowHeight="15" x14ac:dyDescent="0.2"/>
  <cols>
    <col min="1" max="1" width="9" customWidth="1"/>
    <col min="2" max="7" width="10" customWidth="1"/>
    <col min="8" max="10" width="12" customWidth="1"/>
    <col min="11" max="11" width="13" customWidth="1"/>
    <col min="12" max="12" width="15" customWidth="1"/>
  </cols>
  <sheetData>
    <row r="1" spans="1:12" ht="19" x14ac:dyDescent="0.25">
      <c r="A1" s="1" t="s">
        <v>157</v>
      </c>
    </row>
    <row r="2" spans="1:12" x14ac:dyDescent="0.2">
      <c r="A2" s="2" t="s">
        <v>156</v>
      </c>
    </row>
    <row r="4" spans="1:12" x14ac:dyDescent="0.2">
      <c r="B4" s="52" t="s">
        <v>113</v>
      </c>
      <c r="C4" s="38"/>
      <c r="D4" s="52" t="s">
        <v>114</v>
      </c>
      <c r="E4" s="38"/>
      <c r="F4" s="52" t="s">
        <v>115</v>
      </c>
      <c r="G4" s="38"/>
      <c r="H4" s="52" t="s">
        <v>112</v>
      </c>
      <c r="I4" s="38"/>
      <c r="J4" s="38"/>
    </row>
    <row r="5" spans="1:12" ht="30" customHeight="1" x14ac:dyDescent="0.2">
      <c r="A5" s="5" t="s">
        <v>98</v>
      </c>
      <c r="B5" s="5" t="s">
        <v>158</v>
      </c>
      <c r="C5" s="5" t="s">
        <v>159</v>
      </c>
      <c r="D5" s="5" t="s">
        <v>158</v>
      </c>
      <c r="E5" s="5" t="s">
        <v>159</v>
      </c>
      <c r="F5" s="5" t="s">
        <v>158</v>
      </c>
      <c r="G5" s="5" t="s">
        <v>159</v>
      </c>
      <c r="H5" s="5" t="s">
        <v>100</v>
      </c>
      <c r="I5" s="5" t="s">
        <v>101</v>
      </c>
      <c r="J5" s="5" t="s">
        <v>112</v>
      </c>
      <c r="K5" s="5" t="s">
        <v>102</v>
      </c>
      <c r="L5" s="5" t="s">
        <v>108</v>
      </c>
    </row>
    <row r="6" spans="1:12" x14ac:dyDescent="0.2">
      <c r="A6" s="6">
        <v>2016</v>
      </c>
      <c r="B6" s="7">
        <v>1170</v>
      </c>
      <c r="C6" s="7">
        <v>703</v>
      </c>
      <c r="D6" s="7">
        <v>16114</v>
      </c>
      <c r="E6" s="7">
        <v>8202</v>
      </c>
      <c r="F6" s="7">
        <v>12578</v>
      </c>
      <c r="G6" s="7">
        <v>5186</v>
      </c>
      <c r="H6" s="7">
        <f t="shared" ref="H6:H15" si="0">B6+D6+F6</f>
        <v>29862</v>
      </c>
      <c r="I6" s="7">
        <f t="shared" ref="I6:I15" si="1">C6+E6+G6</f>
        <v>14091</v>
      </c>
      <c r="J6" s="7">
        <f t="shared" ref="J6:J15" si="2">H6+I6</f>
        <v>43953</v>
      </c>
      <c r="K6" s="8">
        <f t="shared" ref="K6:K15" si="3">I6/J6</f>
        <v>0.32059245102723366</v>
      </c>
      <c r="L6" s="10">
        <f t="shared" ref="L6:L15" si="4">J6/$J$6*100</f>
        <v>100</v>
      </c>
    </row>
    <row r="7" spans="1:12" x14ac:dyDescent="0.2">
      <c r="A7" s="6">
        <v>2017</v>
      </c>
      <c r="B7" s="7">
        <v>1112</v>
      </c>
      <c r="C7" s="7">
        <v>670</v>
      </c>
      <c r="D7" s="7">
        <v>15727</v>
      </c>
      <c r="E7" s="7">
        <v>7994</v>
      </c>
      <c r="F7" s="7">
        <v>12093</v>
      </c>
      <c r="G7" s="7">
        <v>5077</v>
      </c>
      <c r="H7" s="7">
        <f t="shared" si="0"/>
        <v>28932</v>
      </c>
      <c r="I7" s="7">
        <f t="shared" si="1"/>
        <v>13741</v>
      </c>
      <c r="J7" s="7">
        <f t="shared" si="2"/>
        <v>42673</v>
      </c>
      <c r="K7" s="8">
        <f t="shared" si="3"/>
        <v>0.32200688960232465</v>
      </c>
      <c r="L7" s="10">
        <f t="shared" si="4"/>
        <v>97.08779833003436</v>
      </c>
    </row>
    <row r="8" spans="1:12" x14ac:dyDescent="0.2">
      <c r="A8" s="6">
        <v>2018</v>
      </c>
      <c r="B8" s="7">
        <v>1122</v>
      </c>
      <c r="C8" s="7">
        <v>701</v>
      </c>
      <c r="D8" s="7">
        <v>15133</v>
      </c>
      <c r="E8" s="7">
        <v>7887</v>
      </c>
      <c r="F8" s="7">
        <v>11643</v>
      </c>
      <c r="G8" s="7">
        <v>4919</v>
      </c>
      <c r="H8" s="7">
        <f t="shared" si="0"/>
        <v>27898</v>
      </c>
      <c r="I8" s="7">
        <f t="shared" si="1"/>
        <v>13507</v>
      </c>
      <c r="J8" s="7">
        <f t="shared" si="2"/>
        <v>41405</v>
      </c>
      <c r="K8" s="8">
        <f t="shared" si="3"/>
        <v>0.32621664050235477</v>
      </c>
      <c r="L8" s="10">
        <f t="shared" si="4"/>
        <v>94.20289855072464</v>
      </c>
    </row>
    <row r="9" spans="1:12" x14ac:dyDescent="0.2">
      <c r="A9" s="6">
        <v>2019</v>
      </c>
      <c r="B9" s="7">
        <v>1058</v>
      </c>
      <c r="C9" s="7">
        <v>726</v>
      </c>
      <c r="D9" s="7">
        <v>14782</v>
      </c>
      <c r="E9" s="7">
        <v>7608</v>
      </c>
      <c r="F9" s="7">
        <v>11368</v>
      </c>
      <c r="G9" s="7">
        <v>4797</v>
      </c>
      <c r="H9" s="7">
        <f t="shared" si="0"/>
        <v>27208</v>
      </c>
      <c r="I9" s="7">
        <f t="shared" si="1"/>
        <v>13131</v>
      </c>
      <c r="J9" s="7">
        <f t="shared" si="2"/>
        <v>40339</v>
      </c>
      <c r="K9" s="8">
        <f t="shared" si="3"/>
        <v>0.32551624978308835</v>
      </c>
      <c r="L9" s="10">
        <f t="shared" si="4"/>
        <v>91.777580597456378</v>
      </c>
    </row>
    <row r="10" spans="1:12" x14ac:dyDescent="0.2">
      <c r="A10" s="6">
        <v>2020</v>
      </c>
      <c r="B10" s="7">
        <v>1186</v>
      </c>
      <c r="C10" s="7">
        <v>754</v>
      </c>
      <c r="D10" s="7">
        <v>14729</v>
      </c>
      <c r="E10" s="7">
        <v>7726</v>
      </c>
      <c r="F10" s="7">
        <v>11761</v>
      </c>
      <c r="G10" s="7">
        <v>5056</v>
      </c>
      <c r="H10" s="7">
        <f t="shared" si="0"/>
        <v>27676</v>
      </c>
      <c r="I10" s="7">
        <f t="shared" si="1"/>
        <v>13536</v>
      </c>
      <c r="J10" s="7">
        <f t="shared" si="2"/>
        <v>41212</v>
      </c>
      <c r="K10" s="8">
        <f t="shared" si="3"/>
        <v>0.32844802484713193</v>
      </c>
      <c r="L10" s="10">
        <f t="shared" si="4"/>
        <v>93.763793142675127</v>
      </c>
    </row>
    <row r="11" spans="1:12" x14ac:dyDescent="0.2">
      <c r="A11" s="6">
        <v>2021</v>
      </c>
      <c r="B11" s="7">
        <v>1310</v>
      </c>
      <c r="C11" s="7">
        <v>861</v>
      </c>
      <c r="D11" s="7">
        <v>15438</v>
      </c>
      <c r="E11" s="7">
        <v>8137</v>
      </c>
      <c r="F11" s="7">
        <v>12612</v>
      </c>
      <c r="G11" s="7">
        <v>5560</v>
      </c>
      <c r="H11" s="7">
        <f t="shared" si="0"/>
        <v>29360</v>
      </c>
      <c r="I11" s="7">
        <f t="shared" si="1"/>
        <v>14558</v>
      </c>
      <c r="J11" s="7">
        <f t="shared" si="2"/>
        <v>43918</v>
      </c>
      <c r="K11" s="8">
        <f t="shared" si="3"/>
        <v>0.33148139714923264</v>
      </c>
      <c r="L11" s="10">
        <f t="shared" si="4"/>
        <v>99.920369485586875</v>
      </c>
    </row>
    <row r="12" spans="1:12" x14ac:dyDescent="0.2">
      <c r="A12" s="6">
        <v>2022</v>
      </c>
      <c r="B12" s="7">
        <v>1326</v>
      </c>
      <c r="C12" s="7">
        <v>886</v>
      </c>
      <c r="D12" s="7">
        <v>15302</v>
      </c>
      <c r="E12" s="7">
        <v>8228</v>
      </c>
      <c r="F12" s="7">
        <v>12769</v>
      </c>
      <c r="G12" s="7">
        <v>5766</v>
      </c>
      <c r="H12" s="7">
        <f t="shared" si="0"/>
        <v>29397</v>
      </c>
      <c r="I12" s="7">
        <f t="shared" si="1"/>
        <v>14880</v>
      </c>
      <c r="J12" s="7">
        <f t="shared" si="2"/>
        <v>44277</v>
      </c>
      <c r="K12" s="8">
        <f t="shared" si="3"/>
        <v>0.33606612914154077</v>
      </c>
      <c r="L12" s="10">
        <f t="shared" si="4"/>
        <v>100.73715104771006</v>
      </c>
    </row>
    <row r="13" spans="1:12" x14ac:dyDescent="0.2">
      <c r="A13" s="6">
        <v>2023</v>
      </c>
      <c r="B13" s="7">
        <v>1265</v>
      </c>
      <c r="C13" s="7">
        <v>865</v>
      </c>
      <c r="D13" s="7">
        <v>14582</v>
      </c>
      <c r="E13" s="7">
        <v>7791</v>
      </c>
      <c r="F13" s="7">
        <v>12676</v>
      </c>
      <c r="G13" s="7">
        <v>5680</v>
      </c>
      <c r="H13" s="7">
        <f t="shared" si="0"/>
        <v>28523</v>
      </c>
      <c r="I13" s="7">
        <f t="shared" si="1"/>
        <v>14336</v>
      </c>
      <c r="J13" s="7">
        <f t="shared" si="2"/>
        <v>42859</v>
      </c>
      <c r="K13" s="8">
        <f t="shared" si="3"/>
        <v>0.33449217200587972</v>
      </c>
      <c r="L13" s="10">
        <f t="shared" si="4"/>
        <v>97.510977635201229</v>
      </c>
    </row>
    <row r="14" spans="1:12" x14ac:dyDescent="0.2">
      <c r="A14" s="6">
        <v>2024</v>
      </c>
      <c r="B14" s="7">
        <v>1334</v>
      </c>
      <c r="C14" s="7">
        <v>855</v>
      </c>
      <c r="D14" s="7">
        <v>14137</v>
      </c>
      <c r="E14" s="7">
        <v>7655</v>
      </c>
      <c r="F14" s="7">
        <v>12704</v>
      </c>
      <c r="G14" s="7">
        <v>5562</v>
      </c>
      <c r="H14" s="7">
        <f t="shared" si="0"/>
        <v>28175</v>
      </c>
      <c r="I14" s="7">
        <f t="shared" si="1"/>
        <v>14072</v>
      </c>
      <c r="J14" s="7">
        <f t="shared" si="2"/>
        <v>42247</v>
      </c>
      <c r="K14" s="8">
        <f t="shared" si="3"/>
        <v>0.33308874002887778</v>
      </c>
      <c r="L14" s="10">
        <f t="shared" si="4"/>
        <v>96.118581211748904</v>
      </c>
    </row>
    <row r="15" spans="1:12" x14ac:dyDescent="0.2">
      <c r="A15" s="6">
        <v>2025</v>
      </c>
      <c r="B15" s="7">
        <v>1347</v>
      </c>
      <c r="C15" s="7">
        <v>824</v>
      </c>
      <c r="D15" s="7">
        <v>14268</v>
      </c>
      <c r="E15" s="7">
        <v>7472</v>
      </c>
      <c r="F15" s="7">
        <v>13350</v>
      </c>
      <c r="G15" s="7">
        <v>5537</v>
      </c>
      <c r="H15" s="7">
        <f t="shared" si="0"/>
        <v>28965</v>
      </c>
      <c r="I15" s="7">
        <f t="shared" si="1"/>
        <v>13833</v>
      </c>
      <c r="J15" s="7">
        <f t="shared" si="2"/>
        <v>42798</v>
      </c>
      <c r="K15" s="8">
        <f t="shared" si="3"/>
        <v>0.32321603813262301</v>
      </c>
      <c r="L15" s="10">
        <f t="shared" si="4"/>
        <v>97.372193024366936</v>
      </c>
    </row>
  </sheetData>
  <mergeCells count="4">
    <mergeCell ref="F4:G4"/>
    <mergeCell ref="H4:J4"/>
    <mergeCell ref="B4:C4"/>
    <mergeCell ref="D4:E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1"/>
  <sheetViews>
    <sheetView workbookViewId="0"/>
  </sheetViews>
  <sheetFormatPr baseColWidth="10" defaultColWidth="8.83203125" defaultRowHeight="15" x14ac:dyDescent="0.2"/>
  <cols>
    <col min="1" max="1" width="34" customWidth="1"/>
    <col min="2" max="8" width="13" customWidth="1"/>
    <col min="9" max="9" width="15" customWidth="1"/>
  </cols>
  <sheetData>
    <row r="1" spans="1:9" ht="19" x14ac:dyDescent="0.25">
      <c r="A1" s="1" t="s">
        <v>160</v>
      </c>
    </row>
    <row r="2" spans="1:9" x14ac:dyDescent="0.2">
      <c r="A2" s="2" t="s">
        <v>161</v>
      </c>
    </row>
    <row r="4" spans="1:9" ht="30" customHeight="1" x14ac:dyDescent="0.2">
      <c r="A4" s="5" t="s">
        <v>162</v>
      </c>
      <c r="B4" s="5" t="s">
        <v>163</v>
      </c>
      <c r="C4" s="5" t="s">
        <v>164</v>
      </c>
      <c r="D4" s="5" t="s">
        <v>165</v>
      </c>
      <c r="E4" s="5" t="s">
        <v>166</v>
      </c>
      <c r="F4" s="5" t="s">
        <v>167</v>
      </c>
      <c r="G4" s="5" t="s">
        <v>168</v>
      </c>
      <c r="H4" s="5" t="s">
        <v>169</v>
      </c>
      <c r="I4" s="5" t="s">
        <v>170</v>
      </c>
    </row>
    <row r="5" spans="1:9" x14ac:dyDescent="0.2">
      <c r="A5" s="6" t="s">
        <v>171</v>
      </c>
      <c r="B5" s="18">
        <v>67.62</v>
      </c>
      <c r="C5" s="18">
        <v>67.849999999999994</v>
      </c>
      <c r="D5" s="18">
        <v>68</v>
      </c>
      <c r="E5" s="18">
        <v>68.08</v>
      </c>
      <c r="F5" s="18">
        <v>67.849999999999994</v>
      </c>
      <c r="G5" s="18">
        <v>68.510000000000005</v>
      </c>
      <c r="H5" s="18">
        <v>69.13</v>
      </c>
      <c r="I5" s="9">
        <f t="shared" ref="I5:I10" si="0">IFERROR(H5/B5-1,"")</f>
        <v>2.233067139899414E-2</v>
      </c>
    </row>
    <row r="6" spans="1:9" x14ac:dyDescent="0.2">
      <c r="A6" s="6" t="s">
        <v>172</v>
      </c>
      <c r="B6" s="18">
        <v>6.7</v>
      </c>
      <c r="C6" s="18">
        <v>6.56</v>
      </c>
      <c r="D6" s="18">
        <v>6.11</v>
      </c>
      <c r="E6" s="18">
        <v>6.01</v>
      </c>
      <c r="F6" s="18">
        <v>6.16</v>
      </c>
      <c r="G6" s="18">
        <v>6.45</v>
      </c>
      <c r="H6" s="18">
        <v>6.87</v>
      </c>
      <c r="I6" s="9">
        <f t="shared" si="0"/>
        <v>2.5373134328358304E-2</v>
      </c>
    </row>
    <row r="7" spans="1:9" x14ac:dyDescent="0.2">
      <c r="A7" s="6" t="s">
        <v>173</v>
      </c>
      <c r="B7" s="18">
        <v>1.47</v>
      </c>
      <c r="C7" s="18">
        <v>1.55</v>
      </c>
      <c r="D7" s="18">
        <v>1.46</v>
      </c>
      <c r="E7" s="18">
        <v>1.35</v>
      </c>
      <c r="F7" s="18">
        <v>1.32</v>
      </c>
      <c r="G7" s="18">
        <v>1.45</v>
      </c>
      <c r="H7" s="18">
        <v>1.62</v>
      </c>
      <c r="I7" s="9">
        <f t="shared" si="0"/>
        <v>0.10204081632653073</v>
      </c>
    </row>
    <row r="8" spans="1:9" x14ac:dyDescent="0.2">
      <c r="A8" s="6" t="s">
        <v>174</v>
      </c>
      <c r="B8" s="18">
        <v>2.89</v>
      </c>
      <c r="C8" s="18">
        <v>3.04</v>
      </c>
      <c r="D8" s="18">
        <v>3.14</v>
      </c>
      <c r="E8" s="18">
        <v>3.12</v>
      </c>
      <c r="F8" s="18">
        <v>3.27</v>
      </c>
      <c r="G8" s="18">
        <v>3.44</v>
      </c>
      <c r="H8" s="18">
        <v>3.38</v>
      </c>
      <c r="I8" s="9">
        <f t="shared" si="0"/>
        <v>0.16955017301038056</v>
      </c>
    </row>
    <row r="9" spans="1:9" x14ac:dyDescent="0.2">
      <c r="A9" s="6" t="s">
        <v>175</v>
      </c>
      <c r="B9" s="18">
        <v>0.75</v>
      </c>
      <c r="C9" s="18">
        <v>0.81</v>
      </c>
      <c r="D9" s="18">
        <v>0.87</v>
      </c>
      <c r="E9" s="18">
        <v>0.87</v>
      </c>
      <c r="F9" s="18">
        <v>0.9</v>
      </c>
      <c r="G9" s="18">
        <v>0.91</v>
      </c>
      <c r="H9" s="18">
        <v>0.9</v>
      </c>
      <c r="I9" s="9">
        <f t="shared" si="0"/>
        <v>0.19999999999999996</v>
      </c>
    </row>
    <row r="10" spans="1:9" x14ac:dyDescent="0.2">
      <c r="A10" s="6" t="s">
        <v>176</v>
      </c>
      <c r="B10" s="18">
        <v>0.64300000000000002</v>
      </c>
      <c r="C10" s="18">
        <v>0.65100000000000002</v>
      </c>
      <c r="D10" s="18">
        <v>0.67400000000000004</v>
      </c>
      <c r="E10" s="18">
        <v>0.68300000000000005</v>
      </c>
      <c r="F10" s="18">
        <v>0.68200000000000005</v>
      </c>
      <c r="G10" s="18">
        <v>0.68700000000000006</v>
      </c>
      <c r="H10" s="18">
        <v>0.69599999999999995</v>
      </c>
      <c r="I10" s="9">
        <f t="shared" si="0"/>
        <v>8.2426127527216009E-2</v>
      </c>
    </row>
    <row r="13" spans="1:9" x14ac:dyDescent="0.2">
      <c r="A13" s="19" t="s">
        <v>177</v>
      </c>
    </row>
    <row r="14" spans="1:9" ht="30" customHeight="1" x14ac:dyDescent="0.2">
      <c r="A14" s="5" t="s">
        <v>178</v>
      </c>
      <c r="B14" s="5" t="s">
        <v>179</v>
      </c>
    </row>
    <row r="15" spans="1:9" x14ac:dyDescent="0.2">
      <c r="A15" s="6" t="s">
        <v>180</v>
      </c>
      <c r="B15" s="20">
        <f>H6/H10</f>
        <v>9.8706896551724146</v>
      </c>
    </row>
    <row r="16" spans="1:9" x14ac:dyDescent="0.2">
      <c r="A16" s="6" t="s">
        <v>181</v>
      </c>
      <c r="B16" s="20">
        <f>H8/H10</f>
        <v>4.8563218390804597</v>
      </c>
    </row>
    <row r="17" spans="1:2" x14ac:dyDescent="0.2">
      <c r="A17" s="6" t="s">
        <v>182</v>
      </c>
      <c r="B17" s="17">
        <f>H10/H6</f>
        <v>0.10131004366812227</v>
      </c>
    </row>
    <row r="18" spans="1:2" x14ac:dyDescent="0.2">
      <c r="A18" s="6" t="s">
        <v>183</v>
      </c>
      <c r="B18" s="17">
        <f>H10/H8</f>
        <v>0.2059171597633136</v>
      </c>
    </row>
    <row r="19" spans="1:2" x14ac:dyDescent="0.2">
      <c r="A19" s="6" t="s">
        <v>184</v>
      </c>
      <c r="B19" s="20">
        <f>H6-H8</f>
        <v>3.49</v>
      </c>
    </row>
    <row r="20" spans="1:2" x14ac:dyDescent="0.2">
      <c r="A20" s="6" t="s">
        <v>185</v>
      </c>
      <c r="B20" s="20">
        <f>H8-H10</f>
        <v>2.6840000000000002</v>
      </c>
    </row>
    <row r="22" spans="1:2" x14ac:dyDescent="0.2">
      <c r="A22" s="2" t="s">
        <v>186</v>
      </c>
    </row>
    <row r="24" spans="1:2" x14ac:dyDescent="0.2">
      <c r="A24" s="19" t="s">
        <v>187</v>
      </c>
    </row>
    <row r="25" spans="1:2" x14ac:dyDescent="0.2">
      <c r="A25" s="2" t="s">
        <v>188</v>
      </c>
    </row>
    <row r="26" spans="1:2" ht="18" customHeight="1" x14ac:dyDescent="0.2">
      <c r="A26" s="5" t="s">
        <v>189</v>
      </c>
      <c r="B26" s="5" t="s">
        <v>190</v>
      </c>
    </row>
    <row r="27" spans="1:2" x14ac:dyDescent="0.2">
      <c r="A27" s="6" t="s">
        <v>171</v>
      </c>
      <c r="B27" s="18">
        <f>H5</f>
        <v>69.13</v>
      </c>
    </row>
    <row r="28" spans="1:2" x14ac:dyDescent="0.2">
      <c r="A28" s="6" t="s">
        <v>191</v>
      </c>
      <c r="B28" s="18">
        <f>H6</f>
        <v>6.87</v>
      </c>
    </row>
    <row r="29" spans="1:2" x14ac:dyDescent="0.2">
      <c r="A29" s="6" t="s">
        <v>192</v>
      </c>
      <c r="B29" s="18">
        <f>H8</f>
        <v>3.38</v>
      </c>
    </row>
    <row r="30" spans="1:2" x14ac:dyDescent="0.2">
      <c r="A30" s="6" t="s">
        <v>193</v>
      </c>
      <c r="B30" s="18">
        <f>H9</f>
        <v>0.9</v>
      </c>
    </row>
    <row r="31" spans="1:2" x14ac:dyDescent="0.2">
      <c r="A31" s="6" t="s">
        <v>194</v>
      </c>
      <c r="B31" s="18">
        <f>H10</f>
        <v>0.69599999999999995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195</v>
      </c>
    </row>
    <row r="2" spans="1:11" x14ac:dyDescent="0.2">
      <c r="A2" s="2" t="s">
        <v>196</v>
      </c>
    </row>
    <row r="4" spans="1:11" ht="30" customHeight="1" x14ac:dyDescent="0.2">
      <c r="A4" s="5" t="s">
        <v>197</v>
      </c>
      <c r="B4" s="5" t="s">
        <v>137</v>
      </c>
      <c r="C4" s="5" t="s">
        <v>198</v>
      </c>
      <c r="D4" s="5" t="s">
        <v>199</v>
      </c>
      <c r="E4" s="5" t="s">
        <v>200</v>
      </c>
      <c r="F4" s="5" t="s">
        <v>201</v>
      </c>
      <c r="G4" s="5" t="s">
        <v>202</v>
      </c>
      <c r="H4" s="5" t="s">
        <v>203</v>
      </c>
      <c r="I4" s="5" t="s">
        <v>204</v>
      </c>
      <c r="J4" s="5" t="s">
        <v>205</v>
      </c>
      <c r="K4" s="5" t="s">
        <v>206</v>
      </c>
    </row>
    <row r="5" spans="1:11" x14ac:dyDescent="0.2">
      <c r="A5" s="6" t="s">
        <v>207</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208</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209</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210</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211</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212</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213</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214</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215</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216</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217</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218</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1" t="s">
        <v>219</v>
      </c>
      <c r="B17" s="22">
        <v>83280000</v>
      </c>
      <c r="C17" s="22">
        <v>686708</v>
      </c>
      <c r="D17" s="22">
        <v>417194</v>
      </c>
      <c r="E17" s="22">
        <v>227267</v>
      </c>
      <c r="F17" s="22">
        <v>42247</v>
      </c>
      <c r="G17" s="22">
        <v>726</v>
      </c>
      <c r="H17" s="23">
        <f t="shared" si="0"/>
        <v>8.2457732949087408</v>
      </c>
      <c r="I17" s="24">
        <f t="shared" si="1"/>
        <v>0.35264663028484267</v>
      </c>
      <c r="J17" s="22">
        <f t="shared" si="2"/>
        <v>945.87878787878788</v>
      </c>
      <c r="K17" s="22">
        <f t="shared" si="3"/>
        <v>114710.74380165289</v>
      </c>
    </row>
    <row r="18" spans="1:11" x14ac:dyDescent="0.2">
      <c r="A18" s="6" t="s">
        <v>220</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221</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222</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223</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224</v>
      </c>
      <c r="B22" s="14">
        <v>833390649</v>
      </c>
      <c r="C22" s="14">
        <v>4716230</v>
      </c>
      <c r="D22" s="14">
        <v>3225691</v>
      </c>
      <c r="E22" s="14">
        <v>1069196</v>
      </c>
      <c r="F22" s="14">
        <v>421343</v>
      </c>
      <c r="G22" s="14">
        <v>7939</v>
      </c>
      <c r="H22" s="25">
        <f t="shared" si="0"/>
        <v>5.6590867748025335</v>
      </c>
      <c r="I22" s="17">
        <f t="shared" si="1"/>
        <v>0.24894624701418222</v>
      </c>
      <c r="J22" s="7"/>
      <c r="K22" s="7"/>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9"/>
  <sheetViews>
    <sheetView workbookViewId="0"/>
  </sheetViews>
  <sheetFormatPr baseColWidth="10" defaultColWidth="8.83203125" defaultRowHeight="15" x14ac:dyDescent="0.2"/>
  <cols>
    <col min="1" max="1" width="7" customWidth="1"/>
    <col min="2" max="2" width="36" customWidth="1"/>
    <col min="3" max="3" width="14" customWidth="1"/>
    <col min="4" max="4" width="15" customWidth="1"/>
    <col min="5" max="5" width="13" customWidth="1"/>
  </cols>
  <sheetData>
    <row r="1" spans="1:5" ht="19" x14ac:dyDescent="0.25">
      <c r="A1" s="1" t="s">
        <v>225</v>
      </c>
    </row>
    <row r="2" spans="1:5" x14ac:dyDescent="0.2">
      <c r="A2" s="2" t="s">
        <v>226</v>
      </c>
    </row>
    <row r="4" spans="1:5" ht="30" customHeight="1" x14ac:dyDescent="0.2">
      <c r="A4" s="5" t="s">
        <v>227</v>
      </c>
      <c r="B4" s="5" t="s">
        <v>228</v>
      </c>
      <c r="C4" s="5" t="s">
        <v>229</v>
      </c>
      <c r="D4" s="5" t="s">
        <v>103</v>
      </c>
      <c r="E4" s="5" t="s">
        <v>104</v>
      </c>
    </row>
    <row r="5" spans="1:5" x14ac:dyDescent="0.2">
      <c r="A5" s="6">
        <v>1</v>
      </c>
      <c r="B5" s="6" t="s">
        <v>230</v>
      </c>
      <c r="C5" s="7">
        <v>8005050</v>
      </c>
      <c r="D5" s="7">
        <v>297843</v>
      </c>
      <c r="E5" s="9">
        <v>3.9E-2</v>
      </c>
    </row>
    <row r="6" spans="1:5" x14ac:dyDescent="0.2">
      <c r="A6" s="6">
        <v>2</v>
      </c>
      <c r="B6" s="6" t="s">
        <v>231</v>
      </c>
      <c r="C6" s="7">
        <v>5246046</v>
      </c>
      <c r="D6" s="7">
        <v>182474</v>
      </c>
      <c r="E6" s="9">
        <v>3.5999999999999997E-2</v>
      </c>
    </row>
    <row r="7" spans="1:5" x14ac:dyDescent="0.2">
      <c r="A7" s="6">
        <v>3</v>
      </c>
      <c r="B7" s="6" t="s">
        <v>232</v>
      </c>
      <c r="C7" s="7">
        <v>1518566</v>
      </c>
      <c r="D7" s="7">
        <v>27180</v>
      </c>
      <c r="E7" s="9">
        <v>1.7999999999999999E-2</v>
      </c>
    </row>
    <row r="8" spans="1:5" x14ac:dyDescent="0.2">
      <c r="A8" s="6">
        <v>4</v>
      </c>
      <c r="B8" s="6" t="s">
        <v>233</v>
      </c>
      <c r="C8" s="7">
        <v>1517087</v>
      </c>
      <c r="D8" s="7">
        <v>44776</v>
      </c>
      <c r="E8" s="9">
        <v>0.03</v>
      </c>
    </row>
    <row r="9" spans="1:5" x14ac:dyDescent="0.2">
      <c r="A9" s="6">
        <v>5</v>
      </c>
      <c r="B9" s="6" t="s">
        <v>234</v>
      </c>
      <c r="C9" s="7">
        <v>1349758</v>
      </c>
      <c r="D9" s="7">
        <v>11918</v>
      </c>
      <c r="E9" s="9">
        <v>9.0000000000000011E-3</v>
      </c>
    </row>
    <row r="10" spans="1:5" x14ac:dyDescent="0.2">
      <c r="A10" s="6">
        <v>6</v>
      </c>
      <c r="B10" s="6" t="s">
        <v>235</v>
      </c>
      <c r="C10" s="7">
        <v>804129</v>
      </c>
      <c r="D10" s="7">
        <v>11364</v>
      </c>
      <c r="E10" s="9">
        <v>1.4E-2</v>
      </c>
    </row>
    <row r="11" spans="1:5" x14ac:dyDescent="0.2">
      <c r="A11" s="6">
        <v>7</v>
      </c>
      <c r="B11" s="6" t="s">
        <v>236</v>
      </c>
      <c r="C11" s="7">
        <v>793149</v>
      </c>
      <c r="D11" s="7">
        <v>27781</v>
      </c>
      <c r="E11" s="9">
        <v>3.5999999999999997E-2</v>
      </c>
    </row>
    <row r="12" spans="1:5" x14ac:dyDescent="0.2">
      <c r="A12" s="21">
        <v>8</v>
      </c>
      <c r="B12" s="21" t="s">
        <v>237</v>
      </c>
      <c r="C12" s="22">
        <v>686708</v>
      </c>
      <c r="D12" s="22">
        <v>4582</v>
      </c>
      <c r="E12" s="26">
        <v>6.9999999999999993E-3</v>
      </c>
    </row>
    <row r="13" spans="1:5" x14ac:dyDescent="0.2">
      <c r="A13" s="6">
        <v>9</v>
      </c>
      <c r="B13" s="6" t="s">
        <v>238</v>
      </c>
      <c r="C13" s="7">
        <v>657994</v>
      </c>
      <c r="D13" s="7">
        <v>-4932</v>
      </c>
      <c r="E13" s="9">
        <v>-6.9999999999999993E-3</v>
      </c>
    </row>
    <row r="14" spans="1:5" x14ac:dyDescent="0.2">
      <c r="A14" s="6">
        <v>10</v>
      </c>
      <c r="B14" s="6" t="s">
        <v>239</v>
      </c>
      <c r="C14" s="7">
        <v>626161</v>
      </c>
      <c r="D14" s="7">
        <v>19844</v>
      </c>
      <c r="E14" s="9">
        <v>3.3000000000000002E-2</v>
      </c>
    </row>
    <row r="15" spans="1:5" x14ac:dyDescent="0.2">
      <c r="A15" s="6">
        <v>11</v>
      </c>
      <c r="B15" s="6" t="s">
        <v>240</v>
      </c>
      <c r="C15" s="7">
        <v>602724</v>
      </c>
      <c r="D15" s="7">
        <v>14286</v>
      </c>
      <c r="E15" s="9">
        <v>2.4E-2</v>
      </c>
    </row>
    <row r="16" spans="1:5" x14ac:dyDescent="0.2">
      <c r="A16" s="6">
        <v>12</v>
      </c>
      <c r="B16" s="6" t="s">
        <v>241</v>
      </c>
      <c r="C16" s="7">
        <v>542063</v>
      </c>
      <c r="D16" s="7">
        <v>14763</v>
      </c>
      <c r="E16" s="9">
        <v>2.8000000000000001E-2</v>
      </c>
    </row>
    <row r="17" spans="1:5" x14ac:dyDescent="0.2">
      <c r="A17" s="6">
        <v>13</v>
      </c>
      <c r="B17" s="6" t="s">
        <v>242</v>
      </c>
      <c r="C17" s="7">
        <v>518380</v>
      </c>
      <c r="D17" s="7">
        <v>3069</v>
      </c>
      <c r="E17" s="9">
        <v>6.0000000000000001E-3</v>
      </c>
    </row>
    <row r="18" spans="1:5" x14ac:dyDescent="0.2">
      <c r="A18" s="6">
        <v>14</v>
      </c>
      <c r="B18" s="6" t="s">
        <v>243</v>
      </c>
      <c r="C18" s="7">
        <v>512126</v>
      </c>
      <c r="D18" s="7">
        <v>-12215</v>
      </c>
      <c r="E18" s="9">
        <v>-2.3E-2</v>
      </c>
    </row>
    <row r="19" spans="1:5" x14ac:dyDescent="0.2">
      <c r="A19" s="6">
        <v>15</v>
      </c>
      <c r="B19" s="6" t="s">
        <v>244</v>
      </c>
      <c r="C19" s="7">
        <v>464148</v>
      </c>
      <c r="D19" s="7">
        <v>27800</v>
      </c>
      <c r="E19" s="9">
        <v>6.4000000000000001E-2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9"/>
  <sheetViews>
    <sheetView workbookViewId="0"/>
  </sheetViews>
  <sheetFormatPr baseColWidth="10" defaultColWidth="8.83203125" defaultRowHeight="15" x14ac:dyDescent="0.2"/>
  <cols>
    <col min="1" max="1" width="9" customWidth="1"/>
    <col min="2" max="2" width="12" customWidth="1"/>
    <col min="3" max="3" width="13" customWidth="1"/>
    <col min="4" max="4" width="16" customWidth="1"/>
  </cols>
  <sheetData>
    <row r="1" spans="1:4" ht="19" x14ac:dyDescent="0.25">
      <c r="A1" s="1" t="s">
        <v>245</v>
      </c>
    </row>
    <row r="2" spans="1:4" x14ac:dyDescent="0.2">
      <c r="A2" s="2" t="s">
        <v>246</v>
      </c>
    </row>
    <row r="4" spans="1:4" ht="30" customHeight="1" x14ac:dyDescent="0.2">
      <c r="A4" s="5" t="s">
        <v>98</v>
      </c>
      <c r="B4" s="5" t="s">
        <v>105</v>
      </c>
      <c r="C4" s="5" t="s">
        <v>99</v>
      </c>
      <c r="D4" s="5" t="s">
        <v>247</v>
      </c>
    </row>
    <row r="5" spans="1:4" x14ac:dyDescent="0.2">
      <c r="A5">
        <v>1951</v>
      </c>
      <c r="B5" s="15">
        <v>39</v>
      </c>
      <c r="C5" s="15">
        <v>2700</v>
      </c>
      <c r="D5" s="15">
        <f t="shared" ref="D5:D36" si="0">C5/B5</f>
        <v>69.230769230769226</v>
      </c>
    </row>
    <row r="6" spans="1:4" x14ac:dyDescent="0.2">
      <c r="A6">
        <v>1952</v>
      </c>
      <c r="B6" s="15">
        <v>38</v>
      </c>
      <c r="C6" s="15">
        <v>3400</v>
      </c>
      <c r="D6" s="15">
        <f t="shared" si="0"/>
        <v>89.473684210526315</v>
      </c>
    </row>
    <row r="7" spans="1:4" x14ac:dyDescent="0.2">
      <c r="A7">
        <v>1953</v>
      </c>
      <c r="B7" s="15">
        <v>41</v>
      </c>
      <c r="C7" s="15">
        <v>4000</v>
      </c>
      <c r="D7" s="15">
        <f t="shared" si="0"/>
        <v>97.560975609756099</v>
      </c>
    </row>
    <row r="8" spans="1:4" x14ac:dyDescent="0.2">
      <c r="A8">
        <v>1954</v>
      </c>
      <c r="B8" s="15">
        <v>41</v>
      </c>
      <c r="C8" s="15">
        <v>4100</v>
      </c>
      <c r="D8" s="15">
        <f t="shared" si="0"/>
        <v>100</v>
      </c>
    </row>
    <row r="9" spans="1:4" x14ac:dyDescent="0.2">
      <c r="A9">
        <v>1955</v>
      </c>
      <c r="B9" s="15">
        <v>57</v>
      </c>
      <c r="C9" s="15">
        <v>5000</v>
      </c>
      <c r="D9" s="15">
        <f t="shared" si="0"/>
        <v>87.719298245614041</v>
      </c>
    </row>
    <row r="10" spans="1:4" x14ac:dyDescent="0.2">
      <c r="A10">
        <v>1956</v>
      </c>
      <c r="B10" s="15">
        <v>50</v>
      </c>
      <c r="C10" s="15">
        <v>5500</v>
      </c>
      <c r="D10" s="15">
        <f t="shared" si="0"/>
        <v>110</v>
      </c>
    </row>
    <row r="11" spans="1:4" x14ac:dyDescent="0.2">
      <c r="A11">
        <v>1957</v>
      </c>
      <c r="B11" s="15">
        <v>51</v>
      </c>
      <c r="C11" s="15">
        <v>6300</v>
      </c>
      <c r="D11" s="15">
        <f t="shared" si="0"/>
        <v>123.52941176470588</v>
      </c>
    </row>
    <row r="12" spans="1:4" x14ac:dyDescent="0.2">
      <c r="A12">
        <v>1958</v>
      </c>
      <c r="B12" s="15">
        <v>54</v>
      </c>
      <c r="C12" s="15">
        <v>7000</v>
      </c>
      <c r="D12" s="15">
        <f t="shared" si="0"/>
        <v>129.62962962962962</v>
      </c>
    </row>
    <row r="13" spans="1:4" x14ac:dyDescent="0.2">
      <c r="A13">
        <v>1959</v>
      </c>
      <c r="B13" s="15">
        <v>58</v>
      </c>
      <c r="C13" s="15">
        <v>7800</v>
      </c>
      <c r="D13" s="15">
        <f t="shared" si="0"/>
        <v>134.48275862068965</v>
      </c>
    </row>
    <row r="14" spans="1:4" x14ac:dyDescent="0.2">
      <c r="A14">
        <v>1960</v>
      </c>
      <c r="B14" s="15">
        <v>62</v>
      </c>
      <c r="C14" s="15">
        <v>9200</v>
      </c>
      <c r="D14" s="15">
        <f t="shared" si="0"/>
        <v>148.38709677419354</v>
      </c>
    </row>
    <row r="15" spans="1:4" x14ac:dyDescent="0.2">
      <c r="A15">
        <v>1961</v>
      </c>
      <c r="B15" s="15">
        <v>65</v>
      </c>
      <c r="C15" s="15">
        <v>10400</v>
      </c>
      <c r="D15" s="15">
        <f t="shared" si="0"/>
        <v>160</v>
      </c>
    </row>
    <row r="16" spans="1:4" x14ac:dyDescent="0.2">
      <c r="A16">
        <v>1962</v>
      </c>
      <c r="B16" s="15">
        <v>73</v>
      </c>
      <c r="C16" s="15">
        <v>11200</v>
      </c>
      <c r="D16" s="15">
        <f t="shared" si="0"/>
        <v>153.42465753424656</v>
      </c>
    </row>
    <row r="17" spans="1:4" x14ac:dyDescent="0.2">
      <c r="A17">
        <v>1963</v>
      </c>
      <c r="B17" s="15">
        <v>74</v>
      </c>
      <c r="C17" s="15">
        <v>12400</v>
      </c>
      <c r="D17" s="15">
        <f t="shared" si="0"/>
        <v>167.56756756756758</v>
      </c>
    </row>
    <row r="18" spans="1:4" x14ac:dyDescent="0.2">
      <c r="A18">
        <v>1964</v>
      </c>
      <c r="B18" s="15">
        <v>77</v>
      </c>
      <c r="C18" s="15">
        <v>13500</v>
      </c>
      <c r="D18" s="15">
        <f t="shared" si="0"/>
        <v>175.32467532467533</v>
      </c>
    </row>
    <row r="19" spans="1:4" x14ac:dyDescent="0.2">
      <c r="A19">
        <v>1965</v>
      </c>
      <c r="B19" s="15">
        <v>84</v>
      </c>
      <c r="C19" s="15">
        <v>16200</v>
      </c>
      <c r="D19" s="15">
        <f t="shared" si="0"/>
        <v>192.85714285714286</v>
      </c>
    </row>
    <row r="20" spans="1:4" x14ac:dyDescent="0.2">
      <c r="A20">
        <v>1966</v>
      </c>
      <c r="B20" s="15">
        <v>88</v>
      </c>
      <c r="C20" s="15">
        <v>17300</v>
      </c>
      <c r="D20" s="15">
        <f t="shared" si="0"/>
        <v>196.59090909090909</v>
      </c>
    </row>
    <row r="21" spans="1:4" x14ac:dyDescent="0.2">
      <c r="A21">
        <v>1967</v>
      </c>
      <c r="B21" s="15">
        <v>88</v>
      </c>
      <c r="C21" s="15">
        <v>18400</v>
      </c>
      <c r="D21" s="15">
        <f t="shared" si="0"/>
        <v>209.09090909090909</v>
      </c>
    </row>
    <row r="22" spans="1:4" x14ac:dyDescent="0.2">
      <c r="A22">
        <v>1968</v>
      </c>
      <c r="B22" s="15">
        <v>89</v>
      </c>
      <c r="C22" s="15">
        <v>19200</v>
      </c>
      <c r="D22" s="15">
        <f t="shared" si="0"/>
        <v>215.73033707865167</v>
      </c>
    </row>
    <row r="23" spans="1:4" x14ac:dyDescent="0.2">
      <c r="A23">
        <v>1969</v>
      </c>
      <c r="B23" s="15">
        <v>97</v>
      </c>
      <c r="C23" s="15">
        <v>19400</v>
      </c>
      <c r="D23" s="15">
        <f t="shared" si="0"/>
        <v>200</v>
      </c>
    </row>
    <row r="24" spans="1:4" x14ac:dyDescent="0.2">
      <c r="A24">
        <v>1970</v>
      </c>
      <c r="B24" s="15">
        <v>100</v>
      </c>
      <c r="C24" s="15">
        <v>21000</v>
      </c>
      <c r="D24" s="15">
        <f t="shared" si="0"/>
        <v>210</v>
      </c>
    </row>
    <row r="25" spans="1:4" x14ac:dyDescent="0.2">
      <c r="A25">
        <v>1971</v>
      </c>
      <c r="B25" s="15">
        <v>107</v>
      </c>
      <c r="C25" s="15">
        <v>23300</v>
      </c>
      <c r="D25" s="15">
        <f t="shared" si="0"/>
        <v>217.75700934579439</v>
      </c>
    </row>
    <row r="26" spans="1:4" x14ac:dyDescent="0.2">
      <c r="A26">
        <v>1972</v>
      </c>
      <c r="B26" s="15">
        <v>111</v>
      </c>
      <c r="C26" s="15">
        <v>24700</v>
      </c>
      <c r="D26" s="15">
        <f t="shared" si="0"/>
        <v>222.52252252252254</v>
      </c>
    </row>
    <row r="27" spans="1:4" x14ac:dyDescent="0.2">
      <c r="A27">
        <v>1973</v>
      </c>
      <c r="B27" s="15">
        <v>123</v>
      </c>
      <c r="C27" s="15">
        <v>27100</v>
      </c>
      <c r="D27" s="15">
        <f t="shared" si="0"/>
        <v>220.32520325203251</v>
      </c>
    </row>
    <row r="28" spans="1:4" x14ac:dyDescent="0.2">
      <c r="A28">
        <v>1974</v>
      </c>
      <c r="B28" s="15">
        <v>130</v>
      </c>
      <c r="C28" s="15">
        <v>29300</v>
      </c>
      <c r="D28" s="15">
        <f t="shared" si="0"/>
        <v>225.38461538461539</v>
      </c>
    </row>
    <row r="29" spans="1:4" x14ac:dyDescent="0.2">
      <c r="A29">
        <v>1975</v>
      </c>
      <c r="B29" s="15">
        <v>137</v>
      </c>
      <c r="C29" s="15">
        <v>32500</v>
      </c>
      <c r="D29" s="15">
        <f t="shared" si="0"/>
        <v>237.22627737226279</v>
      </c>
    </row>
    <row r="30" spans="1:4" x14ac:dyDescent="0.2">
      <c r="A30">
        <v>1976</v>
      </c>
      <c r="B30" s="15">
        <v>142</v>
      </c>
      <c r="C30" s="15">
        <v>36382</v>
      </c>
      <c r="D30" s="15">
        <f t="shared" si="0"/>
        <v>256.21126760563379</v>
      </c>
    </row>
    <row r="31" spans="1:4" x14ac:dyDescent="0.2">
      <c r="A31">
        <v>1977</v>
      </c>
      <c r="B31" s="15">
        <v>148</v>
      </c>
      <c r="C31" s="15">
        <v>39172</v>
      </c>
      <c r="D31" s="15">
        <f t="shared" si="0"/>
        <v>264.67567567567568</v>
      </c>
    </row>
    <row r="32" spans="1:4" x14ac:dyDescent="0.2">
      <c r="A32">
        <v>1978</v>
      </c>
      <c r="B32" s="15">
        <v>153</v>
      </c>
      <c r="C32" s="15">
        <v>42301</v>
      </c>
      <c r="D32" s="15">
        <f t="shared" si="0"/>
        <v>276.47712418300654</v>
      </c>
    </row>
    <row r="33" spans="1:4" x14ac:dyDescent="0.2">
      <c r="A33">
        <v>1979</v>
      </c>
      <c r="B33" s="15">
        <v>155</v>
      </c>
      <c r="C33" s="15">
        <v>46161</v>
      </c>
      <c r="D33" s="15">
        <f t="shared" si="0"/>
        <v>297.81290322580645</v>
      </c>
    </row>
    <row r="34" spans="1:4" x14ac:dyDescent="0.2">
      <c r="A34">
        <v>1980</v>
      </c>
      <c r="B34" s="15">
        <v>160</v>
      </c>
      <c r="C34" s="15">
        <v>49211</v>
      </c>
      <c r="D34" s="15">
        <f t="shared" si="0"/>
        <v>307.56875000000002</v>
      </c>
    </row>
    <row r="35" spans="1:4" x14ac:dyDescent="0.2">
      <c r="A35">
        <v>1981</v>
      </c>
      <c r="B35" s="15">
        <v>167</v>
      </c>
      <c r="C35" s="15">
        <v>52222</v>
      </c>
      <c r="D35" s="15">
        <f t="shared" si="0"/>
        <v>312.70658682634729</v>
      </c>
    </row>
    <row r="36" spans="1:4" x14ac:dyDescent="0.2">
      <c r="A36">
        <v>1982</v>
      </c>
      <c r="B36" s="15">
        <v>180</v>
      </c>
      <c r="C36" s="15">
        <v>56889</v>
      </c>
      <c r="D36" s="15">
        <f t="shared" si="0"/>
        <v>316.05</v>
      </c>
    </row>
    <row r="37" spans="1:4" x14ac:dyDescent="0.2">
      <c r="A37">
        <v>1983</v>
      </c>
      <c r="B37" s="15">
        <v>197</v>
      </c>
      <c r="C37" s="15">
        <v>62917</v>
      </c>
      <c r="D37" s="15">
        <f t="shared" ref="D37:D68" si="1">C37/B37</f>
        <v>319.37563451776651</v>
      </c>
    </row>
    <row r="38" spans="1:4" x14ac:dyDescent="0.2">
      <c r="A38">
        <v>1984</v>
      </c>
      <c r="B38" s="15">
        <v>206</v>
      </c>
      <c r="C38" s="15">
        <v>67332</v>
      </c>
      <c r="D38" s="15">
        <f t="shared" si="1"/>
        <v>326.85436893203882</v>
      </c>
    </row>
    <row r="39" spans="1:4" x14ac:dyDescent="0.2">
      <c r="A39">
        <v>1985</v>
      </c>
      <c r="B39" s="15">
        <v>214</v>
      </c>
      <c r="C39" s="15">
        <v>71862</v>
      </c>
      <c r="D39" s="15">
        <f t="shared" si="1"/>
        <v>335.803738317757</v>
      </c>
    </row>
    <row r="40" spans="1:4" x14ac:dyDescent="0.2">
      <c r="A40">
        <v>1986</v>
      </c>
      <c r="B40" s="15">
        <v>229</v>
      </c>
      <c r="C40" s="15">
        <v>84824</v>
      </c>
      <c r="D40" s="15">
        <f t="shared" si="1"/>
        <v>370.41048034934499</v>
      </c>
    </row>
    <row r="41" spans="1:4" x14ac:dyDescent="0.2">
      <c r="A41">
        <v>1987</v>
      </c>
      <c r="B41" s="15">
        <v>238</v>
      </c>
      <c r="C41" s="15">
        <v>95863</v>
      </c>
      <c r="D41" s="15">
        <f t="shared" si="1"/>
        <v>402.78571428571428</v>
      </c>
    </row>
    <row r="42" spans="1:4" x14ac:dyDescent="0.2">
      <c r="A42">
        <v>1988</v>
      </c>
      <c r="B42" s="15">
        <v>260</v>
      </c>
      <c r="C42" s="15">
        <v>109207</v>
      </c>
      <c r="D42" s="15">
        <f t="shared" si="1"/>
        <v>420.02692307692308</v>
      </c>
    </row>
    <row r="43" spans="1:4" x14ac:dyDescent="0.2">
      <c r="A43">
        <v>1989</v>
      </c>
      <c r="B43" s="15">
        <v>293</v>
      </c>
      <c r="C43" s="15">
        <v>124209</v>
      </c>
      <c r="D43" s="15">
        <f t="shared" si="1"/>
        <v>423.92150170648466</v>
      </c>
    </row>
    <row r="44" spans="1:4" x14ac:dyDescent="0.2">
      <c r="A44">
        <v>1990</v>
      </c>
      <c r="B44" s="15">
        <v>313</v>
      </c>
      <c r="C44" s="15">
        <v>141885</v>
      </c>
      <c r="D44" s="15">
        <f t="shared" si="1"/>
        <v>453.3067092651757</v>
      </c>
    </row>
    <row r="45" spans="1:4" x14ac:dyDescent="0.2">
      <c r="A45">
        <v>1991</v>
      </c>
      <c r="B45" s="15">
        <v>336</v>
      </c>
      <c r="C45" s="15">
        <v>163130</v>
      </c>
      <c r="D45" s="15">
        <f t="shared" si="1"/>
        <v>485.50595238095241</v>
      </c>
    </row>
    <row r="46" spans="1:4" x14ac:dyDescent="0.2">
      <c r="A46">
        <v>1992</v>
      </c>
      <c r="B46" s="15">
        <v>380</v>
      </c>
      <c r="C46" s="15">
        <v>184713</v>
      </c>
      <c r="D46" s="15">
        <f t="shared" si="1"/>
        <v>486.08684210526314</v>
      </c>
    </row>
    <row r="47" spans="1:4" x14ac:dyDescent="0.2">
      <c r="A47">
        <v>1993</v>
      </c>
      <c r="B47" s="15">
        <v>407</v>
      </c>
      <c r="C47" s="15">
        <v>206546</v>
      </c>
      <c r="D47" s="15">
        <f t="shared" si="1"/>
        <v>507.48402948402946</v>
      </c>
    </row>
    <row r="48" spans="1:4" x14ac:dyDescent="0.2">
      <c r="A48">
        <v>1994</v>
      </c>
      <c r="B48" s="15">
        <v>437</v>
      </c>
      <c r="C48" s="15">
        <v>225001</v>
      </c>
      <c r="D48" s="15">
        <f t="shared" si="1"/>
        <v>514.87643020594965</v>
      </c>
    </row>
    <row r="49" spans="1:4" x14ac:dyDescent="0.2">
      <c r="A49">
        <v>1995</v>
      </c>
      <c r="B49" s="15">
        <v>472</v>
      </c>
      <c r="C49" s="15">
        <v>252559</v>
      </c>
      <c r="D49" s="15">
        <f t="shared" si="1"/>
        <v>535.08262711864404</v>
      </c>
    </row>
    <row r="50" spans="1:4" x14ac:dyDescent="0.2">
      <c r="A50">
        <v>1996</v>
      </c>
      <c r="B50" s="15">
        <v>504</v>
      </c>
      <c r="C50" s="15">
        <v>272830</v>
      </c>
      <c r="D50" s="15">
        <f t="shared" si="1"/>
        <v>541.32936507936506</v>
      </c>
    </row>
    <row r="51" spans="1:4" x14ac:dyDescent="0.2">
      <c r="A51">
        <v>1997</v>
      </c>
      <c r="B51" s="15">
        <v>546</v>
      </c>
      <c r="C51" s="15">
        <v>296370</v>
      </c>
      <c r="D51" s="15">
        <f t="shared" si="1"/>
        <v>542.80219780219784</v>
      </c>
    </row>
    <row r="52" spans="1:4" x14ac:dyDescent="0.2">
      <c r="A52">
        <v>1998</v>
      </c>
      <c r="B52" s="15">
        <v>575</v>
      </c>
      <c r="C52" s="15">
        <v>318284</v>
      </c>
      <c r="D52" s="15">
        <f t="shared" si="1"/>
        <v>553.53739130434781</v>
      </c>
    </row>
    <row r="53" spans="1:4" x14ac:dyDescent="0.2">
      <c r="A53">
        <v>1999</v>
      </c>
      <c r="B53" s="15">
        <v>601</v>
      </c>
      <c r="C53" s="15">
        <v>345206</v>
      </c>
      <c r="D53" s="15">
        <f t="shared" si="1"/>
        <v>574.38602329450919</v>
      </c>
    </row>
    <row r="54" spans="1:4" x14ac:dyDescent="0.2">
      <c r="A54">
        <v>2000</v>
      </c>
      <c r="B54" s="15">
        <v>621</v>
      </c>
      <c r="C54" s="15">
        <v>370490</v>
      </c>
      <c r="D54" s="15">
        <f t="shared" si="1"/>
        <v>596.60225442834144</v>
      </c>
    </row>
    <row r="55" spans="1:4" x14ac:dyDescent="0.2">
      <c r="A55">
        <v>2001</v>
      </c>
      <c r="B55" s="15">
        <v>642</v>
      </c>
      <c r="C55" s="15">
        <v>399016</v>
      </c>
      <c r="D55" s="15">
        <f t="shared" si="1"/>
        <v>621.5202492211838</v>
      </c>
    </row>
    <row r="56" spans="1:4" x14ac:dyDescent="0.2">
      <c r="A56">
        <v>2002</v>
      </c>
      <c r="B56" s="15">
        <v>653</v>
      </c>
      <c r="C56" s="15">
        <v>428076</v>
      </c>
      <c r="D56" s="15">
        <f t="shared" si="1"/>
        <v>655.55283307810112</v>
      </c>
    </row>
    <row r="57" spans="1:4" x14ac:dyDescent="0.2">
      <c r="A57">
        <v>2003</v>
      </c>
      <c r="B57" s="15">
        <v>670</v>
      </c>
      <c r="C57" s="15">
        <v>457237</v>
      </c>
      <c r="D57" s="15">
        <f t="shared" si="1"/>
        <v>682.44328358208952</v>
      </c>
    </row>
    <row r="58" spans="1:4" x14ac:dyDescent="0.2">
      <c r="A58">
        <v>2004</v>
      </c>
      <c r="B58" s="15">
        <v>692</v>
      </c>
      <c r="C58" s="15">
        <v>483172</v>
      </c>
      <c r="D58" s="15">
        <f t="shared" si="1"/>
        <v>698.22543352601156</v>
      </c>
    </row>
    <row r="59" spans="1:4" x14ac:dyDescent="0.2">
      <c r="A59">
        <v>2005</v>
      </c>
      <c r="B59" s="15">
        <v>712</v>
      </c>
      <c r="C59" s="15">
        <v>506746</v>
      </c>
      <c r="D59" s="15">
        <f t="shared" si="1"/>
        <v>711.72191011235952</v>
      </c>
    </row>
    <row r="60" spans="1:4" x14ac:dyDescent="0.2">
      <c r="A60">
        <v>2006</v>
      </c>
      <c r="B60" s="15">
        <v>736</v>
      </c>
      <c r="C60" s="15">
        <v>527427</v>
      </c>
      <c r="D60" s="15">
        <f t="shared" si="1"/>
        <v>716.61277173913038</v>
      </c>
    </row>
    <row r="61" spans="1:4" x14ac:dyDescent="0.2">
      <c r="A61">
        <v>2007</v>
      </c>
      <c r="B61" s="15">
        <v>748</v>
      </c>
      <c r="C61" s="15">
        <v>552388</v>
      </c>
      <c r="D61" s="15">
        <f t="shared" si="1"/>
        <v>738.48663101604279</v>
      </c>
    </row>
    <row r="62" spans="1:4" x14ac:dyDescent="0.2">
      <c r="A62">
        <v>2008</v>
      </c>
      <c r="B62" s="15">
        <v>769</v>
      </c>
      <c r="C62" s="15">
        <v>575176</v>
      </c>
      <c r="D62" s="15">
        <f t="shared" si="1"/>
        <v>747.95318595578669</v>
      </c>
    </row>
    <row r="63" spans="1:4" x14ac:dyDescent="0.2">
      <c r="A63">
        <v>2009</v>
      </c>
      <c r="B63" s="15">
        <v>782</v>
      </c>
      <c r="C63" s="15">
        <v>599328</v>
      </c>
      <c r="D63" s="15">
        <f t="shared" si="1"/>
        <v>766.40409207161122</v>
      </c>
    </row>
    <row r="64" spans="1:4" x14ac:dyDescent="0.2">
      <c r="A64">
        <v>2010</v>
      </c>
      <c r="B64" s="15">
        <v>788</v>
      </c>
      <c r="C64" s="15">
        <v>610104</v>
      </c>
      <c r="D64" s="15">
        <f t="shared" si="1"/>
        <v>774.24365482233497</v>
      </c>
    </row>
    <row r="65" spans="1:4" x14ac:dyDescent="0.2">
      <c r="A65">
        <v>2011</v>
      </c>
      <c r="B65" s="15">
        <v>801</v>
      </c>
      <c r="C65" s="15">
        <v>624569</v>
      </c>
      <c r="D65" s="15">
        <f t="shared" si="1"/>
        <v>779.73657927590511</v>
      </c>
    </row>
    <row r="66" spans="1:4" x14ac:dyDescent="0.2">
      <c r="A66">
        <v>2012</v>
      </c>
      <c r="B66" s="15">
        <v>811</v>
      </c>
      <c r="C66" s="15">
        <v>635097</v>
      </c>
      <c r="D66" s="15">
        <f t="shared" si="1"/>
        <v>783.10357583230575</v>
      </c>
    </row>
    <row r="67" spans="1:4" x14ac:dyDescent="0.2">
      <c r="A67">
        <v>2013</v>
      </c>
      <c r="B67" s="15">
        <v>824</v>
      </c>
      <c r="C67" s="15">
        <v>637735</v>
      </c>
      <c r="D67" s="15">
        <f t="shared" si="1"/>
        <v>773.95024271844659</v>
      </c>
    </row>
    <row r="68" spans="1:4" x14ac:dyDescent="0.2">
      <c r="A68">
        <v>2014</v>
      </c>
      <c r="B68" s="15">
        <v>831</v>
      </c>
      <c r="C68" s="15">
        <v>639137</v>
      </c>
      <c r="D68" s="15">
        <f t="shared" si="1"/>
        <v>769.11793020457276</v>
      </c>
    </row>
    <row r="69" spans="1:4" x14ac:dyDescent="0.2">
      <c r="A69">
        <v>2015</v>
      </c>
      <c r="B69" s="15">
        <v>834</v>
      </c>
      <c r="C69" s="15">
        <v>640181</v>
      </c>
      <c r="D69" s="15">
        <f t="shared" ref="D69:D79" si="2">C69/B69</f>
        <v>767.60311750599521</v>
      </c>
    </row>
    <row r="70" spans="1:4" x14ac:dyDescent="0.2">
      <c r="A70">
        <v>2016</v>
      </c>
      <c r="B70" s="15">
        <v>847</v>
      </c>
      <c r="C70" s="15">
        <v>643158</v>
      </c>
      <c r="D70" s="15">
        <f t="shared" si="2"/>
        <v>759.33648170011804</v>
      </c>
    </row>
    <row r="71" spans="1:4" x14ac:dyDescent="0.2">
      <c r="A71">
        <v>2017</v>
      </c>
      <c r="B71" s="15">
        <v>843</v>
      </c>
      <c r="C71" s="15">
        <v>644943</v>
      </c>
      <c r="D71" s="15">
        <f t="shared" si="2"/>
        <v>765.05693950177931</v>
      </c>
    </row>
    <row r="72" spans="1:4" x14ac:dyDescent="0.2">
      <c r="A72">
        <v>2018</v>
      </c>
      <c r="B72" s="15">
        <v>840</v>
      </c>
      <c r="C72" s="15">
        <v>642240</v>
      </c>
      <c r="D72" s="15">
        <f t="shared" si="2"/>
        <v>764.57142857142856</v>
      </c>
    </row>
    <row r="73" spans="1:4" x14ac:dyDescent="0.2">
      <c r="A73">
        <v>2019</v>
      </c>
      <c r="B73" s="15">
        <v>832</v>
      </c>
      <c r="C73" s="15">
        <v>642677</v>
      </c>
      <c r="D73" s="15">
        <f t="shared" si="2"/>
        <v>772.44831730769226</v>
      </c>
    </row>
    <row r="74" spans="1:4" x14ac:dyDescent="0.2">
      <c r="A74">
        <v>2020</v>
      </c>
      <c r="B74" s="15">
        <v>825</v>
      </c>
      <c r="C74" s="15">
        <v>651417</v>
      </c>
      <c r="D74" s="15">
        <f t="shared" si="2"/>
        <v>789.59636363636366</v>
      </c>
    </row>
    <row r="75" spans="1:4" x14ac:dyDescent="0.2">
      <c r="A75">
        <v>2021</v>
      </c>
      <c r="B75" s="15">
        <v>825</v>
      </c>
      <c r="C75" s="15">
        <v>673983</v>
      </c>
      <c r="D75" s="15">
        <f t="shared" si="2"/>
        <v>816.94909090909096</v>
      </c>
    </row>
    <row r="76" spans="1:4" x14ac:dyDescent="0.2">
      <c r="A76">
        <v>2022</v>
      </c>
      <c r="B76" s="15">
        <v>827</v>
      </c>
      <c r="C76" s="15">
        <v>682942</v>
      </c>
      <c r="D76" s="15">
        <f t="shared" si="2"/>
        <v>825.80652962515114</v>
      </c>
    </row>
    <row r="77" spans="1:4" x14ac:dyDescent="0.2">
      <c r="A77">
        <v>2023</v>
      </c>
      <c r="B77" s="15">
        <v>821</v>
      </c>
      <c r="C77" s="15">
        <v>682126</v>
      </c>
      <c r="D77" s="15">
        <f t="shared" si="2"/>
        <v>830.8477466504263</v>
      </c>
    </row>
    <row r="78" spans="1:4" x14ac:dyDescent="0.2">
      <c r="A78">
        <v>2024</v>
      </c>
      <c r="B78" s="15">
        <v>821</v>
      </c>
      <c r="C78" s="15">
        <v>686708</v>
      </c>
      <c r="D78" s="15">
        <f t="shared" si="2"/>
        <v>836.42874543239952</v>
      </c>
    </row>
    <row r="79" spans="1:4" x14ac:dyDescent="0.2">
      <c r="A79">
        <v>2025</v>
      </c>
      <c r="B79" s="15">
        <v>812</v>
      </c>
      <c r="C79" s="15">
        <v>695617</v>
      </c>
      <c r="D79" s="15">
        <f t="shared" si="2"/>
        <v>856.67118226600985</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5"/>
  <sheetViews>
    <sheetView topLeftCell="A11" workbookViewId="0">
      <selection activeCell="B32" sqref="B32"/>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248</v>
      </c>
    </row>
    <row r="2" spans="1:7" x14ac:dyDescent="0.2">
      <c r="A2" s="2" t="s">
        <v>249</v>
      </c>
    </row>
    <row r="4" spans="1:7" x14ac:dyDescent="0.2">
      <c r="A4" s="19" t="s">
        <v>250</v>
      </c>
    </row>
    <row r="5" spans="1:7" ht="30" customHeight="1" x14ac:dyDescent="0.2">
      <c r="A5" s="5" t="s">
        <v>111</v>
      </c>
      <c r="B5" s="5" t="s">
        <v>251</v>
      </c>
      <c r="C5" s="5" t="s">
        <v>169</v>
      </c>
      <c r="D5" s="5" t="s">
        <v>103</v>
      </c>
      <c r="E5" s="5" t="s">
        <v>104</v>
      </c>
      <c r="F5" s="5" t="s">
        <v>252</v>
      </c>
      <c r="G5" s="5" t="s">
        <v>253</v>
      </c>
    </row>
    <row r="6" spans="1:7" x14ac:dyDescent="0.2">
      <c r="A6" s="6" t="s">
        <v>113</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114</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115</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116</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117</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118</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119</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120</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121</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122</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123</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9" t="s">
        <v>254</v>
      </c>
    </row>
    <row r="20" spans="1:8" ht="30" customHeight="1" x14ac:dyDescent="0.2">
      <c r="A20" s="5" t="s">
        <v>130</v>
      </c>
      <c r="B20" s="5" t="s">
        <v>131</v>
      </c>
      <c r="C20" s="5" t="s">
        <v>137</v>
      </c>
      <c r="D20" s="5" t="s">
        <v>138</v>
      </c>
      <c r="E20" s="5" t="s">
        <v>255</v>
      </c>
      <c r="F20" s="5" t="s">
        <v>102</v>
      </c>
      <c r="G20" s="5" t="s">
        <v>256</v>
      </c>
      <c r="H20" s="5" t="s">
        <v>257</v>
      </c>
    </row>
    <row r="21" spans="1:8" x14ac:dyDescent="0.2">
      <c r="A21" s="6" t="str">
        <f>'04_States'!A16</f>
        <v>Schleswig-Holstein</v>
      </c>
      <c r="B21" s="7">
        <f>'04_States'!B16</f>
        <v>54471</v>
      </c>
      <c r="C21" s="7">
        <f>'04_States'!K16</f>
        <v>2959517</v>
      </c>
      <c r="D21" s="10">
        <f t="shared" ref="D21:D32" si="4">B21/C21*1000</f>
        <v>18.405368173252594</v>
      </c>
      <c r="E21" s="9">
        <f>'04_States'!E16</f>
        <v>0.12881566677028286</v>
      </c>
      <c r="F21" s="8">
        <f>'04_States'!H16</f>
        <v>0.35481265260413797</v>
      </c>
      <c r="G21" s="6">
        <f t="shared" ref="G21:G32" si="5">RANK(D21,$D$21:$D$32)</f>
        <v>1</v>
      </c>
      <c r="H21" s="27">
        <f>D21-'01_Timeseries'!$B$14/83577140*1000</f>
        <v>10.082314764150535</v>
      </c>
    </row>
    <row r="22" spans="1:8" x14ac:dyDescent="0.2">
      <c r="A22" s="6" t="str">
        <f>'04_States'!A10</f>
        <v>Mecklenburg-Vorpommern</v>
      </c>
      <c r="B22" s="7">
        <f>'04_States'!B10</f>
        <v>18752</v>
      </c>
      <c r="C22" s="7">
        <f>'04_States'!K10</f>
        <v>1573597</v>
      </c>
      <c r="D22" s="10">
        <f t="shared" si="4"/>
        <v>11.916647019535498</v>
      </c>
      <c r="E22" s="9">
        <f>'04_States'!E10</f>
        <v>9.3283582089552244E-2</v>
      </c>
      <c r="F22" s="8">
        <f>'04_States'!H10</f>
        <v>0.34668302047781568</v>
      </c>
      <c r="G22" s="6">
        <f t="shared" si="5"/>
        <v>2</v>
      </c>
      <c r="H22" s="27">
        <f>D22-'01_Timeseries'!$B$14/83577140*1000</f>
        <v>3.5935936104334392</v>
      </c>
    </row>
    <row r="23" spans="1:8" x14ac:dyDescent="0.2">
      <c r="A23" s="6" t="str">
        <f>'04_States'!A8</f>
        <v>Hamburg</v>
      </c>
      <c r="B23" s="7">
        <f>'04_States'!B8</f>
        <v>22099</v>
      </c>
      <c r="C23" s="7">
        <f>'04_States'!K8</f>
        <v>1862565</v>
      </c>
      <c r="D23" s="10">
        <f t="shared" si="4"/>
        <v>11.864820825045031</v>
      </c>
      <c r="E23" s="9">
        <f>'04_States'!E8</f>
        <v>2.2391857506361322E-2</v>
      </c>
      <c r="F23" s="8">
        <f>'04_States'!H8</f>
        <v>0.36938323001040774</v>
      </c>
      <c r="G23" s="6">
        <f t="shared" si="5"/>
        <v>3</v>
      </c>
      <c r="H23" s="27">
        <f>D23-'01_Timeseries'!$B$14/83577140*1000</f>
        <v>3.5417674159429726</v>
      </c>
    </row>
    <row r="24" spans="1:8" x14ac:dyDescent="0.2">
      <c r="A24" s="6" t="str">
        <f>'04_States'!A6</f>
        <v>Bavaria</v>
      </c>
      <c r="B24" s="7">
        <f>'04_States'!B6</f>
        <v>144501</v>
      </c>
      <c r="C24" s="7">
        <f>'04_States'!K6</f>
        <v>13248928</v>
      </c>
      <c r="D24" s="10">
        <f t="shared" si="4"/>
        <v>10.906618256209105</v>
      </c>
      <c r="E24" s="9">
        <f>'04_States'!E6</f>
        <v>4.0796041401067441E-2</v>
      </c>
      <c r="F24" s="8">
        <f>'04_States'!H6</f>
        <v>0.35996290683109461</v>
      </c>
      <c r="G24" s="6">
        <f t="shared" si="5"/>
        <v>4</v>
      </c>
      <c r="H24" s="27">
        <f>D24-'01_Timeseries'!$B$14/83577140*1000</f>
        <v>2.5835648471070467</v>
      </c>
    </row>
    <row r="25" spans="1:8" x14ac:dyDescent="0.2">
      <c r="A25" s="6" t="str">
        <f>'04_States'!A11</f>
        <v>Lower Saxony</v>
      </c>
      <c r="B25" s="7">
        <f>'04_States'!B11</f>
        <v>78772</v>
      </c>
      <c r="C25" s="7">
        <f>'04_States'!K11</f>
        <v>8709370</v>
      </c>
      <c r="D25" s="10">
        <f t="shared" si="4"/>
        <v>9.044511830362012</v>
      </c>
      <c r="E25" s="9">
        <f>'04_States'!E11</f>
        <v>8.8266581932221658E-2</v>
      </c>
      <c r="F25" s="8">
        <f>'04_States'!H11</f>
        <v>0.33753110242218048</v>
      </c>
      <c r="G25" s="6">
        <f t="shared" si="5"/>
        <v>5</v>
      </c>
      <c r="H25" s="27">
        <f>D25-'01_Timeseries'!$B$14/83577140*1000</f>
        <v>0.7214584212599533</v>
      </c>
    </row>
    <row r="26" spans="1:8" x14ac:dyDescent="0.2">
      <c r="A26" s="6" t="str">
        <f>'04_States'!A12</f>
        <v>North Rhine-Westphalia</v>
      </c>
      <c r="B26" s="7">
        <f>'04_States'!B12</f>
        <v>144750</v>
      </c>
      <c r="C26" s="7">
        <f>'04_States'!K12</f>
        <v>18034454</v>
      </c>
      <c r="D26" s="10">
        <f t="shared" si="4"/>
        <v>8.0263034300899836</v>
      </c>
      <c r="E26" s="9">
        <f>'04_States'!E12</f>
        <v>7.5113081842287044E-2</v>
      </c>
      <c r="F26" s="8">
        <f>'04_States'!H12</f>
        <v>0.34482210708117444</v>
      </c>
      <c r="G26" s="6">
        <f t="shared" si="5"/>
        <v>6</v>
      </c>
      <c r="H26" s="27">
        <f>D26-'01_Timeseries'!$B$14/83577140*1000</f>
        <v>-0.29674997901207512</v>
      </c>
    </row>
    <row r="27" spans="1:8" x14ac:dyDescent="0.2">
      <c r="A27" s="6" t="str">
        <f>'04_States'!A9</f>
        <v>Hesse</v>
      </c>
      <c r="B27" s="7">
        <f>'04_States'!B9</f>
        <v>49741</v>
      </c>
      <c r="C27" s="7">
        <f>'04_States'!K9</f>
        <v>6280793</v>
      </c>
      <c r="D27" s="10">
        <f t="shared" si="4"/>
        <v>7.9195413700149011</v>
      </c>
      <c r="E27" s="9">
        <f>'04_States'!E9</f>
        <v>3.0175627537072321E-2</v>
      </c>
      <c r="F27" s="8">
        <f>'04_States'!H9</f>
        <v>0.35131983675438772</v>
      </c>
      <c r="G27" s="6">
        <f t="shared" si="5"/>
        <v>7</v>
      </c>
      <c r="H27" s="27">
        <f>D27-'01_Timeseries'!$B$14/83577140*1000</f>
        <v>-0.4035120390871576</v>
      </c>
    </row>
    <row r="28" spans="1:8" x14ac:dyDescent="0.2">
      <c r="A28" s="6" t="str">
        <f>'04_States'!A5</f>
        <v>Baden-Württemberg</v>
      </c>
      <c r="B28" s="7">
        <f>'04_States'!B5</f>
        <v>76079</v>
      </c>
      <c r="C28" s="7">
        <f>'04_States'!K5</f>
        <v>11245898</v>
      </c>
      <c r="D28" s="10">
        <f t="shared" si="4"/>
        <v>6.7650444633234272</v>
      </c>
      <c r="E28" s="9">
        <f>'04_States'!E5</f>
        <v>3.3148646079469837E-2</v>
      </c>
      <c r="F28" s="8">
        <f>'04_States'!H5</f>
        <v>0.35977076459995533</v>
      </c>
      <c r="G28" s="6">
        <f t="shared" si="5"/>
        <v>8</v>
      </c>
      <c r="H28" s="27">
        <f>D28-'01_Timeseries'!$B$14/83577140*1000</f>
        <v>-1.5580089457786315</v>
      </c>
    </row>
    <row r="29" spans="1:8" x14ac:dyDescent="0.2">
      <c r="A29" s="6" t="str">
        <f>'04_States'!A13</f>
        <v>Rhineland-Palatinate</v>
      </c>
      <c r="B29" s="7">
        <f>'04_States'!B13</f>
        <v>30113</v>
      </c>
      <c r="C29" s="7">
        <f>'04_States'!K13</f>
        <v>5141710</v>
      </c>
      <c r="D29" s="10">
        <f t="shared" si="4"/>
        <v>5.8566119053777825</v>
      </c>
      <c r="E29" s="9">
        <f>'04_States'!E13</f>
        <v>6.4138808396353095E-2</v>
      </c>
      <c r="F29" s="8">
        <f>'04_States'!H13</f>
        <v>0.34237704645834027</v>
      </c>
      <c r="G29" s="6">
        <f t="shared" si="5"/>
        <v>9</v>
      </c>
      <c r="H29" s="27">
        <f>D29-'01_Timeseries'!$B$14/83577140*1000</f>
        <v>-2.4664415037242762</v>
      </c>
    </row>
    <row r="30" spans="1:8" x14ac:dyDescent="0.2">
      <c r="A30" s="6" t="str">
        <f>'04_States'!A7</f>
        <v>Berlin/Brandenburg Metropolitan Region</v>
      </c>
      <c r="B30" s="7">
        <f>'04_States'!B7</f>
        <v>27777</v>
      </c>
      <c r="C30" s="7">
        <f>'04_States'!K7</f>
        <v>6242012</v>
      </c>
      <c r="D30" s="10">
        <f t="shared" si="4"/>
        <v>4.4500074655415593</v>
      </c>
      <c r="E30" s="9">
        <f>'04_States'!E7</f>
        <v>0.1563150445425027</v>
      </c>
      <c r="F30" s="8">
        <f>'04_States'!H7</f>
        <v>0.32408107427007954</v>
      </c>
      <c r="G30" s="6">
        <f t="shared" si="5"/>
        <v>10</v>
      </c>
      <c r="H30" s="27">
        <f>D30-'01_Timeseries'!$B$14/83577140*1000</f>
        <v>-3.8730459435604994</v>
      </c>
    </row>
    <row r="31" spans="1:8" x14ac:dyDescent="0.2">
      <c r="A31" s="6" t="str">
        <f>'04_States'!A15</f>
        <v>Saxony</v>
      </c>
      <c r="B31" s="7">
        <f>'04_States'!B15</f>
        <v>13696</v>
      </c>
      <c r="C31" s="7">
        <f>'04_States'!K15</f>
        <v>6142699</v>
      </c>
      <c r="D31" s="10">
        <f t="shared" si="4"/>
        <v>2.2296387955848074</v>
      </c>
      <c r="E31" s="9">
        <f>'04_States'!E15</f>
        <v>0.16790312953014411</v>
      </c>
      <c r="F31" s="8">
        <f>'04_States'!H15</f>
        <v>0.32666471962616822</v>
      </c>
      <c r="G31" s="6">
        <f t="shared" si="5"/>
        <v>11</v>
      </c>
      <c r="H31" s="27">
        <f>D31-'01_Timeseries'!$B$14/83577140*1000</f>
        <v>-6.0934146135172513</v>
      </c>
    </row>
    <row r="32" spans="1:8" x14ac:dyDescent="0.2">
      <c r="A32" s="6" t="str">
        <f>'04_States'!A14</f>
        <v>Saxony-Anhalt</v>
      </c>
      <c r="B32" s="7">
        <f>'04_States'!B14</f>
        <v>2168</v>
      </c>
      <c r="C32" s="7">
        <f>'04_States'!K14</f>
        <v>2135597</v>
      </c>
      <c r="D32" s="10">
        <f t="shared" si="4"/>
        <v>1.0151728064798742</v>
      </c>
      <c r="E32" s="9">
        <f>'04_States'!E14</f>
        <v>0.35415365396627108</v>
      </c>
      <c r="F32" s="8">
        <f>'04_States'!H14</f>
        <v>0.48662361623616235</v>
      </c>
      <c r="G32" s="6">
        <f t="shared" si="5"/>
        <v>12</v>
      </c>
      <c r="H32" s="27">
        <f>D32-'01_Timeseries'!$B$14/83577140*1000</f>
        <v>-7.3078806026221841</v>
      </c>
    </row>
    <row r="35" spans="1:2" x14ac:dyDescent="0.2">
      <c r="A35" s="19" t="s">
        <v>258</v>
      </c>
    </row>
    <row r="36" spans="1:2" x14ac:dyDescent="0.2">
      <c r="A36" s="2" t="s">
        <v>259</v>
      </c>
    </row>
    <row r="37" spans="1:2" ht="18" customHeight="1" x14ac:dyDescent="0.2">
      <c r="A37" s="5" t="s">
        <v>111</v>
      </c>
      <c r="B37" s="5" t="s">
        <v>260</v>
      </c>
    </row>
    <row r="38" spans="1:2" x14ac:dyDescent="0.2">
      <c r="A38" s="6" t="s">
        <v>113</v>
      </c>
      <c r="B38" s="28">
        <f t="shared" ref="B38:B48" si="6">D6</f>
        <v>298</v>
      </c>
    </row>
    <row r="39" spans="1:2" x14ac:dyDescent="0.2">
      <c r="A39" s="6" t="s">
        <v>114</v>
      </c>
      <c r="B39" s="28">
        <f t="shared" si="6"/>
        <v>-2576</v>
      </c>
    </row>
    <row r="40" spans="1:2" x14ac:dyDescent="0.2">
      <c r="A40" s="6" t="s">
        <v>115</v>
      </c>
      <c r="B40" s="28">
        <f t="shared" si="6"/>
        <v>1123</v>
      </c>
    </row>
    <row r="41" spans="1:2" x14ac:dyDescent="0.2">
      <c r="A41" s="6" t="s">
        <v>116</v>
      </c>
      <c r="B41" s="28">
        <f t="shared" si="6"/>
        <v>2145</v>
      </c>
    </row>
    <row r="42" spans="1:2" x14ac:dyDescent="0.2">
      <c r="A42" s="6" t="s">
        <v>117</v>
      </c>
      <c r="B42" s="28">
        <f t="shared" si="6"/>
        <v>12863</v>
      </c>
    </row>
    <row r="43" spans="1:2" x14ac:dyDescent="0.2">
      <c r="A43" s="6" t="s">
        <v>118</v>
      </c>
      <c r="B43" s="28">
        <f t="shared" si="6"/>
        <v>16524</v>
      </c>
    </row>
    <row r="44" spans="1:2" x14ac:dyDescent="0.2">
      <c r="A44" s="6" t="s">
        <v>119</v>
      </c>
      <c r="B44" s="28">
        <f t="shared" si="6"/>
        <v>-3</v>
      </c>
    </row>
    <row r="45" spans="1:2" x14ac:dyDescent="0.2">
      <c r="A45" s="6" t="s">
        <v>120</v>
      </c>
      <c r="B45" s="28">
        <f t="shared" si="6"/>
        <v>-39109</v>
      </c>
    </row>
    <row r="46" spans="1:2" x14ac:dyDescent="0.2">
      <c r="A46" s="6" t="s">
        <v>121</v>
      </c>
      <c r="B46" s="28">
        <f t="shared" si="6"/>
        <v>-18304</v>
      </c>
    </row>
    <row r="47" spans="1:2" x14ac:dyDescent="0.2">
      <c r="A47" s="6" t="s">
        <v>122</v>
      </c>
      <c r="B47" s="28">
        <f t="shared" si="6"/>
        <v>25992</v>
      </c>
    </row>
    <row r="48" spans="1:2" x14ac:dyDescent="0.2">
      <c r="A48" s="6" t="s">
        <v>123</v>
      </c>
      <c r="B48" s="28">
        <f t="shared" si="6"/>
        <v>53506</v>
      </c>
    </row>
    <row r="49" spans="1:2" x14ac:dyDescent="0.2">
      <c r="A49" s="13" t="s">
        <v>112</v>
      </c>
      <c r="B49" s="29">
        <f>SUM(B38:B48)</f>
        <v>52459</v>
      </c>
    </row>
    <row r="51" spans="1:2" x14ac:dyDescent="0.2">
      <c r="A51" s="19" t="s">
        <v>261</v>
      </c>
    </row>
    <row r="52" spans="1:2" x14ac:dyDescent="0.2">
      <c r="A52" s="12" t="s">
        <v>131</v>
      </c>
      <c r="B52" s="14">
        <f>'01_Timeseries'!B14</f>
        <v>695617</v>
      </c>
    </row>
    <row r="53" spans="1:2" x14ac:dyDescent="0.2">
      <c r="A53" s="12" t="s">
        <v>262</v>
      </c>
      <c r="B53" s="29">
        <f>'01_Timeseries'!F14</f>
        <v>8909</v>
      </c>
    </row>
    <row r="54" spans="1:2" x14ac:dyDescent="0.2">
      <c r="A54" s="12" t="s">
        <v>263</v>
      </c>
      <c r="B54" s="16">
        <f>'01_Timeseries'!G14</f>
        <v>1.297349091608078E-2</v>
      </c>
    </row>
    <row r="55" spans="1:2" x14ac:dyDescent="0.2">
      <c r="A55" s="12" t="s">
        <v>264</v>
      </c>
      <c r="B55" s="16">
        <f>'01_Timeseries'!B14/'01_Timeseries'!B5-1</f>
        <v>8.1564716601519427E-2</v>
      </c>
    </row>
    <row r="56" spans="1:2" x14ac:dyDescent="0.2">
      <c r="A56" s="12" t="s">
        <v>265</v>
      </c>
      <c r="B56" s="17">
        <f>'01_Timeseries'!E14</f>
        <v>0.34725287047326331</v>
      </c>
    </row>
    <row r="57" spans="1:2" x14ac:dyDescent="0.2">
      <c r="A57" s="12" t="s">
        <v>266</v>
      </c>
      <c r="B57" s="30">
        <f>('01_Timeseries'!E14-'01_Timeseries'!E5)*100</f>
        <v>-2.0630293539312117</v>
      </c>
    </row>
    <row r="58" spans="1:2" x14ac:dyDescent="0.2">
      <c r="A58" s="12" t="s">
        <v>267</v>
      </c>
      <c r="B58" s="17">
        <f>'02_Age_Gender'!AE16/'01_Timeseries'!B14</f>
        <v>0.4401171909254662</v>
      </c>
    </row>
    <row r="59" spans="1:2" x14ac:dyDescent="0.2">
      <c r="A59" s="12" t="s">
        <v>268</v>
      </c>
      <c r="B59" s="17">
        <f>'06_Juniors'!J15/'01_Timeseries'!B14</f>
        <v>6.1525235869738661E-2</v>
      </c>
    </row>
    <row r="60" spans="1:2" x14ac:dyDescent="0.2">
      <c r="A60" s="12" t="s">
        <v>269</v>
      </c>
      <c r="B60" s="16">
        <f>'06_Juniors'!J15/'06_Juniors'!J6-1</f>
        <v>-2.6278069756330624E-2</v>
      </c>
    </row>
    <row r="61" spans="1:2" x14ac:dyDescent="0.2">
      <c r="A61" s="12" t="s">
        <v>270</v>
      </c>
      <c r="B61" s="14">
        <f>'01_Timeseries'!I14</f>
        <v>721</v>
      </c>
    </row>
    <row r="62" spans="1:2" x14ac:dyDescent="0.2">
      <c r="A62" s="12" t="s">
        <v>271</v>
      </c>
      <c r="B62" s="25">
        <f>'01_Timeseries'!B14/83577140*1000</f>
        <v>8.3230534091020587</v>
      </c>
    </row>
    <row r="63" spans="1:2" x14ac:dyDescent="0.2">
      <c r="A63" s="12" t="s">
        <v>272</v>
      </c>
      <c r="B63" s="25">
        <f>'07_Funnel'!B15</f>
        <v>9.8706896551724146</v>
      </c>
    </row>
    <row r="64" spans="1:2" x14ac:dyDescent="0.2">
      <c r="A64" s="12" t="s">
        <v>273</v>
      </c>
      <c r="B64" s="20">
        <f>'07_Funnel'!B19</f>
        <v>3.49</v>
      </c>
    </row>
    <row r="65" spans="1:2" x14ac:dyDescent="0.2">
      <c r="A65" s="12" t="s">
        <v>274</v>
      </c>
      <c r="B65" s="25">
        <f>'08_Europe'!H6</f>
        <v>53.307071937218645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1"/>
  <sheetViews>
    <sheetView workbookViewId="0">
      <selection activeCell="H24" sqref="H24"/>
    </sheetView>
  </sheetViews>
  <sheetFormatPr baseColWidth="10" defaultColWidth="8.83203125" defaultRowHeight="15" x14ac:dyDescent="0.2"/>
  <cols>
    <col min="1" max="1" width="22" customWidth="1"/>
    <col min="2" max="2" width="62" customWidth="1"/>
    <col min="3" max="3" width="26" customWidth="1"/>
    <col min="4" max="5" width="13" customWidth="1"/>
    <col min="6" max="6" width="46" customWidth="1"/>
  </cols>
  <sheetData>
    <row r="1" spans="1:6" ht="19" x14ac:dyDescent="0.25">
      <c r="A1" s="1" t="s">
        <v>275</v>
      </c>
    </row>
    <row r="2" spans="1:6" x14ac:dyDescent="0.2">
      <c r="A2" s="2" t="s">
        <v>276</v>
      </c>
    </row>
    <row r="4" spans="1:6" ht="30" customHeight="1" x14ac:dyDescent="0.2">
      <c r="A4" s="5" t="s">
        <v>277</v>
      </c>
      <c r="B4" s="5" t="s">
        <v>278</v>
      </c>
      <c r="C4" s="5" t="s">
        <v>279</v>
      </c>
      <c r="D4" s="5" t="s">
        <v>280</v>
      </c>
      <c r="E4" s="5" t="s">
        <v>281</v>
      </c>
      <c r="F4" s="5" t="s">
        <v>282</v>
      </c>
    </row>
    <row r="5" spans="1:6" ht="16" x14ac:dyDescent="0.2">
      <c r="A5" s="6" t="s">
        <v>283</v>
      </c>
      <c r="B5" s="31" t="s">
        <v>284</v>
      </c>
      <c r="C5" s="31" t="s">
        <v>284</v>
      </c>
      <c r="D5" s="32"/>
      <c r="E5" s="32"/>
      <c r="F5" s="12" t="s">
        <v>285</v>
      </c>
    </row>
    <row r="6" spans="1:6" ht="16" x14ac:dyDescent="0.2">
      <c r="A6" s="6" t="s">
        <v>286</v>
      </c>
      <c r="B6" s="31" t="s">
        <v>284</v>
      </c>
      <c r="C6" s="31" t="s">
        <v>284</v>
      </c>
      <c r="D6" s="32"/>
      <c r="E6" s="32"/>
      <c r="F6" s="12" t="s">
        <v>287</v>
      </c>
    </row>
    <row r="7" spans="1:6" ht="16" x14ac:dyDescent="0.2">
      <c r="A7" s="6" t="s">
        <v>288</v>
      </c>
      <c r="B7" s="31" t="s">
        <v>284</v>
      </c>
      <c r="C7" s="32"/>
      <c r="D7" s="32"/>
      <c r="E7" s="32"/>
      <c r="F7" s="12" t="s">
        <v>289</v>
      </c>
    </row>
    <row r="8" spans="1:6" ht="16" x14ac:dyDescent="0.2">
      <c r="A8" s="6" t="s">
        <v>290</v>
      </c>
      <c r="B8" s="31" t="s">
        <v>284</v>
      </c>
      <c r="C8" s="32"/>
      <c r="D8" s="32"/>
      <c r="E8" s="32"/>
      <c r="F8" s="12" t="s">
        <v>291</v>
      </c>
    </row>
    <row r="9" spans="1:6" ht="16" x14ac:dyDescent="0.2">
      <c r="A9" s="6" t="s">
        <v>292</v>
      </c>
      <c r="B9" s="31" t="s">
        <v>284</v>
      </c>
      <c r="C9" s="31" t="s">
        <v>284</v>
      </c>
      <c r="D9" s="31" t="s">
        <v>284</v>
      </c>
      <c r="E9" s="31" t="s">
        <v>284</v>
      </c>
      <c r="F9" s="12" t="s">
        <v>293</v>
      </c>
    </row>
    <row r="10" spans="1:6" ht="16" x14ac:dyDescent="0.2">
      <c r="A10" s="6" t="s">
        <v>294</v>
      </c>
      <c r="B10" s="31" t="s">
        <v>284</v>
      </c>
      <c r="C10" s="31" t="s">
        <v>284</v>
      </c>
      <c r="D10" s="31" t="s">
        <v>284</v>
      </c>
      <c r="E10" s="31" t="s">
        <v>284</v>
      </c>
      <c r="F10" s="12" t="s">
        <v>295</v>
      </c>
    </row>
    <row r="11" spans="1:6" ht="16" x14ac:dyDescent="0.2">
      <c r="A11" s="6" t="s">
        <v>296</v>
      </c>
      <c r="B11" s="31" t="s">
        <v>284</v>
      </c>
      <c r="C11" s="32"/>
      <c r="D11" s="32"/>
      <c r="E11" s="32"/>
      <c r="F11" s="12" t="s">
        <v>297</v>
      </c>
    </row>
    <row r="12" spans="1:6" ht="16" x14ac:dyDescent="0.2">
      <c r="A12" s="6" t="s">
        <v>298</v>
      </c>
      <c r="B12" s="32"/>
      <c r="C12" s="31" t="s">
        <v>284</v>
      </c>
      <c r="D12" s="32"/>
      <c r="E12" s="32"/>
      <c r="F12" s="12" t="s">
        <v>299</v>
      </c>
    </row>
    <row r="13" spans="1:6" ht="16" x14ac:dyDescent="0.2">
      <c r="A13" s="6" t="s">
        <v>300</v>
      </c>
      <c r="B13" s="32"/>
      <c r="C13" s="32"/>
      <c r="D13" s="31" t="s">
        <v>284</v>
      </c>
      <c r="E13" s="31" t="s">
        <v>284</v>
      </c>
      <c r="F13" s="12" t="s">
        <v>301</v>
      </c>
    </row>
    <row r="14" spans="1:6" ht="16" x14ac:dyDescent="0.2">
      <c r="A14" s="6" t="s">
        <v>302</v>
      </c>
      <c r="B14" s="32"/>
      <c r="C14" s="32"/>
      <c r="D14" s="31" t="s">
        <v>284</v>
      </c>
      <c r="E14" s="31" t="s">
        <v>284</v>
      </c>
      <c r="F14" s="12" t="s">
        <v>303</v>
      </c>
    </row>
    <row r="15" spans="1:6" ht="16" x14ac:dyDescent="0.2">
      <c r="A15" s="6" t="s">
        <v>304</v>
      </c>
      <c r="B15" s="32"/>
      <c r="C15" s="32"/>
      <c r="D15" s="31" t="s">
        <v>284</v>
      </c>
      <c r="E15" s="32"/>
      <c r="F15" s="12" t="s">
        <v>305</v>
      </c>
    </row>
    <row r="16" spans="1:6" ht="16" x14ac:dyDescent="0.2">
      <c r="A16" s="6" t="s">
        <v>306</v>
      </c>
      <c r="B16" s="32"/>
      <c r="C16" s="32"/>
      <c r="D16" s="31" t="s">
        <v>284</v>
      </c>
      <c r="E16" s="32"/>
      <c r="F16" s="12" t="s">
        <v>307</v>
      </c>
    </row>
    <row r="17" spans="1:6" ht="16" x14ac:dyDescent="0.2">
      <c r="A17" s="6" t="s">
        <v>308</v>
      </c>
      <c r="B17" s="32"/>
      <c r="C17" s="32"/>
      <c r="D17" s="31" t="s">
        <v>284</v>
      </c>
      <c r="E17" s="32"/>
      <c r="F17" s="12" t="s">
        <v>309</v>
      </c>
    </row>
    <row r="18" spans="1:6" ht="16" x14ac:dyDescent="0.2">
      <c r="A18" s="6" t="s">
        <v>310</v>
      </c>
      <c r="B18" s="32"/>
      <c r="C18" s="31" t="s">
        <v>284</v>
      </c>
      <c r="D18" s="32"/>
      <c r="E18" s="32"/>
      <c r="F18" s="12" t="s">
        <v>311</v>
      </c>
    </row>
    <row r="19" spans="1:6" ht="16" x14ac:dyDescent="0.2">
      <c r="A19" s="6" t="s">
        <v>312</v>
      </c>
      <c r="B19" s="32"/>
      <c r="C19" s="31" t="s">
        <v>284</v>
      </c>
      <c r="D19" s="32"/>
      <c r="E19" s="32"/>
      <c r="F19" s="12" t="s">
        <v>313</v>
      </c>
    </row>
    <row r="20" spans="1:6" ht="16" x14ac:dyDescent="0.2">
      <c r="A20" s="6" t="s">
        <v>314</v>
      </c>
      <c r="B20" s="31" t="s">
        <v>284</v>
      </c>
      <c r="C20" s="32"/>
      <c r="D20" s="32"/>
      <c r="E20" s="31" t="s">
        <v>284</v>
      </c>
      <c r="F20" s="12" t="s">
        <v>315</v>
      </c>
    </row>
    <row r="21" spans="1:6" x14ac:dyDescent="0.2">
      <c r="A21" s="6" t="s">
        <v>316</v>
      </c>
      <c r="B21" s="32"/>
      <c r="C21" s="32"/>
      <c r="D21" s="32"/>
      <c r="E21" s="32"/>
      <c r="F21" s="12" t="s">
        <v>317</v>
      </c>
    </row>
    <row r="23" spans="1:6" x14ac:dyDescent="0.2">
      <c r="A23" s="19" t="s">
        <v>318</v>
      </c>
    </row>
    <row r="24" spans="1:6" ht="30" customHeight="1" x14ac:dyDescent="0.2">
      <c r="A24" s="5" t="s">
        <v>319</v>
      </c>
      <c r="B24" s="5" t="s">
        <v>320</v>
      </c>
      <c r="C24" s="5" t="s">
        <v>321</v>
      </c>
    </row>
    <row r="25" spans="1:6" x14ac:dyDescent="0.2">
      <c r="A25" s="33" t="s">
        <v>322</v>
      </c>
      <c r="B25" s="12" t="s">
        <v>323</v>
      </c>
      <c r="C25" s="12" t="s">
        <v>324</v>
      </c>
    </row>
    <row r="26" spans="1:6" x14ac:dyDescent="0.2">
      <c r="A26" s="33" t="s">
        <v>325</v>
      </c>
      <c r="B26" s="12" t="s">
        <v>326</v>
      </c>
      <c r="C26" s="12" t="s">
        <v>327</v>
      </c>
    </row>
    <row r="27" spans="1:6" x14ac:dyDescent="0.2">
      <c r="A27" s="33" t="s">
        <v>328</v>
      </c>
      <c r="B27" s="12" t="s">
        <v>329</v>
      </c>
      <c r="C27" s="12" t="s">
        <v>330</v>
      </c>
    </row>
    <row r="28" spans="1:6" x14ac:dyDescent="0.2">
      <c r="A28" s="33" t="s">
        <v>331</v>
      </c>
      <c r="B28" s="12" t="s">
        <v>332</v>
      </c>
      <c r="C28" s="12" t="s">
        <v>333</v>
      </c>
    </row>
    <row r="29" spans="1:6" x14ac:dyDescent="0.2">
      <c r="A29" s="33" t="s">
        <v>334</v>
      </c>
      <c r="B29" s="12" t="s">
        <v>335</v>
      </c>
      <c r="C29" s="12" t="s">
        <v>336</v>
      </c>
    </row>
    <row r="31" spans="1:6" x14ac:dyDescent="0.2">
      <c r="A31" s="2" t="s">
        <v>337</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40"/>
  <sheetViews>
    <sheetView workbookViewId="0"/>
  </sheetViews>
  <sheetFormatPr baseColWidth="10" defaultColWidth="8.83203125" defaultRowHeight="15" x14ac:dyDescent="0.2"/>
  <cols>
    <col min="1" max="1" width="6" customWidth="1"/>
    <col min="2" max="2" width="34" customWidth="1"/>
    <col min="3" max="3" width="17" customWidth="1"/>
    <col min="4" max="4" width="15" customWidth="1"/>
    <col min="5" max="5" width="60" customWidth="1"/>
  </cols>
  <sheetData>
    <row r="1" spans="1:5" ht="19" x14ac:dyDescent="0.25">
      <c r="A1" s="1" t="s">
        <v>338</v>
      </c>
    </row>
    <row r="2" spans="1:5" x14ac:dyDescent="0.2">
      <c r="A2" s="2" t="s">
        <v>339</v>
      </c>
    </row>
    <row r="4" spans="1:5" x14ac:dyDescent="0.2">
      <c r="A4" s="19" t="s">
        <v>340</v>
      </c>
    </row>
    <row r="5" spans="1:5" ht="30" customHeight="1" x14ac:dyDescent="0.2">
      <c r="A5" s="5" t="s">
        <v>341</v>
      </c>
      <c r="B5" s="5" t="s">
        <v>342</v>
      </c>
      <c r="C5" s="5" t="s">
        <v>343</v>
      </c>
      <c r="D5" s="5" t="s">
        <v>344</v>
      </c>
      <c r="E5" s="5" t="s">
        <v>345</v>
      </c>
    </row>
    <row r="6" spans="1:5" ht="46" customHeight="1" x14ac:dyDescent="0.2">
      <c r="A6" s="32">
        <v>1</v>
      </c>
      <c r="B6" s="12" t="s">
        <v>346</v>
      </c>
      <c r="C6" s="12" t="s">
        <v>347</v>
      </c>
      <c r="D6" s="12" t="s">
        <v>348</v>
      </c>
      <c r="E6" s="34" t="s">
        <v>349</v>
      </c>
    </row>
    <row r="7" spans="1:5" ht="46" customHeight="1" x14ac:dyDescent="0.2">
      <c r="A7" s="32">
        <v>2</v>
      </c>
      <c r="B7" s="12" t="s">
        <v>350</v>
      </c>
      <c r="C7" s="12" t="s">
        <v>280</v>
      </c>
      <c r="D7" s="12" t="s">
        <v>351</v>
      </c>
      <c r="E7" s="34" t="s">
        <v>352</v>
      </c>
    </row>
    <row r="8" spans="1:5" ht="46" customHeight="1" x14ac:dyDescent="0.2">
      <c r="A8" s="32">
        <v>3</v>
      </c>
      <c r="B8" s="12" t="s">
        <v>353</v>
      </c>
      <c r="C8" s="12" t="s">
        <v>280</v>
      </c>
      <c r="D8" s="12" t="s">
        <v>354</v>
      </c>
      <c r="E8" s="34" t="s">
        <v>355</v>
      </c>
    </row>
    <row r="9" spans="1:5" ht="46" customHeight="1" x14ac:dyDescent="0.2">
      <c r="A9" s="32">
        <v>4</v>
      </c>
      <c r="B9" s="12" t="s">
        <v>356</v>
      </c>
      <c r="C9" s="12" t="s">
        <v>357</v>
      </c>
      <c r="D9" s="12" t="s">
        <v>358</v>
      </c>
      <c r="E9" s="34" t="s">
        <v>359</v>
      </c>
    </row>
    <row r="10" spans="1:5" ht="46" customHeight="1" x14ac:dyDescent="0.2">
      <c r="A10" s="32">
        <v>5</v>
      </c>
      <c r="B10" s="12" t="s">
        <v>360</v>
      </c>
      <c r="C10" s="12" t="s">
        <v>281</v>
      </c>
      <c r="D10" s="12" t="s">
        <v>361</v>
      </c>
      <c r="E10" s="34" t="s">
        <v>362</v>
      </c>
    </row>
    <row r="11" spans="1:5" ht="46" customHeight="1" x14ac:dyDescent="0.2">
      <c r="A11" s="32">
        <v>6</v>
      </c>
      <c r="B11" s="12" t="s">
        <v>363</v>
      </c>
      <c r="C11" s="12" t="s">
        <v>281</v>
      </c>
      <c r="D11" s="12" t="s">
        <v>361</v>
      </c>
      <c r="E11" s="34" t="s">
        <v>364</v>
      </c>
    </row>
    <row r="13" spans="1:5" x14ac:dyDescent="0.2">
      <c r="A13" s="19" t="s">
        <v>365</v>
      </c>
    </row>
    <row r="14" spans="1:5" ht="30" customHeight="1" x14ac:dyDescent="0.2">
      <c r="A14" s="5"/>
      <c r="B14" s="5" t="s">
        <v>366</v>
      </c>
      <c r="C14" s="5" t="s">
        <v>367</v>
      </c>
      <c r="D14" s="5"/>
      <c r="E14" s="5" t="s">
        <v>368</v>
      </c>
    </row>
    <row r="15" spans="1:5" ht="34" customHeight="1" x14ac:dyDescent="0.2">
      <c r="B15" s="33" t="s">
        <v>369</v>
      </c>
      <c r="C15" s="35" t="s">
        <v>370</v>
      </c>
      <c r="D15" s="6"/>
      <c r="E15" s="34" t="s">
        <v>371</v>
      </c>
    </row>
    <row r="16" spans="1:5" ht="34" customHeight="1" x14ac:dyDescent="0.2">
      <c r="B16" s="33" t="s">
        <v>372</v>
      </c>
      <c r="C16" s="35" t="s">
        <v>370</v>
      </c>
      <c r="D16" s="6"/>
      <c r="E16" s="34" t="s">
        <v>373</v>
      </c>
    </row>
    <row r="17" spans="2:5" ht="34" customHeight="1" x14ac:dyDescent="0.2">
      <c r="B17" s="33" t="s">
        <v>374</v>
      </c>
      <c r="C17" s="35" t="s">
        <v>370</v>
      </c>
      <c r="D17" s="6"/>
      <c r="E17" s="34" t="s">
        <v>375</v>
      </c>
    </row>
    <row r="18" spans="2:5" ht="34" customHeight="1" x14ac:dyDescent="0.2">
      <c r="B18" s="33" t="s">
        <v>376</v>
      </c>
      <c r="C18" s="35" t="s">
        <v>370</v>
      </c>
      <c r="D18" s="6"/>
      <c r="E18" s="34" t="s">
        <v>377</v>
      </c>
    </row>
    <row r="19" spans="2:5" ht="34" customHeight="1" x14ac:dyDescent="0.2">
      <c r="B19" s="33" t="s">
        <v>378</v>
      </c>
      <c r="C19" s="35" t="s">
        <v>370</v>
      </c>
      <c r="D19" s="6"/>
      <c r="E19" s="34" t="s">
        <v>379</v>
      </c>
    </row>
    <row r="20" spans="2:5" ht="34" customHeight="1" x14ac:dyDescent="0.2">
      <c r="B20" s="33" t="s">
        <v>380</v>
      </c>
      <c r="C20" s="35" t="s">
        <v>370</v>
      </c>
      <c r="D20" s="6"/>
      <c r="E20" s="34" t="s">
        <v>381</v>
      </c>
    </row>
    <row r="21" spans="2:5" ht="34" customHeight="1" x14ac:dyDescent="0.2">
      <c r="B21" s="33" t="s">
        <v>382</v>
      </c>
      <c r="C21" s="35" t="s">
        <v>370</v>
      </c>
      <c r="D21" s="6"/>
      <c r="E21" s="34" t="s">
        <v>383</v>
      </c>
    </row>
    <row r="22" spans="2:5" ht="34" customHeight="1" x14ac:dyDescent="0.2">
      <c r="B22" s="33" t="s">
        <v>384</v>
      </c>
      <c r="C22" s="35" t="s">
        <v>370</v>
      </c>
      <c r="D22" s="6"/>
      <c r="E22" s="34" t="s">
        <v>385</v>
      </c>
    </row>
    <row r="23" spans="2:5" ht="34" customHeight="1" x14ac:dyDescent="0.2">
      <c r="B23" s="33" t="s">
        <v>386</v>
      </c>
      <c r="C23" s="35" t="s">
        <v>370</v>
      </c>
      <c r="D23" s="6"/>
      <c r="E23" s="34" t="s">
        <v>387</v>
      </c>
    </row>
    <row r="24" spans="2:5" ht="34" customHeight="1" x14ac:dyDescent="0.2">
      <c r="B24" s="33" t="s">
        <v>388</v>
      </c>
      <c r="C24" s="35" t="s">
        <v>370</v>
      </c>
      <c r="D24" s="6"/>
      <c r="E24" s="34" t="s">
        <v>389</v>
      </c>
    </row>
    <row r="25" spans="2:5" ht="34" customHeight="1" x14ac:dyDescent="0.2">
      <c r="B25" s="33" t="s">
        <v>390</v>
      </c>
      <c r="C25" s="35" t="s">
        <v>370</v>
      </c>
      <c r="D25" s="6"/>
      <c r="E25" s="34" t="s">
        <v>391</v>
      </c>
    </row>
    <row r="26" spans="2:5" ht="34" customHeight="1" x14ac:dyDescent="0.2">
      <c r="B26" s="33" t="s">
        <v>392</v>
      </c>
      <c r="C26" s="35" t="s">
        <v>393</v>
      </c>
      <c r="D26" s="6"/>
      <c r="E26" s="34" t="s">
        <v>394</v>
      </c>
    </row>
    <row r="27" spans="2:5" ht="34" customHeight="1" x14ac:dyDescent="0.2">
      <c r="B27" s="33" t="s">
        <v>395</v>
      </c>
      <c r="C27" s="35" t="s">
        <v>393</v>
      </c>
      <c r="D27" s="6"/>
      <c r="E27" s="34" t="s">
        <v>396</v>
      </c>
    </row>
    <row r="28" spans="2:5" ht="34" customHeight="1" x14ac:dyDescent="0.2">
      <c r="B28" s="33" t="s">
        <v>397</v>
      </c>
      <c r="C28" s="35" t="s">
        <v>393</v>
      </c>
      <c r="D28" s="6"/>
      <c r="E28" s="34" t="s">
        <v>398</v>
      </c>
    </row>
    <row r="29" spans="2:5" ht="34" customHeight="1" x14ac:dyDescent="0.2">
      <c r="B29" s="33" t="s">
        <v>399</v>
      </c>
      <c r="C29" s="35" t="s">
        <v>393</v>
      </c>
      <c r="D29" s="6"/>
      <c r="E29" s="34" t="s">
        <v>400</v>
      </c>
    </row>
    <row r="30" spans="2:5" ht="34" customHeight="1" x14ac:dyDescent="0.2">
      <c r="B30" s="33" t="s">
        <v>401</v>
      </c>
      <c r="C30" s="35" t="s">
        <v>393</v>
      </c>
      <c r="D30" s="6"/>
      <c r="E30" s="34" t="s">
        <v>402</v>
      </c>
    </row>
    <row r="31" spans="2:5" ht="34" customHeight="1" x14ac:dyDescent="0.2">
      <c r="B31" s="33" t="s">
        <v>403</v>
      </c>
      <c r="C31" s="35" t="s">
        <v>393</v>
      </c>
      <c r="D31" s="6"/>
      <c r="E31" s="34" t="s">
        <v>404</v>
      </c>
    </row>
    <row r="33" spans="1:5" x14ac:dyDescent="0.2">
      <c r="A33" s="19" t="s">
        <v>405</v>
      </c>
    </row>
    <row r="34" spans="1:5" ht="34" customHeight="1" x14ac:dyDescent="0.2">
      <c r="B34" s="33" t="s">
        <v>406</v>
      </c>
      <c r="C34" s="6"/>
      <c r="D34" s="6"/>
      <c r="E34" s="34" t="s">
        <v>407</v>
      </c>
    </row>
    <row r="35" spans="1:5" ht="34" customHeight="1" x14ac:dyDescent="0.2">
      <c r="B35" s="33" t="s">
        <v>408</v>
      </c>
      <c r="C35" s="6"/>
      <c r="D35" s="6"/>
      <c r="E35" s="34" t="s">
        <v>409</v>
      </c>
    </row>
    <row r="36" spans="1:5" ht="34" customHeight="1" x14ac:dyDescent="0.2">
      <c r="B36" s="33" t="s">
        <v>410</v>
      </c>
      <c r="C36" s="6"/>
      <c r="D36" s="6"/>
      <c r="E36" s="34" t="s">
        <v>411</v>
      </c>
    </row>
    <row r="37" spans="1:5" ht="34" customHeight="1" x14ac:dyDescent="0.2">
      <c r="B37" s="33" t="s">
        <v>412</v>
      </c>
      <c r="C37" s="6"/>
      <c r="D37" s="6"/>
      <c r="E37" s="34" t="s">
        <v>413</v>
      </c>
    </row>
    <row r="38" spans="1:5" ht="34" customHeight="1" x14ac:dyDescent="0.2">
      <c r="B38" s="33" t="s">
        <v>414</v>
      </c>
      <c r="C38" s="6"/>
      <c r="D38" s="6"/>
      <c r="E38" s="34" t="s">
        <v>415</v>
      </c>
    </row>
    <row r="39" spans="1:5" ht="34" customHeight="1" x14ac:dyDescent="0.2">
      <c r="B39" s="33" t="s">
        <v>416</v>
      </c>
      <c r="C39" s="6"/>
      <c r="D39" s="6"/>
      <c r="E39" s="34" t="s">
        <v>417</v>
      </c>
    </row>
    <row r="40" spans="1:5" ht="34" customHeight="1" x14ac:dyDescent="0.2">
      <c r="B40" s="33" t="s">
        <v>418</v>
      </c>
      <c r="C40" s="6"/>
      <c r="D40" s="6"/>
      <c r="E40" s="34" t="s">
        <v>419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7"/>
  <sheetViews>
    <sheetView showGridLines="0" tabSelected="1" zoomScale="75" zoomScaleNormal="183" workbookViewId="0">
      <selection activeCell="B2" sqref="B2:L3"/>
    </sheetView>
  </sheetViews>
  <sheetFormatPr baseColWidth="10" defaultColWidth="8.83203125" defaultRowHeight="15" x14ac:dyDescent="0.2"/>
  <cols>
    <col min="1" max="1" width="2" customWidth="1"/>
    <col min="2" max="12" width="17" customWidth="1"/>
    <col min="13" max="13" width="2" customWidth="1"/>
  </cols>
  <sheetData>
    <row r="2" spans="2:13" x14ac:dyDescent="0.2">
      <c r="B2" s="49" t="s">
        <v>0</v>
      </c>
      <c r="C2" s="44"/>
      <c r="D2" s="44"/>
      <c r="E2" s="44"/>
      <c r="F2" s="44"/>
      <c r="G2" s="44"/>
      <c r="H2" s="44"/>
      <c r="I2" s="44"/>
      <c r="J2" s="44"/>
      <c r="K2" s="44"/>
      <c r="L2" s="44"/>
    </row>
    <row r="3" spans="2:13" x14ac:dyDescent="0.2">
      <c r="B3" s="44"/>
      <c r="C3" s="44"/>
      <c r="D3" s="44"/>
      <c r="E3" s="44"/>
      <c r="F3" s="44"/>
      <c r="G3" s="44"/>
      <c r="H3" s="44"/>
      <c r="I3" s="44"/>
      <c r="J3" s="44"/>
      <c r="K3" s="44"/>
      <c r="L3" s="44"/>
    </row>
    <row r="4" spans="2:13" x14ac:dyDescent="0.2">
      <c r="B4" s="42" t="s">
        <v>1</v>
      </c>
      <c r="C4" s="38"/>
      <c r="D4" s="38"/>
      <c r="E4" s="38"/>
      <c r="F4" s="38"/>
      <c r="G4" s="38"/>
      <c r="H4" s="38"/>
      <c r="I4" s="38"/>
      <c r="J4" s="38"/>
      <c r="K4" s="38"/>
      <c r="L4" s="38"/>
    </row>
    <row r="6" spans="2:13" ht="16" customHeight="1" x14ac:dyDescent="0.2">
      <c r="B6" s="43" t="s">
        <v>2</v>
      </c>
      <c r="C6" s="44"/>
      <c r="D6" s="43" t="s">
        <v>3</v>
      </c>
      <c r="E6" s="44"/>
      <c r="F6" s="45" t="s">
        <v>4</v>
      </c>
      <c r="G6" s="46"/>
      <c r="H6" s="45" t="s">
        <v>5</v>
      </c>
      <c r="I6" s="46"/>
      <c r="J6" s="45" t="s">
        <v>6</v>
      </c>
      <c r="K6" s="46"/>
      <c r="L6" s="47" t="s">
        <v>7</v>
      </c>
      <c r="M6" s="48"/>
    </row>
    <row r="7" spans="2:13" ht="22" customHeight="1" x14ac:dyDescent="0.2">
      <c r="B7" s="50">
        <f>'11_Metrics'!B52</f>
        <v>695617</v>
      </c>
      <c r="C7" s="40"/>
      <c r="D7" s="41">
        <f>'11_Metrics'!B55</f>
        <v>8.1564716601519427E-2</v>
      </c>
      <c r="E7" s="40"/>
      <c r="F7" s="39">
        <f>'11_Metrics'!B56</f>
        <v>0.34725287047326331</v>
      </c>
      <c r="G7" s="40"/>
      <c r="H7" s="39">
        <f>'11_Metrics'!B58</f>
        <v>0.4401171909254662</v>
      </c>
      <c r="I7" s="40"/>
      <c r="J7" s="41">
        <f>'11_Metrics'!B60</f>
        <v>-2.6278069756330624E-2</v>
      </c>
      <c r="K7" s="40"/>
      <c r="L7" s="51">
        <f>'11_Metrics'!B63</f>
        <v>9.8706896551724146</v>
      </c>
      <c r="M7" s="40"/>
    </row>
    <row r="8" spans="2:13" ht="22" customHeight="1" x14ac:dyDescent="0.2">
      <c r="B8" s="38"/>
      <c r="C8" s="38"/>
      <c r="D8" s="38"/>
      <c r="E8" s="38"/>
      <c r="F8" s="38"/>
      <c r="G8" s="38"/>
      <c r="H8" s="38"/>
      <c r="I8" s="38"/>
      <c r="J8" s="38"/>
      <c r="K8" s="38"/>
      <c r="L8" s="38"/>
      <c r="M8" s="38"/>
    </row>
    <row r="10" spans="2:13" x14ac:dyDescent="0.2">
      <c r="B10" s="36" t="s">
        <v>420</v>
      </c>
      <c r="H10" s="36" t="s">
        <v>8</v>
      </c>
    </row>
    <row r="28" spans="2:8" x14ac:dyDescent="0.2">
      <c r="B28" s="36" t="s">
        <v>9</v>
      </c>
      <c r="H28" s="36" t="s">
        <v>10</v>
      </c>
    </row>
    <row r="46" spans="2:8" x14ac:dyDescent="0.2">
      <c r="B46" s="36" t="s">
        <v>11</v>
      </c>
      <c r="H46" s="36" t="s">
        <v>12</v>
      </c>
    </row>
    <row r="66" spans="2:12" x14ac:dyDescent="0.2">
      <c r="B66" s="37" t="s">
        <v>13</v>
      </c>
      <c r="C66" s="38"/>
      <c r="D66" s="38"/>
      <c r="E66" s="38"/>
      <c r="F66" s="38"/>
      <c r="G66" s="38"/>
      <c r="H66" s="38"/>
      <c r="I66" s="38"/>
      <c r="J66" s="38"/>
      <c r="K66" s="38"/>
      <c r="L66" s="38"/>
    </row>
    <row r="67" spans="2:12" x14ac:dyDescent="0.2">
      <c r="B67" s="38"/>
      <c r="C67" s="38"/>
      <c r="D67" s="38"/>
      <c r="E67" s="38"/>
      <c r="F67" s="38"/>
      <c r="G67" s="38"/>
      <c r="H67" s="38"/>
      <c r="I67" s="38"/>
      <c r="J67" s="38"/>
      <c r="K67" s="38"/>
      <c r="L67" s="38"/>
    </row>
  </sheetData>
  <mergeCells count="15">
    <mergeCell ref="B2:L3"/>
    <mergeCell ref="F6:G6"/>
    <mergeCell ref="D7:E8"/>
    <mergeCell ref="B7:C8"/>
    <mergeCell ref="J6:K6"/>
    <mergeCell ref="L7:M8"/>
    <mergeCell ref="B66:L67"/>
    <mergeCell ref="H7:I8"/>
    <mergeCell ref="F7:G8"/>
    <mergeCell ref="J7:K8"/>
    <mergeCell ref="B4:L4"/>
    <mergeCell ref="B6:C6"/>
    <mergeCell ref="D6:E6"/>
    <mergeCell ref="H6:I6"/>
    <mergeCell ref="L6:M6"/>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00_README</vt:lpstr>
      <vt:lpstr>01_Timeseries</vt:lpstr>
      <vt:lpstr>02_Age_Gender</vt:lpstr>
      <vt:lpstr>03_Age_Long</vt:lpstr>
      <vt:lpstr>04_States</vt:lpstr>
      <vt:lpstr>05_States_Long</vt:lpstr>
      <vt:lpstr>06_Juniors</vt:lpstr>
      <vt:lpstr>07_Funnel</vt:lpstr>
      <vt:lpstr>08_Europe</vt:lpstr>
      <vt:lpstr>09_Federations</vt:lpstr>
      <vt:lpstr>10_History</vt:lpstr>
      <vt:lpstr>11_Metrics</vt:lpstr>
      <vt:lpstr>12_Chart_Selection</vt:lpstr>
      <vt:lpstr>13_Design_Rationale</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2026-09-24T11:55:40Z</dcterms:modified>
</cp:coreProperties>
</file>