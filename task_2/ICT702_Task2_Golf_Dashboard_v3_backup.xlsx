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WebImage.xml" ContentType="application/vnd.ms-excel.rdrichvaluewebimage+xml"/>
  <Override PartName="/xl/richData/rdrichvalue.xml" ContentType="application/vnd.ms-excel.rdrichvalue+xml"/>
  <Override PartName="/xl/richData/rdrichvaluestructure.xml" ContentType="application/vnd.ms-excel.rdrichvaluestructure+xml"/>
  <Override PartName="/xl/richData/rdarray.xml" ContentType="application/vnd.ms-excel.rdarray+xml"/>
  <Override PartName="/xl/richData/richStyles.xml" ContentType="application/vnd.ms-excel.richstyles+xml"/>
  <Override PartName="/xl/richData/rdsupportingpropertybagstructure.xml" ContentType="application/vnd.ms-excel.rdsupportingpropertybagstructure+xml"/>
  <Override PartName="/xl/richData/rdsupportingpropertybag.xml" ContentType="application/vnd.ms-excel.rdsupportingpropertybag+xml"/>
  <Override PartName="/xl/richData/rdRichValueTypes.xml" ContentType="application/vnd.ms-excel.rdrichvaluetype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Ex1.xml" ContentType="application/vnd.ms-office.chartex+xml"/>
  <Override PartName="/xl/charts/style1.xml" ContentType="application/vnd.ms-office.chartstyle+xml"/>
  <Override PartName="/xl/charts/colors1.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17"/>
  <workbookPr/>
  <mc:AlternateContent xmlns:mc="http://schemas.openxmlformats.org/markup-compatibility/2006">
    <mc:Choice Requires="x15">
      <x15ac:absPath xmlns:x15ac="http://schemas.microsoft.com/office/spreadsheetml/2010/11/ac" url="/Users/adamheier/Documents/Auslandssemester/Kurse/ict-702-data-visualisation/task_2/"/>
    </mc:Choice>
  </mc:AlternateContent>
  <xr:revisionPtr revIDLastSave="0" documentId="13_ncr:1_{BE5E0EBC-F4DD-A749-8AC6-64C5A57B6C19}" xr6:coauthVersionLast="47" xr6:coauthVersionMax="47" xr10:uidLastSave="{00000000-0000-0000-0000-000000000000}"/>
  <bookViews>
    <workbookView xWindow="0" yWindow="660" windowWidth="29400" windowHeight="17180" firstSheet="6" activeTab="14" xr2:uid="{00000000-000D-0000-FFFF-FFFF00000000}"/>
  </bookViews>
  <sheets>
    <sheet name="00_README" sheetId="1" r:id="rId1"/>
    <sheet name="01_Timeseries" sheetId="2" r:id="rId2"/>
    <sheet name="02_Age_Gender" sheetId="3" r:id="rId3"/>
    <sheet name="03_Age_Long" sheetId="4" r:id="rId4"/>
    <sheet name="04_States" sheetId="5" r:id="rId5"/>
    <sheet name="05_States_Long" sheetId="6" r:id="rId6"/>
    <sheet name="06_Juniors" sheetId="7" r:id="rId7"/>
    <sheet name="07_Funnel" sheetId="8" r:id="rId8"/>
    <sheet name="08_Europe" sheetId="9" r:id="rId9"/>
    <sheet name="09_Federations" sheetId="10" r:id="rId10"/>
    <sheet name="10_History" sheetId="11" r:id="rId11"/>
    <sheet name="11_Metrics" sheetId="12" r:id="rId12"/>
    <sheet name="12_Chart_Selection" sheetId="13" r:id="rId13"/>
    <sheet name="13_Design_Rationale" sheetId="14" r:id="rId14"/>
    <sheet name="20_Dashboard" sheetId="15" r:id="rId15"/>
  </sheets>
  <definedNames>
    <definedName name="_xlchart.v6.0" hidden="1">'11_Metrics'!$A$20</definedName>
    <definedName name="_xlchart.v6.1" hidden="1">'11_Metrics'!$A$21:$A$32</definedName>
    <definedName name="_xlchart.v6.10" hidden="1">'11_Metrics'!$D$20</definedName>
    <definedName name="_xlchart.v6.11" hidden="1">'11_Metrics'!$D$21:$D$32</definedName>
    <definedName name="_xlchart.v6.12" hidden="1">'11_Metrics'!$A$20</definedName>
    <definedName name="_xlchart.v6.13" hidden="1">'11_Metrics'!$A$21:$A$32</definedName>
    <definedName name="_xlchart.v6.14" hidden="1">'11_Metrics'!$D$20</definedName>
    <definedName name="_xlchart.v6.15" hidden="1">'11_Metrics'!$D$21:$D$32</definedName>
    <definedName name="_xlchart.v6.16" hidden="1">'11_Metrics'!$A$20</definedName>
    <definedName name="_xlchart.v6.17" hidden="1">'11_Metrics'!$A$21:$A$32</definedName>
    <definedName name="_xlchart.v6.18" hidden="1">'11_Metrics'!$D$20</definedName>
    <definedName name="_xlchart.v6.19" hidden="1">'11_Metrics'!$D$21:$D$32</definedName>
    <definedName name="_xlchart.v6.2" hidden="1">'11_Metrics'!$D$20</definedName>
    <definedName name="_xlchart.v6.20" hidden="1">'11_Metrics'!$A$20</definedName>
    <definedName name="_xlchart.v6.21" hidden="1">'11_Metrics'!$A$21:$A$32</definedName>
    <definedName name="_xlchart.v6.22" hidden="1">'11_Metrics'!$D$20</definedName>
    <definedName name="_xlchart.v6.23" hidden="1">'11_Metrics'!$D$21:$D$32</definedName>
    <definedName name="_xlchart.v6.3" hidden="1">'11_Metrics'!$D$21:$D$32</definedName>
    <definedName name="_xlchart.v6.4" hidden="1">'11_Metrics'!$A$20</definedName>
    <definedName name="_xlchart.v6.5" hidden="1">'11_Metrics'!$A$21:$A$32</definedName>
    <definedName name="_xlchart.v6.6" hidden="1">'11_Metrics'!$D$20</definedName>
    <definedName name="_xlchart.v6.7" hidden="1">'11_Metrics'!$D$21:$D$32</definedName>
    <definedName name="_xlchart.v6.8" hidden="1">'11_Metrics'!$A$20</definedName>
    <definedName name="_xlchart.v6.9" hidden="1">'11_Metrics'!$A$21:$A$32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62" i="12" l="1"/>
  <c r="B61" i="12"/>
  <c r="B58" i="12"/>
  <c r="H7" i="15" s="1"/>
  <c r="B57" i="12"/>
  <c r="B55" i="12"/>
  <c r="B52" i="12"/>
  <c r="F32" i="12"/>
  <c r="C32" i="12"/>
  <c r="B32" i="12"/>
  <c r="D32" i="12" s="1"/>
  <c r="A32" i="12"/>
  <c r="F31" i="12"/>
  <c r="D31" i="12"/>
  <c r="H31" i="12" s="1"/>
  <c r="C31" i="12"/>
  <c r="B31" i="12"/>
  <c r="A31" i="12"/>
  <c r="F30" i="12"/>
  <c r="C30" i="12"/>
  <c r="B30" i="12"/>
  <c r="D30" i="12" s="1"/>
  <c r="A30" i="12"/>
  <c r="C29" i="12"/>
  <c r="B29" i="12"/>
  <c r="D29" i="12" s="1"/>
  <c r="A29" i="12"/>
  <c r="C28" i="12"/>
  <c r="B28" i="12"/>
  <c r="D28" i="12" s="1"/>
  <c r="A28" i="12"/>
  <c r="F27" i="12"/>
  <c r="C27" i="12"/>
  <c r="B27" i="12"/>
  <c r="D27" i="12" s="1"/>
  <c r="A27" i="12"/>
  <c r="F26" i="12"/>
  <c r="D26" i="12"/>
  <c r="H26" i="12" s="1"/>
  <c r="C26" i="12"/>
  <c r="B26" i="12"/>
  <c r="A26" i="12"/>
  <c r="F25" i="12"/>
  <c r="C25" i="12"/>
  <c r="B25" i="12"/>
  <c r="D25" i="12" s="1"/>
  <c r="A25" i="12"/>
  <c r="C24" i="12"/>
  <c r="B24" i="12"/>
  <c r="D24" i="12" s="1"/>
  <c r="A24" i="12"/>
  <c r="C23" i="12"/>
  <c r="B23" i="12"/>
  <c r="D23" i="12" s="1"/>
  <c r="A23" i="12"/>
  <c r="F22" i="12"/>
  <c r="C22" i="12"/>
  <c r="B22" i="12"/>
  <c r="D22" i="12" s="1"/>
  <c r="A22" i="12"/>
  <c r="F21" i="12"/>
  <c r="D21" i="12"/>
  <c r="H21" i="12" s="1"/>
  <c r="C21" i="12"/>
  <c r="B21" i="12"/>
  <c r="A21" i="12"/>
  <c r="C16" i="12"/>
  <c r="B16" i="12"/>
  <c r="C14" i="12"/>
  <c r="C13" i="12"/>
  <c r="C11" i="12"/>
  <c r="B11" i="12"/>
  <c r="C9" i="12"/>
  <c r="C8" i="12"/>
  <c r="C6" i="12"/>
  <c r="B6" i="12"/>
  <c r="D79" i="11"/>
  <c r="D78" i="11"/>
  <c r="D77" i="11"/>
  <c r="D76" i="11"/>
  <c r="D75" i="11"/>
  <c r="D74" i="11"/>
  <c r="D73" i="11"/>
  <c r="D72" i="11"/>
  <c r="D71" i="11"/>
  <c r="D70" i="11"/>
  <c r="D69" i="11"/>
  <c r="D68" i="11"/>
  <c r="D67" i="11"/>
  <c r="D66" i="11"/>
  <c r="D65" i="11"/>
  <c r="D64" i="11"/>
  <c r="D63" i="11"/>
  <c r="D62" i="11"/>
  <c r="D61" i="11"/>
  <c r="D60" i="11"/>
  <c r="D59" i="11"/>
  <c r="D58" i="11"/>
  <c r="D57" i="11"/>
  <c r="D56" i="11"/>
  <c r="D55" i="11"/>
  <c r="D54" i="11"/>
  <c r="D53" i="11"/>
  <c r="D52" i="11"/>
  <c r="D51" i="11"/>
  <c r="D50" i="11"/>
  <c r="D49" i="11"/>
  <c r="D48" i="11"/>
  <c r="D47" i="11"/>
  <c r="D46" i="11"/>
  <c r="D45" i="11"/>
  <c r="D44" i="11"/>
  <c r="D43" i="11"/>
  <c r="D42" i="11"/>
  <c r="D41" i="11"/>
  <c r="D40" i="11"/>
  <c r="D39" i="11"/>
  <c r="D38" i="11"/>
  <c r="D37" i="11"/>
  <c r="D36" i="11"/>
  <c r="D35" i="11"/>
  <c r="D34" i="11"/>
  <c r="D33" i="11"/>
  <c r="D32" i="11"/>
  <c r="D31" i="11"/>
  <c r="D30" i="11"/>
  <c r="D29" i="11"/>
  <c r="D28" i="11"/>
  <c r="D27" i="11"/>
  <c r="D26" i="11"/>
  <c r="D25" i="11"/>
  <c r="D24" i="11"/>
  <c r="D23" i="11"/>
  <c r="D22" i="11"/>
  <c r="D21" i="11"/>
  <c r="D20" i="11"/>
  <c r="D19" i="11"/>
  <c r="D18" i="11"/>
  <c r="D17" i="11"/>
  <c r="D16" i="11"/>
  <c r="D15" i="11"/>
  <c r="D14" i="11"/>
  <c r="D13" i="11"/>
  <c r="D12" i="11"/>
  <c r="D11" i="11"/>
  <c r="D10" i="11"/>
  <c r="D9" i="11"/>
  <c r="D8" i="11"/>
  <c r="D7" i="11"/>
  <c r="D6" i="11"/>
  <c r="D5" i="11"/>
  <c r="I22" i="9"/>
  <c r="H22" i="9"/>
  <c r="K21" i="9"/>
  <c r="J21" i="9"/>
  <c r="I21" i="9"/>
  <c r="H21" i="9"/>
  <c r="K20" i="9"/>
  <c r="J20" i="9"/>
  <c r="I20" i="9"/>
  <c r="H20" i="9"/>
  <c r="K19" i="9"/>
  <c r="J19" i="9"/>
  <c r="I19" i="9"/>
  <c r="H19" i="9"/>
  <c r="K18" i="9"/>
  <c r="J18" i="9"/>
  <c r="I18" i="9"/>
  <c r="H18" i="9"/>
  <c r="K17" i="9"/>
  <c r="J17" i="9"/>
  <c r="I17" i="9"/>
  <c r="H17" i="9"/>
  <c r="K16" i="9"/>
  <c r="J16" i="9"/>
  <c r="I16" i="9"/>
  <c r="H16" i="9"/>
  <c r="K15" i="9"/>
  <c r="J15" i="9"/>
  <c r="I15" i="9"/>
  <c r="H15" i="9"/>
  <c r="K14" i="9"/>
  <c r="J14" i="9"/>
  <c r="I14" i="9"/>
  <c r="H14" i="9"/>
  <c r="K13" i="9"/>
  <c r="J13" i="9"/>
  <c r="I13" i="9"/>
  <c r="H13" i="9"/>
  <c r="K12" i="9"/>
  <c r="J12" i="9"/>
  <c r="I12" i="9"/>
  <c r="H12" i="9"/>
  <c r="K11" i="9"/>
  <c r="J11" i="9"/>
  <c r="I11" i="9"/>
  <c r="H11" i="9"/>
  <c r="K10" i="9"/>
  <c r="J10" i="9"/>
  <c r="I10" i="9"/>
  <c r="H10" i="9"/>
  <c r="K9" i="9"/>
  <c r="J9" i="9"/>
  <c r="I9" i="9"/>
  <c r="H9" i="9"/>
  <c r="K8" i="9"/>
  <c r="J8" i="9"/>
  <c r="I8" i="9"/>
  <c r="H8" i="9"/>
  <c r="K7" i="9"/>
  <c r="J7" i="9"/>
  <c r="I7" i="9"/>
  <c r="H7" i="9"/>
  <c r="K6" i="9"/>
  <c r="J6" i="9"/>
  <c r="I6" i="9"/>
  <c r="H6" i="9"/>
  <c r="B65" i="12" s="1"/>
  <c r="K5" i="9"/>
  <c r="J5" i="9"/>
  <c r="I5" i="9"/>
  <c r="H5" i="9"/>
  <c r="B31" i="8"/>
  <c r="B30" i="8"/>
  <c r="B29" i="8"/>
  <c r="B28" i="8"/>
  <c r="B27" i="8"/>
  <c r="B20" i="8"/>
  <c r="B19" i="8"/>
  <c r="B64" i="12" s="1"/>
  <c r="B18" i="8"/>
  <c r="B17" i="8"/>
  <c r="B16" i="8"/>
  <c r="B15" i="8"/>
  <c r="B63" i="12" s="1"/>
  <c r="L7" i="15" s="1"/>
  <c r="I10" i="8"/>
  <c r="I9" i="8"/>
  <c r="I8" i="8"/>
  <c r="I7" i="8"/>
  <c r="I6" i="8"/>
  <c r="I5" i="8"/>
  <c r="I15" i="7"/>
  <c r="H15" i="7"/>
  <c r="J15" i="7" s="1"/>
  <c r="I14" i="7"/>
  <c r="J14" i="7" s="1"/>
  <c r="H14" i="7"/>
  <c r="I13" i="7"/>
  <c r="H13" i="7"/>
  <c r="J13" i="7" s="1"/>
  <c r="I12" i="7"/>
  <c r="H12" i="7"/>
  <c r="I11" i="7"/>
  <c r="H11" i="7"/>
  <c r="J11" i="7" s="1"/>
  <c r="L11" i="7" s="1"/>
  <c r="I10" i="7"/>
  <c r="J10" i="7" s="1"/>
  <c r="H10" i="7"/>
  <c r="I9" i="7"/>
  <c r="H9" i="7"/>
  <c r="J9" i="7" s="1"/>
  <c r="I8" i="7"/>
  <c r="H8" i="7"/>
  <c r="I7" i="7"/>
  <c r="H7" i="7"/>
  <c r="J7" i="7" s="1"/>
  <c r="I6" i="7"/>
  <c r="J6" i="7" s="1"/>
  <c r="L6" i="7" s="1"/>
  <c r="H6" i="7"/>
  <c r="J18" i="5"/>
  <c r="I18" i="5"/>
  <c r="G18" i="5"/>
  <c r="H18" i="5" s="1"/>
  <c r="F18" i="5"/>
  <c r="C18" i="5"/>
  <c r="B18" i="5"/>
  <c r="H17" i="5"/>
  <c r="D17" i="5"/>
  <c r="E17" i="5" s="1"/>
  <c r="M16" i="5"/>
  <c r="L16" i="5"/>
  <c r="H16" i="5"/>
  <c r="D16" i="5"/>
  <c r="E16" i="5" s="1"/>
  <c r="E21" i="12" s="1"/>
  <c r="M15" i="5"/>
  <c r="L15" i="5"/>
  <c r="H15" i="5"/>
  <c r="D15" i="5"/>
  <c r="E15" i="5" s="1"/>
  <c r="E31" i="12" s="1"/>
  <c r="M14" i="5"/>
  <c r="L14" i="5"/>
  <c r="H14" i="5"/>
  <c r="D14" i="5"/>
  <c r="E14" i="5" s="1"/>
  <c r="E32" i="12" s="1"/>
  <c r="M13" i="5"/>
  <c r="L13" i="5"/>
  <c r="H13" i="5"/>
  <c r="F29" i="12" s="1"/>
  <c r="D13" i="5"/>
  <c r="E13" i="5" s="1"/>
  <c r="E29" i="12" s="1"/>
  <c r="M12" i="5"/>
  <c r="L12" i="5"/>
  <c r="H12" i="5"/>
  <c r="D12" i="5"/>
  <c r="E12" i="5" s="1"/>
  <c r="E26" i="12" s="1"/>
  <c r="M11" i="5"/>
  <c r="L11" i="5"/>
  <c r="H11" i="5"/>
  <c r="D11" i="5"/>
  <c r="E11" i="5" s="1"/>
  <c r="E25" i="12" s="1"/>
  <c r="M10" i="5"/>
  <c r="L10" i="5"/>
  <c r="H10" i="5"/>
  <c r="D10" i="5"/>
  <c r="E10" i="5" s="1"/>
  <c r="E22" i="12" s="1"/>
  <c r="M9" i="5"/>
  <c r="L9" i="5"/>
  <c r="H9" i="5"/>
  <c r="D9" i="5"/>
  <c r="E9" i="5" s="1"/>
  <c r="E27" i="12" s="1"/>
  <c r="M8" i="5"/>
  <c r="L8" i="5"/>
  <c r="H8" i="5"/>
  <c r="F23" i="12" s="1"/>
  <c r="D8" i="5"/>
  <c r="E8" i="5" s="1"/>
  <c r="E23" i="12" s="1"/>
  <c r="M7" i="5"/>
  <c r="L7" i="5"/>
  <c r="H7" i="5"/>
  <c r="D7" i="5"/>
  <c r="E7" i="5" s="1"/>
  <c r="E30" i="12" s="1"/>
  <c r="M6" i="5"/>
  <c r="L6" i="5"/>
  <c r="H6" i="5"/>
  <c r="F24" i="12" s="1"/>
  <c r="D6" i="5"/>
  <c r="D18" i="5" s="1"/>
  <c r="E18" i="5" s="1"/>
  <c r="M5" i="5"/>
  <c r="L5" i="5"/>
  <c r="H5" i="5"/>
  <c r="F28" i="12" s="1"/>
  <c r="D5" i="5"/>
  <c r="E5" i="5" s="1"/>
  <c r="E28" i="12" s="1"/>
  <c r="AD17" i="3"/>
  <c r="AC17" i="3"/>
  <c r="AA17" i="3"/>
  <c r="Z17" i="3"/>
  <c r="Y17" i="3"/>
  <c r="X17" i="3"/>
  <c r="W17" i="3"/>
  <c r="V17" i="3"/>
  <c r="U17" i="3"/>
  <c r="T17" i="3"/>
  <c r="R17" i="3"/>
  <c r="Q17" i="3"/>
  <c r="P17" i="3"/>
  <c r="O17" i="3"/>
  <c r="N17" i="3"/>
  <c r="L17" i="3"/>
  <c r="K17" i="3"/>
  <c r="J17" i="3"/>
  <c r="I17" i="3"/>
  <c r="H17" i="3"/>
  <c r="G17" i="3"/>
  <c r="F17" i="3"/>
  <c r="E17" i="3"/>
  <c r="C17" i="3"/>
  <c r="B17" i="3"/>
  <c r="AE16" i="3"/>
  <c r="AB16" i="3"/>
  <c r="Y16" i="3"/>
  <c r="V16" i="3"/>
  <c r="S16" i="3"/>
  <c r="P16" i="3"/>
  <c r="M16" i="3"/>
  <c r="J16" i="3"/>
  <c r="G16" i="3"/>
  <c r="D16" i="3"/>
  <c r="AE15" i="3"/>
  <c r="C15" i="12" s="1"/>
  <c r="AB15" i="3"/>
  <c r="Y15" i="3"/>
  <c r="V15" i="3"/>
  <c r="S15" i="3"/>
  <c r="P15" i="3"/>
  <c r="M15" i="3"/>
  <c r="J15" i="3"/>
  <c r="G15" i="3"/>
  <c r="D15" i="3"/>
  <c r="B15" i="12" s="1"/>
  <c r="AE14" i="3"/>
  <c r="AB14" i="3"/>
  <c r="Y14" i="3"/>
  <c r="V14" i="3"/>
  <c r="S14" i="3"/>
  <c r="P14" i="3"/>
  <c r="M14" i="3"/>
  <c r="J14" i="3"/>
  <c r="G14" i="3"/>
  <c r="D14" i="3"/>
  <c r="B14" i="12" s="1"/>
  <c r="AE13" i="3"/>
  <c r="AB13" i="3"/>
  <c r="Y13" i="3"/>
  <c r="V13" i="3"/>
  <c r="S13" i="3"/>
  <c r="P13" i="3"/>
  <c r="M13" i="3"/>
  <c r="J13" i="3"/>
  <c r="G13" i="3"/>
  <c r="D13" i="3"/>
  <c r="B13" i="12" s="1"/>
  <c r="AE12" i="3"/>
  <c r="C12" i="12" s="1"/>
  <c r="AB12" i="3"/>
  <c r="Y12" i="3"/>
  <c r="V12" i="3"/>
  <c r="S12" i="3"/>
  <c r="P12" i="3"/>
  <c r="M12" i="3"/>
  <c r="J12" i="3"/>
  <c r="G12" i="3"/>
  <c r="D12" i="3"/>
  <c r="B12" i="12" s="1"/>
  <c r="AE11" i="3"/>
  <c r="AB11" i="3"/>
  <c r="Y11" i="3"/>
  <c r="V11" i="3"/>
  <c r="S11" i="3"/>
  <c r="P11" i="3"/>
  <c r="M11" i="3"/>
  <c r="J11" i="3"/>
  <c r="G11" i="3"/>
  <c r="D11" i="3"/>
  <c r="AE10" i="3"/>
  <c r="C10" i="12" s="1"/>
  <c r="AB10" i="3"/>
  <c r="Y10" i="3"/>
  <c r="V10" i="3"/>
  <c r="S10" i="3"/>
  <c r="P10" i="3"/>
  <c r="M10" i="3"/>
  <c r="J10" i="3"/>
  <c r="G10" i="3"/>
  <c r="D10" i="3"/>
  <c r="B10" i="12" s="1"/>
  <c r="AE9" i="3"/>
  <c r="AB9" i="3"/>
  <c r="Y9" i="3"/>
  <c r="V9" i="3"/>
  <c r="S9" i="3"/>
  <c r="P9" i="3"/>
  <c r="M9" i="3"/>
  <c r="J9" i="3"/>
  <c r="G9" i="3"/>
  <c r="D9" i="3"/>
  <c r="B9" i="12" s="1"/>
  <c r="AE8" i="3"/>
  <c r="AB8" i="3"/>
  <c r="Y8" i="3"/>
  <c r="V8" i="3"/>
  <c r="S8" i="3"/>
  <c r="P8" i="3"/>
  <c r="M8" i="3"/>
  <c r="J8" i="3"/>
  <c r="G8" i="3"/>
  <c r="D8" i="3"/>
  <c r="B8" i="12" s="1"/>
  <c r="AE7" i="3"/>
  <c r="C7" i="12" s="1"/>
  <c r="AB7" i="3"/>
  <c r="Y7" i="3"/>
  <c r="V7" i="3"/>
  <c r="S7" i="3"/>
  <c r="P7" i="3"/>
  <c r="M7" i="3"/>
  <c r="J7" i="3"/>
  <c r="G7" i="3"/>
  <c r="D7" i="3"/>
  <c r="B7" i="12" s="1"/>
  <c r="AE6" i="3"/>
  <c r="AE17" i="3" s="1"/>
  <c r="AB6" i="3"/>
  <c r="AB17" i="3" s="1"/>
  <c r="Y6" i="3"/>
  <c r="V6" i="3"/>
  <c r="S6" i="3"/>
  <c r="S17" i="3" s="1"/>
  <c r="P6" i="3"/>
  <c r="M6" i="3"/>
  <c r="M17" i="3" s="1"/>
  <c r="J6" i="3"/>
  <c r="G6" i="3"/>
  <c r="D6" i="3"/>
  <c r="D17" i="3" s="1"/>
  <c r="K14" i="2"/>
  <c r="J14" i="2"/>
  <c r="G14" i="2"/>
  <c r="B54" i="12" s="1"/>
  <c r="F14" i="2"/>
  <c r="B53" i="12" s="1"/>
  <c r="E14" i="2"/>
  <c r="B56" i="12" s="1"/>
  <c r="F7" i="15" s="1"/>
  <c r="K13" i="2"/>
  <c r="J13" i="2"/>
  <c r="G13" i="2"/>
  <c r="F13" i="2"/>
  <c r="E13" i="2"/>
  <c r="K12" i="2"/>
  <c r="J12" i="2"/>
  <c r="G12" i="2"/>
  <c r="F12" i="2"/>
  <c r="E12" i="2"/>
  <c r="K11" i="2"/>
  <c r="J11" i="2"/>
  <c r="G11" i="2"/>
  <c r="F11" i="2"/>
  <c r="E11" i="2"/>
  <c r="K10" i="2"/>
  <c r="J10" i="2"/>
  <c r="G10" i="2"/>
  <c r="F10" i="2"/>
  <c r="E10" i="2"/>
  <c r="K9" i="2"/>
  <c r="J9" i="2"/>
  <c r="G9" i="2"/>
  <c r="F9" i="2"/>
  <c r="E9" i="2"/>
  <c r="K8" i="2"/>
  <c r="J8" i="2"/>
  <c r="G8" i="2"/>
  <c r="F8" i="2"/>
  <c r="E8" i="2"/>
  <c r="K7" i="2"/>
  <c r="J7" i="2"/>
  <c r="G7" i="2"/>
  <c r="F7" i="2"/>
  <c r="E7" i="2"/>
  <c r="K6" i="2"/>
  <c r="J6" i="2"/>
  <c r="G6" i="2"/>
  <c r="F6" i="2"/>
  <c r="E6" i="2"/>
  <c r="K5" i="2"/>
  <c r="J5" i="2"/>
  <c r="E5" i="2"/>
  <c r="D7" i="15"/>
  <c r="B7" i="15"/>
  <c r="K13" i="7" l="1"/>
  <c r="D9" i="12"/>
  <c r="H24" i="12"/>
  <c r="G24" i="12"/>
  <c r="L9" i="7"/>
  <c r="H32" i="12"/>
  <c r="G32" i="12"/>
  <c r="D10" i="12"/>
  <c r="F10" i="12"/>
  <c r="K9" i="7"/>
  <c r="L14" i="7"/>
  <c r="F11" i="12"/>
  <c r="G27" i="12"/>
  <c r="H27" i="12"/>
  <c r="H30" i="12"/>
  <c r="G30" i="12"/>
  <c r="L15" i="7"/>
  <c r="B60" i="12"/>
  <c r="J7" i="15" s="1"/>
  <c r="B59" i="12"/>
  <c r="K15" i="7"/>
  <c r="F13" i="12"/>
  <c r="H22" i="12"/>
  <c r="G22" i="12"/>
  <c r="H25" i="12"/>
  <c r="G25" i="12"/>
  <c r="L10" i="7"/>
  <c r="D14" i="12"/>
  <c r="F12" i="12"/>
  <c r="D12" i="12"/>
  <c r="K11" i="7"/>
  <c r="F16" i="12"/>
  <c r="H28" i="12"/>
  <c r="G28" i="12"/>
  <c r="L7" i="7"/>
  <c r="H23" i="12"/>
  <c r="G23" i="12"/>
  <c r="K7" i="7"/>
  <c r="K12" i="7"/>
  <c r="F6" i="12"/>
  <c r="F7" i="12"/>
  <c r="D7" i="12"/>
  <c r="D15" i="12"/>
  <c r="F15" i="12"/>
  <c r="L13" i="7"/>
  <c r="F8" i="12"/>
  <c r="H29" i="12"/>
  <c r="G29" i="12"/>
  <c r="K6" i="7"/>
  <c r="E6" i="5"/>
  <c r="E24" i="12" s="1"/>
  <c r="D6" i="12"/>
  <c r="F9" i="12"/>
  <c r="D11" i="12"/>
  <c r="F14" i="12"/>
  <c r="D16" i="12"/>
  <c r="G21" i="12"/>
  <c r="G26" i="12"/>
  <c r="G31" i="12"/>
  <c r="K10" i="7"/>
  <c r="K14" i="7"/>
  <c r="D8" i="12"/>
  <c r="D13" i="12"/>
  <c r="J8" i="7"/>
  <c r="L8" i="7" s="1"/>
  <c r="J12" i="7"/>
  <c r="L12" i="7" s="1"/>
  <c r="B46" i="12" l="1"/>
  <c r="E14" i="12"/>
  <c r="G14" i="12"/>
  <c r="G12" i="12"/>
  <c r="E12" i="12"/>
  <c r="B44" i="12"/>
  <c r="E10" i="12"/>
  <c r="B42" i="12"/>
  <c r="G10" i="12"/>
  <c r="G16" i="12"/>
  <c r="E16" i="12"/>
  <c r="B48" i="12"/>
  <c r="B41" i="12"/>
  <c r="G9" i="12"/>
  <c r="E9" i="12"/>
  <c r="G13" i="12"/>
  <c r="E13" i="12"/>
  <c r="B45" i="12"/>
  <c r="B43" i="12"/>
  <c r="G11" i="12"/>
  <c r="E11" i="12"/>
  <c r="E15" i="12"/>
  <c r="B47" i="12"/>
  <c r="G15" i="12"/>
  <c r="B39" i="12"/>
  <c r="G7" i="12"/>
  <c r="E7" i="12"/>
  <c r="G8" i="12"/>
  <c r="E8" i="12"/>
  <c r="B40" i="12"/>
  <c r="G6" i="12"/>
  <c r="E6" i="12"/>
  <c r="B38" i="12"/>
  <c r="K8" i="7"/>
  <c r="B49" i="12" l="1"/>
</calcChain>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2">
    <bk>
      <extLst>
        <ext uri="{3e2802c4-a4d2-4d8b-9148-e3be6c30e623}">
          <xlrd:rvb i="0"/>
        </ext>
      </extLst>
    </bk>
    <bk>
      <extLst>
        <ext uri="{3e2802c4-a4d2-4d8b-9148-e3be6c30e623}">
          <xlrd:rvb i="11"/>
        </ext>
      </extLst>
    </bk>
    <bk>
      <extLst>
        <ext uri="{3e2802c4-a4d2-4d8b-9148-e3be6c30e623}">
          <xlrd:rvb i="24"/>
        </ext>
      </extLst>
    </bk>
    <bk>
      <extLst>
        <ext uri="{3e2802c4-a4d2-4d8b-9148-e3be6c30e623}">
          <xlrd:rvb i="32"/>
        </ext>
      </extLst>
    </bk>
    <bk>
      <extLst>
        <ext uri="{3e2802c4-a4d2-4d8b-9148-e3be6c30e623}">
          <xlrd:rvb i="45"/>
        </ext>
      </extLst>
    </bk>
    <bk>
      <extLst>
        <ext uri="{3e2802c4-a4d2-4d8b-9148-e3be6c30e623}">
          <xlrd:rvb i="56"/>
        </ext>
      </extLst>
    </bk>
    <bk>
      <extLst>
        <ext uri="{3e2802c4-a4d2-4d8b-9148-e3be6c30e623}">
          <xlrd:rvb i="67"/>
        </ext>
      </extLst>
    </bk>
    <bk>
      <extLst>
        <ext uri="{3e2802c4-a4d2-4d8b-9148-e3be6c30e623}">
          <xlrd:rvb i="77"/>
        </ext>
      </extLst>
    </bk>
    <bk>
      <extLst>
        <ext uri="{3e2802c4-a4d2-4d8b-9148-e3be6c30e623}">
          <xlrd:rvb i="88"/>
        </ext>
      </extLst>
    </bk>
    <bk>
      <extLst>
        <ext uri="{3e2802c4-a4d2-4d8b-9148-e3be6c30e623}">
          <xlrd:rvb i="100"/>
        </ext>
      </extLst>
    </bk>
    <bk>
      <extLst>
        <ext uri="{3e2802c4-a4d2-4d8b-9148-e3be6c30e623}">
          <xlrd:rvb i="111"/>
        </ext>
      </extLst>
    </bk>
    <bk>
      <extLst>
        <ext uri="{3e2802c4-a4d2-4d8b-9148-e3be6c30e623}">
          <xlrd:rvb i="122"/>
        </ext>
      </extLst>
    </bk>
  </futureMetadata>
  <valueMetadata count="12">
    <bk>
      <rc t="1" v="0"/>
    </bk>
    <bk>
      <rc t="1" v="1"/>
    </bk>
    <bk>
      <rc t="1" v="2"/>
    </bk>
    <bk>
      <rc t="1" v="3"/>
    </bk>
    <bk>
      <rc t="1" v="4"/>
    </bk>
    <bk>
      <rc t="1" v="5"/>
    </bk>
    <bk>
      <rc t="1" v="6"/>
    </bk>
    <bk>
      <rc t="1" v="7"/>
    </bk>
    <bk>
      <rc t="1" v="8"/>
    </bk>
    <bk>
      <rc t="1" v="9"/>
    </bk>
    <bk>
      <rc t="1" v="10"/>
    </bk>
    <bk>
      <rc t="1" v="11"/>
    </bk>
  </valueMetadata>
</metadata>
</file>

<file path=xl/sharedStrings.xml><?xml version="1.0" encoding="utf-8"?>
<sst xmlns="http://schemas.openxmlformats.org/spreadsheetml/2006/main" count="3858" uniqueCount="421">
  <si>
    <t>GROWING GOLF IN GERMANY   —   Participation Dashboard 2016–2025</t>
  </si>
  <si>
    <t>Audience: German Golf Federation (DGV), state associations and facility operators   |   Players as at 30 Sep 2025, facilities 31 Dec 2025   |   Sources: DGV; Allensbach/AWA; The R&amp;A; Destatis</t>
  </si>
  <si>
    <t>PLAYERS 2025</t>
  </si>
  <si>
    <t>GROWTH 2016–25</t>
  </si>
  <si>
    <t>FEMALE SHARE</t>
  </si>
  <si>
    <t>AGED 61+</t>
  </si>
  <si>
    <t>UNDER 19 vs 2016</t>
  </si>
  <si>
    <t>INTERESTED / MEMBER</t>
  </si>
  <si>
    <t>2   The participation gap: 6.9m interested, 0.7m registered</t>
  </si>
  <si>
    <t>3   Where growth comes from and where it leaks (orange = net loss)</t>
  </si>
  <si>
    <t>4   The female share keeps sliding while male membership grows</t>
  </si>
  <si>
    <t>5   Domestic headroom: penetration varies eighteenfold (orange = below national average)</t>
  </si>
  <si>
    <t>6   European ceiling: Germany sits far below the northern markets</t>
  </si>
  <si>
    <t>Colour encoding: blue #0072B2 = male members and volume measures, orange #E69F00 = female members and the opportunity measure. Palette after Okabe and Ito (2008), distinguishable under all common forms of colour vision deficiency.   |   Sources: Deutscher Golf Verband (2017–2026); Institut für Demoskopie Allensbach / AWA 2025 via Statista; The R&amp;A (2025); Statistisches Bundesamt (2025). Full source list and caveats on sheet 00_README.</t>
  </si>
  <si>
    <t>ICT702 Task 2 — Growing Golf in Germany  (v2, full source set)</t>
  </si>
  <si>
    <t>Data sources, definitions, reconciliation and workbook structure</t>
  </si>
  <si>
    <t>PURPOSE</t>
  </si>
  <si>
    <t>Data basis for an Excel dashboard supporting the German Golf Federation (DGV), the state golf associations and facility operators in decisions aimed at increasing participation in golf.</t>
  </si>
  <si>
    <t>AUDIENCE</t>
  </si>
  <si>
    <t>DGV executive board, state golf associations, golf facility operators.</t>
  </si>
  <si>
    <t>PERIOD</t>
  </si>
  <si>
    <t>2016–2025 for the core analysis; longer series where the sources allow.</t>
  </si>
  <si>
    <t>CENSUS DATES</t>
  </si>
  <si>
    <t>Players: 30 September. Facilities and member clubs: 31 December.</t>
  </si>
  <si>
    <t>SOURCES</t>
  </si>
  <si>
    <t>S1</t>
  </si>
  <si>
    <t>Deutscher Golf Verband. (2017–2026). DGV-Statistiken 2016–2025 [Annual statistics, ten editions]. Wiesbaden: DGV. Files: statistiken/2016_… to statistiken/2025_…</t>
  </si>
  <si>
    <t>S2</t>
  </si>
  <si>
    <t>Deutscher Golf Verband. (2026). Golf in Deutschland erreicht neue Höchstwerte [Press release, 21 January 2026].</t>
  </si>
  <si>
    <t>S3</t>
  </si>
  <si>
    <t>Institut für Demoskopie Allensbach. (2025). Allensbacher Markt- und Werbeträgeranalyse (AWA 2025), via Statista [IDs 171038, 171039, 171147]. Base: German-speaking population aged 14+.</t>
  </si>
  <si>
    <t>S4</t>
  </si>
  <si>
    <t>Deutscher Golf Verband, via Statista [IDs 5148, 6888, 6892, 6894, 6899, 6900, 6904, 214654].</t>
  </si>
  <si>
    <t>S5</t>
  </si>
  <si>
    <t>The R&amp;A. (2025). Global Golf Participation 2024 [Report, June 2025, excluding the USA and Mexico].</t>
  </si>
  <si>
    <t>S6</t>
  </si>
  <si>
    <t>Statistisches Bundesamt. (2025). Bundesländer mit Hauptstädten nach Fläche, Bevölkerung und Bevölkerungsdichte am 31.12.2024 [2022 Census basis].</t>
  </si>
  <si>
    <t>S7</t>
  </si>
  <si>
    <t>Statistisches Bundesamt. (2025). By 2035, one quarter of Germany's population will be aged 67 or over [Press release No. 446, 11 December 2025].</t>
  </si>
  <si>
    <t>S8</t>
  </si>
  <si>
    <t>Huth, C., &amp; Billion, F. (2022). Impacts of the COVID-19 pandemic on German golf – a comparison between club-owned and commercial golf clubs. Quality in Sport, 8(1), 21–27. https://doi.org/10.12775/QS.2022.08.01.002</t>
  </si>
  <si>
    <t>S9</t>
  </si>
  <si>
    <t>The R&amp;A. (2021). Women in Golf Charter — Impact studies [March 2021].</t>
  </si>
  <si>
    <t>S10</t>
  </si>
  <si>
    <t>Deutscher Olympischer Sportbund. Bestandserhebung (as at 1 January 2025), cited in S1.</t>
  </si>
  <si>
    <t>S11</t>
  </si>
  <si>
    <t>Okabe, M., &amp; Ito, K. (2008). Color Universal Design (CUD). https://jfly.uni-koeln.de/color/</t>
  </si>
  <si>
    <t>S12</t>
  </si>
  <si>
    <t>Camm, J. D., Cochran, J. J., Fry, M. J., &amp; Ohlmann, J. W. (2021). Data visualization: Exploring and explaining with data (1st ed.). Cengage. [Course text underpinning ICT702 Modules 2–8]</t>
  </si>
  <si>
    <t>RECONCILIATION</t>
  </si>
  <si>
    <t>All ten DGV yearbooks were parsed and cross-checked. For every year 2016–2025 four independent figures agree exactly: the sum of the age-by-gender table, the sum of the 13 state association rows, the published national player series (S4), and the sum of the state facility counts against the national facility series (S4).</t>
  </si>
  <si>
    <t>R&amp;A RECONCILIATION</t>
  </si>
  <si>
    <t>The R&amp;A reports German adults by gender plus juniors separately: 417,194 + 227,267 + 42,247 = 686,708, which matches the DGV total for 2024 exactly. Adult female share is therefore 35.3%, while the all-ages female share is 35.1%.</t>
  </si>
  <si>
    <t>COLOUR PALETTE</t>
  </si>
  <si>
    <t>Blue #0072B2 / Orange #E69F00 — Okabe-Ito pair, distinguishable under deuteranopia, protanopia and tritanopia (S11). Grey #999999 for context series.</t>
  </si>
  <si>
    <t>SHEET GUIDE</t>
  </si>
  <si>
    <t>01_Timeseries</t>
  </si>
  <si>
    <t>Players, gender split, clubs and facilities 2016–2025</t>
  </si>
  <si>
    <t>02_Age_Gender</t>
  </si>
  <si>
    <t>Eleven age bands by gender, 2016–2025 (wide, as published)</t>
  </si>
  <si>
    <t>03_Age_Long</t>
  </si>
  <si>
    <t>Same data in long format — source for PivotTables</t>
  </si>
  <si>
    <t>04_States</t>
  </si>
  <si>
    <t>State associations 2016 vs 2025, facilities, population, penetration</t>
  </si>
  <si>
    <t>05_States_Long</t>
  </si>
  <si>
    <t>State association by age band, all ten years, long format</t>
  </si>
  <si>
    <t>06_Juniors</t>
  </si>
  <si>
    <t>Members under 19 by gender, 2016–2025</t>
  </si>
  <si>
    <t>07_Funnel</t>
  </si>
  <si>
    <t>Allensbach awareness / interest / play funnel 2019–2025 (S3)</t>
  </si>
  <si>
    <t>08_Europe</t>
  </si>
  <si>
    <t>R&amp;A European benchmark: penetration, female share, courses (S5)</t>
  </si>
  <si>
    <t>09_Federations</t>
  </si>
  <si>
    <t>Top 15 German Olympic sports federations (S10)</t>
  </si>
  <si>
    <t>10_History</t>
  </si>
  <si>
    <t>Clubs and players 1951–2025 (S4)</t>
  </si>
  <si>
    <t>11_Metrics</t>
  </si>
  <si>
    <t>Derived metrics as live formulas, plus a waterfall-ready data block</t>
  </si>
  <si>
    <t>12_Chart_Selection</t>
  </si>
  <si>
    <t>Course chart-selection matrix (Module 3) and the chart types to avoid</t>
  </si>
  <si>
    <t>13_Design_Rationale</t>
  </si>
  <si>
    <t>Every design choice traced to its ICT702 module — source for Criterion 3</t>
  </si>
  <si>
    <t>20_Dashboard</t>
  </si>
  <si>
    <t>Dashboard with six visualisations</t>
  </si>
  <si>
    <t>CAVEAT — VcG</t>
  </si>
  <si>
    <t>The 'Vereinigung clubfreier Golfspieler' is a nationwide membership category, not a region. It is listed separately and excluded from all penetration metrics.</t>
  </si>
  <si>
    <t>CAVEAT — AWA BASE</t>
  </si>
  <si>
    <t>Allensbach surveys the German-speaking population aged 14 and over in private households; DGV membership covers all ages. The funnel therefore compares a survey population with an administrative count and indicates magnitude, not an exact rate.</t>
  </si>
  <si>
    <t>CAVEAT — 60+</t>
  </si>
  <si>
    <t>The five-year senior bands (325,743) overlap the '61 and over' band (306,153). Do not add them.</t>
  </si>
  <si>
    <t>CAVEAT — FACILITIES</t>
  </si>
  <si>
    <t>Some year-on-year changes reflect reclassification in the DGV's records (e.g. merging a 9-hole and an 18-hole course into one 27-hole facility).</t>
  </si>
  <si>
    <t>CAVEAT — TERMS</t>
  </si>
  <si>
    <t>'Registered membership' is not the same as 'person who plays golf'. Multiple memberships and casual play without club affiliation are not captured.</t>
  </si>
  <si>
    <t>AI DECLARATION</t>
  </si>
  <si>
    <t>Acknowledge any use of AI tools in the report, per UniSC requirements.</t>
  </si>
  <si>
    <t>Players, gender split, clubs and facilities, 2016–2025</t>
  </si>
  <si>
    <t>Sources: S1, S4</t>
  </si>
  <si>
    <t>Year</t>
  </si>
  <si>
    <t>Players</t>
  </si>
  <si>
    <t>Male</t>
  </si>
  <si>
    <t>Female</t>
  </si>
  <si>
    <t>Female share</t>
  </si>
  <si>
    <t>Change (abs.)</t>
  </si>
  <si>
    <t>Change (%)</t>
  </si>
  <si>
    <t>Clubs</t>
  </si>
  <si>
    <t>Facilities</t>
  </si>
  <si>
    <t>Players per facility</t>
  </si>
  <si>
    <t>Index (2016=100)</t>
  </si>
  <si>
    <t>Players by age band and gender, 2016–2025</t>
  </si>
  <si>
    <t>Source: S1 (ten DGV yearbooks)</t>
  </si>
  <si>
    <t>Age band</t>
  </si>
  <si>
    <t>Total</t>
  </si>
  <si>
    <t>Up to 6</t>
  </si>
  <si>
    <t>7 to 14</t>
  </si>
  <si>
    <t>15 to 18</t>
  </si>
  <si>
    <t>19 to 20</t>
  </si>
  <si>
    <t>21 to 26</t>
  </si>
  <si>
    <t>27 to 35</t>
  </si>
  <si>
    <t>36 to 40</t>
  </si>
  <si>
    <t>41 to 50</t>
  </si>
  <si>
    <t>51 to 55</t>
  </si>
  <si>
    <t>56 to 60</t>
  </si>
  <si>
    <t>61 and over</t>
  </si>
  <si>
    <t>Age structure, long format</t>
  </si>
  <si>
    <t>Insert &gt; PivotTable to build your own cuts</t>
  </si>
  <si>
    <t>Age rank</t>
  </si>
  <si>
    <t>Gender</t>
  </si>
  <si>
    <t>State golf associations: participation, growth and market penetration</t>
  </si>
  <si>
    <t>Players 30 Sep; facilities 31 Dec 2025; population Destatis 31 Dec 2024. Sources: S1, S6</t>
  </si>
  <si>
    <t>State golf association</t>
  </si>
  <si>
    <t>Players 2025</t>
  </si>
  <si>
    <t>Players 2016</t>
  </si>
  <si>
    <t>Male 2025</t>
  </si>
  <si>
    <t>Female 2025</t>
  </si>
  <si>
    <t>Under 19</t>
  </si>
  <si>
    <t>Aged 61+</t>
  </si>
  <si>
    <t>Population</t>
  </si>
  <si>
    <t>Players per 1,000 pop.</t>
  </si>
  <si>
    <t>Facilities 2025</t>
  </si>
  <si>
    <t>Baden-Württemberg</t>
  </si>
  <si>
    <t>Bayern</t>
  </si>
  <si>
    <t>Berlin/Brandenburg</t>
  </si>
  <si>
    <t>Hamburg</t>
  </si>
  <si>
    <t>Hessen</t>
  </si>
  <si>
    <t>Mecklenburg-Vorpommern</t>
  </si>
  <si>
    <t>Niedersachsen/Bremen</t>
  </si>
  <si>
    <t>Nordrhein-Westfalen</t>
  </si>
  <si>
    <t>Rheinland-Pfalz/Saarland</t>
  </si>
  <si>
    <t>Sachsen-Anhalt</t>
  </si>
  <si>
    <t>Sachsen/Thüringen</t>
  </si>
  <si>
    <t>Schleswig-Holstein</t>
  </si>
  <si>
    <t>VcG (non-club members, nationwide)</t>
  </si>
  <si>
    <t>n/a</t>
  </si>
  <si>
    <t>VcG is a nationwide membership category, not a region; it is excluded from all penetration metrics.</t>
  </si>
  <si>
    <t>State association by age band, 2016–2025, long format</t>
  </si>
  <si>
    <t>Source: S1</t>
  </si>
  <si>
    <t>Members aged under 19, 2016–2025</t>
  </si>
  <si>
    <t>M</t>
  </si>
  <si>
    <t>F</t>
  </si>
  <si>
    <t>From awareness to membership: the participation funnel, 2019–2025</t>
  </si>
  <si>
    <t>Allensbach AWA via Statista, in millions, base German-speaking population aged 14+ (S3); DGV membership from S1</t>
  </si>
  <si>
    <t>Stage (millions of people)</t>
  </si>
  <si>
    <t>2019</t>
  </si>
  <si>
    <t>2020</t>
  </si>
  <si>
    <t>2021</t>
  </si>
  <si>
    <t>2022</t>
  </si>
  <si>
    <t>2023</t>
  </si>
  <si>
    <t>2024</t>
  </si>
  <si>
    <t>2025</t>
  </si>
  <si>
    <t>Change 2019–25</t>
  </si>
  <si>
    <t>Aware of golf</t>
  </si>
  <si>
    <t>Interested (strongly or somewhat)</t>
  </si>
  <si>
    <t xml:space="preserve">   of which strongly interested</t>
  </si>
  <si>
    <t>Play golf (often or occasionally)</t>
  </si>
  <si>
    <t xml:space="preserve">   of which play often</t>
  </si>
  <si>
    <t>DGV-registered members</t>
  </si>
  <si>
    <t>Conversion ratios, 2025</t>
  </si>
  <si>
    <t>Ratio</t>
  </si>
  <si>
    <t>Value</t>
  </si>
  <si>
    <t>Interested people per registered member</t>
  </si>
  <si>
    <t>Occasional or frequent players per registered member</t>
  </si>
  <si>
    <t>Registered members as a share of interested people</t>
  </si>
  <si>
    <t>Registered members as a share of people who play</t>
  </si>
  <si>
    <t>Interested but not playing (millions)</t>
  </si>
  <si>
    <t>Playing but not registered (millions)</t>
  </si>
  <si>
    <t>Note: the Allensbach survey base (population aged 14+) and the DGV administrative count are not identical populations. The ratios indicate magnitude, not exact rates.</t>
  </si>
  <si>
    <t>Ready for Excel's native Funnel chart</t>
  </si>
  <si>
    <t>Select A26:B31, then Insert &gt; Insert Waterfall, Funnel, Stock, Surface or Radar Chart &gt; Funnel.</t>
  </si>
  <si>
    <t>Funnel stage</t>
  </si>
  <si>
    <t>People (millions)</t>
  </si>
  <si>
    <t>Interested in golf</t>
  </si>
  <si>
    <t>Play golf at all</t>
  </si>
  <si>
    <t>Play golf often</t>
  </si>
  <si>
    <t>DGV-registered member</t>
  </si>
  <si>
    <t>European benchmark: registered golfers, penetration and female share, 2024</t>
  </si>
  <si>
    <t>The R&amp;A, Global Golf Participation 2024 (S5). Adults are split by gender; juniors counted separately.</t>
  </si>
  <si>
    <t>Country</t>
  </si>
  <si>
    <t>Registered golfers</t>
  </si>
  <si>
    <t>Adult male</t>
  </si>
  <si>
    <t>Adult female</t>
  </si>
  <si>
    <t>Juniors</t>
  </si>
  <si>
    <t>Courses</t>
  </si>
  <si>
    <t>Per 1,000 population</t>
  </si>
  <si>
    <t>Adult female share</t>
  </si>
  <si>
    <t>Golfers per course</t>
  </si>
  <si>
    <t>Population per course</t>
  </si>
  <si>
    <t>Iceland</t>
  </si>
  <si>
    <t>Sweden</t>
  </si>
  <si>
    <t>Scotland</t>
  </si>
  <si>
    <t>Ireland</t>
  </si>
  <si>
    <t>Finland</t>
  </si>
  <si>
    <t>Denmark</t>
  </si>
  <si>
    <t>Norway</t>
  </si>
  <si>
    <t>Netherlands</t>
  </si>
  <si>
    <t>Wales</t>
  </si>
  <si>
    <t>England</t>
  </si>
  <si>
    <t>Switzerland</t>
  </si>
  <si>
    <t>Austria</t>
  </si>
  <si>
    <t>Germany</t>
  </si>
  <si>
    <t>Belgium</t>
  </si>
  <si>
    <t>France</t>
  </si>
  <si>
    <t>Spain</t>
  </si>
  <si>
    <t>Italy</t>
  </si>
  <si>
    <t>Europe total</t>
  </si>
  <si>
    <t>Top 15 Olympic sports federations in Germany</t>
  </si>
  <si>
    <t>DOSB membership survey as at 1 January 2025 (2024 data), cited in S1 (S10)</t>
  </si>
  <si>
    <t>Rank</t>
  </si>
  <si>
    <t>Sports federation</t>
  </si>
  <si>
    <t>Members</t>
  </si>
  <si>
    <t>German Football Association</t>
  </si>
  <si>
    <t>German Gymnastics Federation</t>
  </si>
  <si>
    <t>German Tennis Federation</t>
  </si>
  <si>
    <t>German Alpine Club</t>
  </si>
  <si>
    <t>German Shooting Federation</t>
  </si>
  <si>
    <t>German Athletics Federation</t>
  </si>
  <si>
    <t>German Handball Federation</t>
  </si>
  <si>
    <t>German Golf Federation (DGV)</t>
  </si>
  <si>
    <t>German Equestrian Federation</t>
  </si>
  <si>
    <t>German Life Saving Association</t>
  </si>
  <si>
    <t>German Swimming Federation</t>
  </si>
  <si>
    <t>German Table Tennis Federation</t>
  </si>
  <si>
    <t>German Ski Federation</t>
  </si>
  <si>
    <t>German Disabled Sports Federation</t>
  </si>
  <si>
    <t>German Volleyball Federation</t>
  </si>
  <si>
    <t>Clubs and players, 1951–2025</t>
  </si>
  <si>
    <t>Source: S4 (Statista IDs 6888, 6892)</t>
  </si>
  <si>
    <t>Players per club</t>
  </si>
  <si>
    <t>Derived metrics</t>
  </si>
  <si>
    <t>Live formulas into the data sheets — edit the raw data and these follow</t>
  </si>
  <si>
    <t>A)  Growth by age band, 2016 to 2025</t>
  </si>
  <si>
    <t>2016</t>
  </si>
  <si>
    <t>Share of total 2025</t>
  </si>
  <si>
    <t>Contribution to net growth</t>
  </si>
  <si>
    <t>B)  Market penetration by state association (VcG excluded)</t>
  </si>
  <si>
    <t>Change (%) 2016–25</t>
  </si>
  <si>
    <t>Density rank</t>
  </si>
  <si>
    <t>vs national average</t>
  </si>
  <si>
    <t>C)  Ready for Excel's native Waterfall chart — net change by age band, 2016 to 2025</t>
  </si>
  <si>
    <t>Select A38:B49, then Insert &gt; Insert Waterfall, Funnel, Stock, Surface or Radar Chart &gt; Waterfall. Right-click the Total bar &gt; Set as Total.</t>
  </si>
  <si>
    <t>Net change 2016–2025</t>
  </si>
  <si>
    <t>D)  Headline figures for the KPI tiles</t>
  </si>
  <si>
    <t>Change vs 2024 (abs.)</t>
  </si>
  <si>
    <t>Change vs 2024 (%)</t>
  </si>
  <si>
    <t>Change 2016–2025 (%)</t>
  </si>
  <si>
    <t>Female share 2025</t>
  </si>
  <si>
    <t>Change in female share since 2016 (pp)</t>
  </si>
  <si>
    <t>Share aged 61 and over 2025</t>
  </si>
  <si>
    <t>Share aged under 19 2025</t>
  </si>
  <si>
    <t>Under-19 members vs 2016 (%)</t>
  </si>
  <si>
    <t>Golf facilities 2025</t>
  </si>
  <si>
    <t>National penetration (per 1,000 pop.)</t>
  </si>
  <si>
    <t>Interested people per member (2025)</t>
  </si>
  <si>
    <t>People interested but not playing (m)</t>
  </si>
  <si>
    <t>Sweden penetration (per 1,000 pop.)</t>
  </si>
  <si>
    <t>Chart selection guide (ICT702 Module 3)</t>
  </si>
  <si>
    <t>Four analytical goals from Module 3.2; chart guidance from Module 3.4 and Selecting a Chart Type, Parts 1–3</t>
  </si>
  <si>
    <t>Chart type</t>
  </si>
  <si>
    <t>Relationship</t>
  </si>
  <si>
    <t>Distribution</t>
  </si>
  <si>
    <t>Composition</t>
  </si>
  <si>
    <t>Ranking</t>
  </si>
  <si>
    <t>When to use it</t>
  </si>
  <si>
    <t>Scatter</t>
  </si>
  <si>
    <t>●</t>
  </si>
  <si>
    <t>Two quantitative variables; shows correlation and spread.</t>
  </si>
  <si>
    <t>Bubble</t>
  </si>
  <si>
    <t>Three quantitative variables; third encoded as bubble size.</t>
  </si>
  <si>
    <t>Line</t>
  </si>
  <si>
    <t>Time series. Connecting points implies continuity and makes trends visible.</t>
  </si>
  <si>
    <t>Stock</t>
  </si>
  <si>
    <t>Time against price ranges (high–low–close).</t>
  </si>
  <si>
    <t>Column</t>
  </si>
  <si>
    <t>Categories, and distribution over time. Preferred over bar for time series.</t>
  </si>
  <si>
    <t>Bar</t>
  </si>
  <si>
    <t>Categories with long labels; sorted bar is the standard for ranking.</t>
  </si>
  <si>
    <t>Heat map</t>
  </si>
  <si>
    <t>Relationships between two categorical dimensions, magnitude by colour.</t>
  </si>
  <si>
    <t>Choropleth</t>
  </si>
  <si>
    <t>Quantitative or categorical values across a geographical area.</t>
  </si>
  <si>
    <t>Stacked bar</t>
  </si>
  <si>
    <t>Composition within each category plus the total.</t>
  </si>
  <si>
    <t>Stacked column</t>
  </si>
  <si>
    <t>Composition over time plus the total.</t>
  </si>
  <si>
    <t>Treemap</t>
  </si>
  <si>
    <t>Composition of a hierarchy of categorical variables.</t>
  </si>
  <si>
    <t>Waterfall</t>
  </si>
  <si>
    <t>How a quantitative total is built up or eroded across categories or time.</t>
  </si>
  <si>
    <t>Funnel</t>
  </si>
  <si>
    <t>Drill-down from a whole to its parts across sequential stages.</t>
  </si>
  <si>
    <t>Histogram</t>
  </si>
  <si>
    <t>Distribution of one quantitative variable across bins (Module 6).</t>
  </si>
  <si>
    <t>Frequency polygon</t>
  </si>
  <si>
    <t>Distribution as a line; good for comparing two groups (Module 6).</t>
  </si>
  <si>
    <t>Slope</t>
  </si>
  <si>
    <t>Change between exactly two points in time across categories (Module 8).</t>
  </si>
  <si>
    <t>Table</t>
  </si>
  <si>
    <t>Exact values, precise comparisons, or mixed units and magnitudes.</t>
  </si>
  <si>
    <t>Chart types to avoid (Module 3.4)</t>
  </si>
  <si>
    <t>Avoid</t>
  </si>
  <si>
    <t>Why</t>
  </si>
  <si>
    <t>Use instead</t>
  </si>
  <si>
    <t>Pie chart</t>
  </si>
  <si>
    <t>People judge length better than angle or area; many colours raise cognitive load.</t>
  </si>
  <si>
    <t>Bar chart</t>
  </si>
  <si>
    <t>Radar chart</t>
  </si>
  <si>
    <t>Hard to interpret; overlapping axes.</t>
  </si>
  <si>
    <t>Clustered column chart</t>
  </si>
  <si>
    <t>Area chart</t>
  </si>
  <si>
    <t>Cluttered and hard to read when series overlap.</t>
  </si>
  <si>
    <t>Multiple line chart</t>
  </si>
  <si>
    <t>Combo chart</t>
  </si>
  <si>
    <t>Two scales on one frame are cluttered and easy to misread.</t>
  </si>
  <si>
    <t>Two separate charts</t>
  </si>
  <si>
    <t>3D chart</t>
  </si>
  <si>
    <t>The third dimension adds clutter without adding information.</t>
  </si>
  <si>
    <t>The 2D equivalent</t>
  </si>
  <si>
    <t>None of the five appears in this dashboard.</t>
  </si>
  <si>
    <t>Design rationale: every choice traced to a course concept</t>
  </si>
  <si>
    <t>Source material for the 400-word statement on theories and principles (Criterion 3)</t>
  </si>
  <si>
    <t>A)  Chart-by-chart justification</t>
  </si>
  <si>
    <t>#</t>
  </si>
  <si>
    <t>Visualisation</t>
  </si>
  <si>
    <t>Analytical goal</t>
  </si>
  <si>
    <t>Data type</t>
  </si>
  <si>
    <t>Why this chart, and the principle behind it</t>
  </si>
  <si>
    <t>Membership 2016–2025 (line)</t>
  </si>
  <si>
    <t>Relationship / trend</t>
  </si>
  <si>
    <t>Time series, quantitative</t>
  </si>
  <si>
    <t>Module 3: line charts suit time series because connecting points implies continuity. Gestalt principle of connection (Module 4) makes the 2020–21 surge and the 2023 dip read as one story.</t>
  </si>
  <si>
    <t>Participation funnel (funnel)</t>
  </si>
  <si>
    <t>Cross-sectional, quantitative</t>
  </si>
  <si>
    <t>Module 3.4: a funnel drills down from the whole to individual parts. Stage order is inherent, so position encodes sequence and length encodes magnitude — both strong pre-attentive attributes.</t>
  </si>
  <si>
    <t>Net change by age band (waterfall / bar)</t>
  </si>
  <si>
    <t>Categorical (ordinal) × quantitative</t>
  </si>
  <si>
    <t>Module 3.4: a waterfall shows how a quantitative total is built up and eroded across categories. Diverging colour at the zero reference value (Module 5) separates gains from losses pre-attentively.</t>
  </si>
  <si>
    <t>Male and female members (multiple line)</t>
  </si>
  <si>
    <t>Relationship / comparison</t>
  </si>
  <si>
    <t>Time series × categorical</t>
  </si>
  <si>
    <t>Module 3: a multiple line chart is less cluttered than a clustered column chart for two series over time. Blue and orange are held constant for gender across the whole dashboard (Module 5, consistency).</t>
  </si>
  <si>
    <t>Penetration by state (sorted bar)</t>
  </si>
  <si>
    <t>Categorical × quantitative</t>
  </si>
  <si>
    <t>Module 3.4: rank order is best shown by a sorted bar chart. Bar rather than column because the state names are long (Module 3, Part 1). Diverging colour marks the national average as reference.</t>
  </si>
  <si>
    <t>European benchmark (sorted bar)</t>
  </si>
  <si>
    <t>Same ranking logic. Highlight scheme from Module 5: the focus country keeps the hue, all context countries turn grey, which cuts cognitive load and directs attention without a legend.</t>
  </si>
  <si>
    <t>B)  Principles applied across the dashboard</t>
  </si>
  <si>
    <t>Principle</t>
  </si>
  <si>
    <t>Module</t>
  </si>
  <si>
    <t>How it is applied here</t>
  </si>
  <si>
    <t>Pre-attentive: colour</t>
  </si>
  <si>
    <t>Module 4</t>
  </si>
  <si>
    <t>Hue carries meaning throughout: blue for male and for volume measures, orange for female and for shortfalls. Nothing is coloured decoratively.</t>
  </si>
  <si>
    <t>Pre-attentive: length</t>
  </si>
  <si>
    <t>Every comparison is encoded as bar or line length, the attribute people judge most accurately. No angle or area encodings are used anywhere.</t>
  </si>
  <si>
    <t>Pre-attentive: spatial position</t>
  </si>
  <si>
    <t>Reading order runs left to right and top to bottom: state of play, then the opportunity, then the structural problem, then where to act.</t>
  </si>
  <si>
    <t>Gestalt: similarity</t>
  </si>
  <si>
    <t>Identical colour encoding across all six charts signals that the same entity is meant.</t>
  </si>
  <si>
    <t>Gestalt: proximity</t>
  </si>
  <si>
    <t>KPI tiles sit as one band directly under the title; each chart sits directly under its own heading.</t>
  </si>
  <si>
    <t>Gestalt: enclosure</t>
  </si>
  <si>
    <t>The title bar and the KPI tiles are filled blocks, which separates the summary layer from the charts.</t>
  </si>
  <si>
    <t>Gestalt: connection</t>
  </si>
  <si>
    <t>Lines connect the time-series markers so trends read as continuous movement, not isolated points.</t>
  </si>
  <si>
    <t>Data-ink ratio</t>
  </si>
  <si>
    <t>Gridlines removed, no chart borders, no decorative fills, legends dropped wherever a single series or a direct label already identifies the data.</t>
  </si>
  <si>
    <t>Minimising eye travel</t>
  </si>
  <si>
    <t>Each chart carries a sentence-style heading that states the finding, so the reader does not have to decode the chart before knowing what it says.</t>
  </si>
  <si>
    <t>Font choice</t>
  </si>
  <si>
    <t>Calibri throughout — sans-serif, which the module recommends for on-screen visualisation because it stays legible at small sizes.</t>
  </si>
  <si>
    <t>Number formatting</t>
  </si>
  <si>
    <t>Numeric columns right-aligned with a consistent number of decimals; large counts use thousands separators and percentages one decimal.</t>
  </si>
  <si>
    <t>Categorical colour scheme</t>
  </si>
  <si>
    <t>Module 5</t>
  </si>
  <si>
    <t>Two hues only, well inside the six-colour ceiling the module sets for categorical schemes.</t>
  </si>
  <si>
    <t>Diverging colour scheme</t>
  </si>
  <si>
    <t>Used twice, each time around a meaningful reference value: zero change for age bands, the national average for state penetration.</t>
  </si>
  <si>
    <t>Highlight scheme</t>
  </si>
  <si>
    <t>On the European benchmark the subject country keeps the hue and everything else turns grey.</t>
  </si>
  <si>
    <t>Colour-vision deficiency</t>
  </si>
  <si>
    <t>Blue #0072B2 and orange #E69F00 from the Okabe-Ito palette remain separable under deuteranopia, protanopia and tritanopia — the module names neglecting colourblindness as a common mistake.</t>
  </si>
  <si>
    <t>Consistency across charts</t>
  </si>
  <si>
    <t>The module's own worked example uses orange and blue for two fixed groups across a series of charts; the same discipline is kept here.</t>
  </si>
  <si>
    <t>Contrast</t>
  </si>
  <si>
    <t>Luminance differs markedly between the two hues and against the light ground, so the pair stays readable in print as well as on screen.</t>
  </si>
  <si>
    <t>C)  Preparation stages (Criterion 3 asks for the whole pipeline)</t>
  </si>
  <si>
    <t>1  Source selection</t>
  </si>
  <si>
    <t>Ten DGV yearbooks as the primary series; Allensbach for latent demand; the R&amp;A for international benchmarking; Destatis for population denominators.</t>
  </si>
  <si>
    <t>2  Extraction</t>
  </si>
  <si>
    <t>Tables extracted from the published PDFs rather than retyped, so transcription error is removed as a failure mode.</t>
  </si>
  <si>
    <t>3  Validation</t>
  </si>
  <si>
    <t>For every year 2016–2025, four independently published figures reconcile exactly: the age-by-gender table, the thirteen state rows, the national player series and the facility counts.</t>
  </si>
  <si>
    <t>4  Structuring</t>
  </si>
  <si>
    <t>Wide tables kept in the published shape for auditability; parallel long-format tables added so PivotTables can be built without restructuring anything.</t>
  </si>
  <si>
    <t>5  Derivation</t>
  </si>
  <si>
    <t>Rates, shares and per-capita measures written as live formulas rather than pasted values, so the dashboard recalculates if a source is updated.</t>
  </si>
  <si>
    <t>6  Chart selection</t>
  </si>
  <si>
    <t>Each visualisation matched to one of the four analytical goals before a chart type was chosen.</t>
  </si>
  <si>
    <t>7  Design refinement</t>
  </si>
  <si>
    <t>Decluttering, colour encoding, sorting and labelling applied as a deliberate pass, not left at Excel defaults — which Module 4 names as a common mistake.</t>
  </si>
  <si>
    <t>1   Golf memberships 2016–2025: a record total built on a narrow base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</si>
</sst>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0.0%"/>
    <numFmt numFmtId="165" formatCode="\+0.0%;\-0.0%"/>
    <numFmt numFmtId="166" formatCode="#,##0.0"/>
    <numFmt numFmtId="167" formatCode="\+#,##0.0;\-#,##0.0"/>
    <numFmt numFmtId="168" formatCode="\+#,##0;\-#,##0"/>
    <numFmt numFmtId="169" formatCode="\+0.00;\-0.00"/>
  </numFmts>
  <fonts count="17" x14ac:knownFonts="1">
    <font>
      <sz val="11"/>
      <color theme="1"/>
      <name val="Calibri"/>
      <family val="2"/>
      <scheme val="minor"/>
    </font>
    <font>
      <b/>
      <sz val="14"/>
      <color rgb="FF1A1A1A"/>
      <name val="Calibri"/>
      <family val="2"/>
    </font>
    <font>
      <i/>
      <sz val="9"/>
      <color rgb="FF595959"/>
      <name val="Calibri"/>
      <family val="2"/>
    </font>
    <font>
      <b/>
      <sz val="10"/>
      <name val="Calibri"/>
      <family val="2"/>
    </font>
    <font>
      <b/>
      <sz val="10"/>
      <color rgb="FFFFFFFF"/>
      <name val="Calibri"/>
      <family val="2"/>
    </font>
    <font>
      <b/>
      <sz val="11"/>
      <name val="Calibri"/>
      <family val="2"/>
    </font>
    <font>
      <b/>
      <sz val="11"/>
      <color rgb="FFFFFFFF"/>
      <name val="Calibri"/>
      <family val="2"/>
    </font>
    <font>
      <sz val="10"/>
      <name val="Calibri"/>
      <family val="2"/>
    </font>
    <font>
      <b/>
      <sz val="11"/>
      <name val="Calibri"/>
      <family val="2"/>
    </font>
    <font>
      <b/>
      <sz val="12"/>
      <color rgb="FF0072B2"/>
      <name val="Calibri"/>
      <family val="2"/>
    </font>
    <font>
      <sz val="9"/>
      <name val="Calibri"/>
      <family val="2"/>
    </font>
    <font>
      <sz val="9"/>
      <color rgb="FF595959"/>
      <name val="Calibri"/>
      <family val="2"/>
    </font>
    <font>
      <b/>
      <sz val="20"/>
      <color rgb="FFFFFFFF"/>
      <name val="Calibri"/>
      <family val="2"/>
    </font>
    <font>
      <b/>
      <sz val="9"/>
      <color rgb="FFFFFFFF"/>
      <name val="Calibri"/>
      <family val="2"/>
    </font>
    <font>
      <b/>
      <sz val="19"/>
      <color rgb="FF1A1A1A"/>
      <name val="Calibri"/>
      <family val="2"/>
    </font>
    <font>
      <b/>
      <sz val="11"/>
      <color rgb="FF1A1A1A"/>
      <name val="Calibri"/>
      <family val="2"/>
    </font>
    <font>
      <i/>
      <sz val="8"/>
      <color rgb="FF595959"/>
      <name val="Calibri"/>
      <family val="2"/>
    </font>
  </fonts>
  <fills count="8">
    <fill>
      <patternFill patternType="none"/>
    </fill>
    <fill>
      <patternFill patternType="gray125"/>
    </fill>
    <fill>
      <patternFill patternType="solid">
        <fgColor rgb="FF0072B2"/>
      </patternFill>
    </fill>
    <fill>
      <patternFill patternType="solid">
        <fgColor rgb="FF1A1A1A"/>
      </patternFill>
    </fill>
    <fill>
      <patternFill patternType="solid">
        <fgColor rgb="FFFDF0D5"/>
      </patternFill>
    </fill>
    <fill>
      <patternFill patternType="solid">
        <fgColor rgb="FFF2F2F2"/>
      </patternFill>
    </fill>
    <fill>
      <patternFill patternType="solid">
        <fgColor rgb="FFE69F00"/>
      </patternFill>
    </fill>
    <fill>
      <patternFill patternType="solid">
        <fgColor rgb="FF999999"/>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53">
    <xf numFmtId="0" fontId="0" fillId="0" borderId="0" xfId="0"/>
    <xf numFmtId="0" fontId="1" fillId="0" borderId="0" xfId="0" applyFont="1"/>
    <xf numFmtId="0" fontId="2" fillId="0" borderId="0" xfId="0" applyFont="1"/>
    <xf numFmtId="0" fontId="3" fillId="0" borderId="0" xfId="0" applyFont="1"/>
    <xf numFmtId="0" fontId="0" fillId="0" borderId="0" xfId="0" applyAlignment="1">
      <alignment vertical="top" wrapText="1"/>
    </xf>
    <xf numFmtId="0" fontId="4" fillId="2" borderId="1" xfId="0" applyFont="1" applyFill="1" applyBorder="1" applyAlignment="1">
      <alignment horizontal="center" vertical="center" wrapText="1"/>
    </xf>
    <xf numFmtId="0" fontId="0" fillId="0" borderId="1" xfId="0" applyBorder="1"/>
    <xf numFmtId="3" fontId="0" fillId="0" borderId="1" xfId="0" applyNumberFormat="1" applyBorder="1"/>
    <xf numFmtId="164" fontId="0" fillId="0" borderId="1" xfId="0" applyNumberFormat="1" applyBorder="1"/>
    <xf numFmtId="165" fontId="0" fillId="0" borderId="1" xfId="0" applyNumberFormat="1" applyBorder="1"/>
    <xf numFmtId="166" fontId="0" fillId="0" borderId="1" xfId="0" applyNumberFormat="1" applyBorder="1"/>
    <xf numFmtId="0" fontId="5" fillId="0" borderId="0" xfId="0" applyFont="1"/>
    <xf numFmtId="0" fontId="7" fillId="0" borderId="1" xfId="0" applyFont="1" applyBorder="1"/>
    <xf numFmtId="0" fontId="5" fillId="0" borderId="1" xfId="0" applyFont="1" applyBorder="1"/>
    <xf numFmtId="3" fontId="5" fillId="0" borderId="1" xfId="0" applyNumberFormat="1" applyFont="1" applyBorder="1"/>
    <xf numFmtId="3" fontId="0" fillId="0" borderId="0" xfId="0" applyNumberFormat="1"/>
    <xf numFmtId="165" fontId="5" fillId="0" borderId="1" xfId="0" applyNumberFormat="1" applyFont="1" applyBorder="1"/>
    <xf numFmtId="164" fontId="5" fillId="0" borderId="1" xfId="0" applyNumberFormat="1" applyFont="1" applyBorder="1"/>
    <xf numFmtId="4" fontId="0" fillId="0" borderId="1" xfId="0" applyNumberFormat="1" applyBorder="1"/>
    <xf numFmtId="0" fontId="8" fillId="0" borderId="0" xfId="0" applyFont="1"/>
    <xf numFmtId="4" fontId="5" fillId="0" borderId="1" xfId="0" applyNumberFormat="1" applyFont="1" applyBorder="1"/>
    <xf numFmtId="0" fontId="5" fillId="4" borderId="1" xfId="0" applyFont="1" applyFill="1" applyBorder="1"/>
    <xf numFmtId="3" fontId="5" fillId="4" borderId="1" xfId="0" applyNumberFormat="1" applyFont="1" applyFill="1" applyBorder="1"/>
    <xf numFmtId="166" fontId="5" fillId="4" borderId="1" xfId="0" applyNumberFormat="1" applyFont="1" applyFill="1" applyBorder="1"/>
    <xf numFmtId="164" fontId="5" fillId="4" borderId="1" xfId="0" applyNumberFormat="1" applyFont="1" applyFill="1" applyBorder="1"/>
    <xf numFmtId="166" fontId="5" fillId="0" borderId="1" xfId="0" applyNumberFormat="1" applyFont="1" applyBorder="1"/>
    <xf numFmtId="165" fontId="5" fillId="4" borderId="1" xfId="0" applyNumberFormat="1" applyFont="1" applyFill="1" applyBorder="1"/>
    <xf numFmtId="167" fontId="0" fillId="0" borderId="1" xfId="0" applyNumberFormat="1" applyBorder="1"/>
    <xf numFmtId="168" fontId="0" fillId="0" borderId="1" xfId="0" applyNumberFormat="1" applyBorder="1"/>
    <xf numFmtId="168" fontId="5" fillId="0" borderId="1" xfId="0" applyNumberFormat="1" applyFont="1" applyBorder="1"/>
    <xf numFmtId="169" fontId="5" fillId="0" borderId="1" xfId="0" applyNumberFormat="1" applyFont="1" applyBorder="1"/>
    <xf numFmtId="0" fontId="9" fillId="0" borderId="1" xfId="0" applyFont="1" applyBorder="1" applyAlignment="1">
      <alignment horizontal="center"/>
    </xf>
    <xf numFmtId="0" fontId="0" fillId="0" borderId="1" xfId="0" applyBorder="1" applyAlignment="1">
      <alignment horizontal="center"/>
    </xf>
    <xf numFmtId="0" fontId="3" fillId="0" borderId="1" xfId="0" applyFont="1" applyBorder="1"/>
    <xf numFmtId="0" fontId="10" fillId="0" borderId="1" xfId="0" applyFont="1" applyBorder="1" applyAlignment="1">
      <alignment vertical="top" wrapText="1"/>
    </xf>
    <xf numFmtId="0" fontId="11" fillId="0" borderId="1" xfId="0" applyFont="1" applyBorder="1"/>
    <xf numFmtId="0" fontId="15" fillId="0" borderId="0" xfId="0" applyFont="1"/>
    <xf numFmtId="0" fontId="6" fillId="3" borderId="0" xfId="0" applyFont="1" applyFill="1" applyAlignment="1">
      <alignment horizontal="center"/>
    </xf>
    <xf numFmtId="0" fontId="0" fillId="0" borderId="0" xfId="0"/>
    <xf numFmtId="0" fontId="12" fillId="2" borderId="0" xfId="0" applyFont="1" applyFill="1" applyAlignment="1">
      <alignment horizontal="left" vertical="center" indent="1"/>
    </xf>
    <xf numFmtId="0" fontId="0" fillId="2" borderId="0" xfId="0" applyFill="1"/>
    <xf numFmtId="0" fontId="13" fillId="6" borderId="0" xfId="0" applyFont="1" applyFill="1" applyAlignment="1">
      <alignment horizontal="center" vertical="center"/>
    </xf>
    <xf numFmtId="0" fontId="0" fillId="6" borderId="0" xfId="0" applyFill="1"/>
    <xf numFmtId="165" fontId="14" fillId="5" borderId="0" xfId="0" applyNumberFormat="1" applyFont="1" applyFill="1" applyAlignment="1">
      <alignment horizontal="center" vertical="center"/>
    </xf>
    <xf numFmtId="0" fontId="0" fillId="5" borderId="0" xfId="0" applyFill="1"/>
    <xf numFmtId="3" fontId="14" fillId="5" borderId="0" xfId="0" applyNumberFormat="1" applyFont="1" applyFill="1" applyAlignment="1">
      <alignment horizontal="center" vertical="center"/>
    </xf>
    <xf numFmtId="166" fontId="14" fillId="5" borderId="0" xfId="0" applyNumberFormat="1" applyFont="1" applyFill="1" applyAlignment="1">
      <alignment horizontal="center" vertical="center"/>
    </xf>
    <xf numFmtId="0" fontId="16" fillId="0" borderId="0" xfId="0" applyFont="1" applyAlignment="1">
      <alignment vertical="top" wrapText="1" indent="1"/>
    </xf>
    <xf numFmtId="164" fontId="14" fillId="5" borderId="0" xfId="0" applyNumberFormat="1" applyFont="1" applyFill="1" applyAlignment="1">
      <alignment horizontal="center" vertical="center"/>
    </xf>
    <xf numFmtId="0" fontId="2" fillId="0" borderId="0" xfId="0" applyFont="1" applyAlignment="1">
      <alignment horizontal="left" indent="1"/>
    </xf>
    <xf numFmtId="0" fontId="13" fillId="2" borderId="0" xfId="0" applyFont="1" applyFill="1" applyAlignment="1">
      <alignment horizontal="center" vertical="center"/>
    </xf>
    <xf numFmtId="0" fontId="13" fillId="7" borderId="0" xfId="0" applyFont="1" applyFill="1" applyAlignment="1">
      <alignment horizontal="center" vertical="center"/>
    </xf>
    <xf numFmtId="0" fontId="0" fillId="7" borderId="0" xfId="0" applyFill="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26" Type="http://schemas.microsoft.com/office/2017/06/relationships/rdSupportingPropertyBag" Target="richData/rdsupportingpropertybag.xml"/><Relationship Id="rId3" Type="http://schemas.openxmlformats.org/officeDocument/2006/relationships/worksheet" Target="worksheets/sheet3.xml"/><Relationship Id="rId21" Type="http://schemas.microsoft.com/office/2017/06/relationships/rdRichValue" Target="richData/rdrichvalue.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5" Type="http://schemas.microsoft.com/office/2017/06/relationships/rdSupportingPropertyBagStructure" Target="richData/rdsupportingpropertybagstructure.xml"/><Relationship Id="rId2" Type="http://schemas.openxmlformats.org/officeDocument/2006/relationships/worksheet" Target="worksheets/sheet2.xml"/><Relationship Id="rId16" Type="http://schemas.openxmlformats.org/officeDocument/2006/relationships/theme" Target="theme/theme1.xml"/><Relationship Id="rId20" Type="http://schemas.microsoft.com/office/2020/07/relationships/rdRichValueWebImage" Target="richData/rdRichValueWebImage.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microsoft.com/office/2017/06/relationships/richStyles" Target="richData/rich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microsoft.com/office/2017/06/relationships/rdArray" Target="richData/rdarray.xml"/><Relationship Id="rId28"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sheetMetadata" Target="metadata.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microsoft.com/office/2017/06/relationships/rdRichValueStructure" Target="richData/rdrichvaluestructure.xml"/><Relationship Id="rId27" Type="http://schemas.microsoft.com/office/2017/06/relationships/rdRichValueTypes" Target="richData/rdRichValueTypes.xml"/></Relationships>
</file>

<file path=xl/charts/_rels/chartEx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autoTitleDeleted val="1"/>
    <c:plotArea>
      <c:layout>
        <c:manualLayout>
          <c:layoutTarget val="inner"/>
          <c:xMode val="edge"/>
          <c:yMode val="edge"/>
          <c:x val="0.12204252910178455"/>
          <c:y val="4.7110685821622096E-2"/>
          <c:w val="0.85620683932028419"/>
          <c:h val="0.84658906766936382"/>
        </c:manualLayout>
      </c:layout>
      <c:lineChart>
        <c:grouping val="standard"/>
        <c:varyColors val="1"/>
        <c:ser>
          <c:idx val="0"/>
          <c:order val="0"/>
          <c:tx>
            <c:strRef>
              <c:f>'01_Timeseries'!$B$4</c:f>
              <c:strCache>
                <c:ptCount val="1"/>
                <c:pt idx="0">
                  <c:v>Players</c:v>
                </c:pt>
              </c:strCache>
            </c:strRef>
          </c:tx>
          <c:spPr>
            <a:ln w="28000">
              <a:solidFill>
                <a:srgbClr val="0072B2"/>
              </a:solidFill>
              <a:prstDash val="solid"/>
            </a:ln>
          </c:spPr>
          <c:marker>
            <c:symbol val="circle"/>
            <c:size val="6"/>
            <c:spPr>
              <a:ln>
                <a:prstDash val="solid"/>
              </a:ln>
            </c:spPr>
          </c:marker>
          <c:cat>
            <c:numRef>
              <c:f>'01_Timeseries'!$A$5:$A$14</c:f>
              <c:numCache>
                <c:formatCode>General</c:formatCode>
                <c:ptCount val="10"/>
                <c:pt idx="0">
                  <c:v>2016</c:v>
                </c:pt>
                <c:pt idx="1">
                  <c:v>2017</c:v>
                </c:pt>
                <c:pt idx="2">
                  <c:v>2018</c:v>
                </c:pt>
                <c:pt idx="3">
                  <c:v>2019</c:v>
                </c:pt>
                <c:pt idx="4">
                  <c:v>2020</c:v>
                </c:pt>
                <c:pt idx="5">
                  <c:v>2021</c:v>
                </c:pt>
                <c:pt idx="6">
                  <c:v>2022</c:v>
                </c:pt>
                <c:pt idx="7">
                  <c:v>2023</c:v>
                </c:pt>
                <c:pt idx="8">
                  <c:v>2024</c:v>
                </c:pt>
                <c:pt idx="9">
                  <c:v>2025</c:v>
                </c:pt>
              </c:numCache>
            </c:numRef>
          </c:cat>
          <c:val>
            <c:numRef>
              <c:f>'01_Timeseries'!$B$5:$B$14</c:f>
              <c:numCache>
                <c:formatCode>#,##0</c:formatCode>
                <c:ptCount val="10"/>
                <c:pt idx="0">
                  <c:v>643158</c:v>
                </c:pt>
                <c:pt idx="1">
                  <c:v>644943</c:v>
                </c:pt>
                <c:pt idx="2">
                  <c:v>642240</c:v>
                </c:pt>
                <c:pt idx="3">
                  <c:v>642677</c:v>
                </c:pt>
                <c:pt idx="4">
                  <c:v>651417</c:v>
                </c:pt>
                <c:pt idx="5">
                  <c:v>673983</c:v>
                </c:pt>
                <c:pt idx="6">
                  <c:v>682942</c:v>
                </c:pt>
                <c:pt idx="7">
                  <c:v>682126</c:v>
                </c:pt>
                <c:pt idx="8">
                  <c:v>686708</c:v>
                </c:pt>
                <c:pt idx="9">
                  <c:v>695617</c:v>
                </c:pt>
              </c:numCache>
            </c:numRef>
          </c:val>
          <c:smooth val="0"/>
          <c:extLst>
            <c:ext xmlns:c16="http://schemas.microsoft.com/office/drawing/2014/chart" uri="{C3380CC4-5D6E-409C-BE32-E72D297353CC}">
              <c16:uniqueId val="{00000000-ED0B-BA48-8D52-378FD2FBB671}"/>
            </c:ext>
          </c:extLst>
        </c:ser>
        <c:dLbls>
          <c:showLegendKey val="0"/>
          <c:showVal val="0"/>
          <c:showCatName val="0"/>
          <c:showSerName val="0"/>
          <c:showPercent val="0"/>
          <c:showBubbleSize val="0"/>
        </c:dLbls>
        <c:marker val="1"/>
        <c:smooth val="0"/>
        <c:axId val="10"/>
        <c:axId val="100"/>
      </c:lineChart>
      <c:catAx>
        <c:axId val="10"/>
        <c:scaling>
          <c:orientation val="minMax"/>
        </c:scaling>
        <c:delete val="0"/>
        <c:axPos val="b"/>
        <c:numFmt formatCode="General" sourceLinked="1"/>
        <c:majorTickMark val="none"/>
        <c:minorTickMark val="none"/>
        <c:tickLblPos val="nextTo"/>
        <c:crossAx val="100"/>
        <c:crosses val="autoZero"/>
        <c:auto val="1"/>
        <c:lblAlgn val="ctr"/>
        <c:lblOffset val="100"/>
        <c:noMultiLvlLbl val="1"/>
      </c:catAx>
      <c:valAx>
        <c:axId val="100"/>
        <c:scaling>
          <c:orientation val="minMax"/>
          <c:min val="620000"/>
        </c:scaling>
        <c:delete val="0"/>
        <c:axPos val="l"/>
        <c:majorGridlines>
          <c:spPr>
            <a:ln>
              <a:solidFill>
                <a:schemeClr val="tx1">
                  <a:alpha val="27139"/>
                </a:schemeClr>
              </a:solidFill>
            </a:ln>
          </c:spPr>
        </c:majorGridlines>
        <c:title>
          <c:tx>
            <c:rich>
              <a:bodyPr/>
              <a:lstStyle/>
              <a:p>
                <a:pPr>
                  <a:defRPr/>
                </a:pPr>
                <a:r>
                  <a:rPr lang="en-GB"/>
                  <a:t>Players</a:t>
                </a:r>
              </a:p>
            </c:rich>
          </c:tx>
          <c:overlay val="1"/>
        </c:title>
        <c:numFmt formatCode="#,##0" sourceLinked="0"/>
        <c:majorTickMark val="out"/>
        <c:minorTickMark val="none"/>
        <c:tickLblPos val="nextTo"/>
        <c:spPr>
          <a:ln/>
        </c:spPr>
        <c:crossAx val="10"/>
        <c:crosses val="autoZero"/>
        <c:crossBetween val="between"/>
      </c:valAx>
    </c:plotArea>
    <c:plotVisOnly val="1"/>
    <c:dispBlanksAs val="gap"/>
    <c:showDLblsOverMax val="1"/>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title>
      <c:tx>
        <c:rich>
          <a:bodyPr/>
          <a:lstStyle/>
          <a:p>
            <a:pPr>
              <a:defRPr/>
            </a:pPr>
            <a:r>
              <a:rPr lang="en-GB"/>
              <a:t>From awareness to membership, 2025 (millions)</a:t>
            </a:r>
          </a:p>
        </c:rich>
      </c:tx>
      <c:overlay val="1"/>
    </c:title>
    <c:autoTitleDeleted val="0"/>
    <c:plotArea>
      <c:layout/>
      <c:barChart>
        <c:barDir val="bar"/>
        <c:grouping val="clustered"/>
        <c:varyColors val="1"/>
        <c:ser>
          <c:idx val="0"/>
          <c:order val="0"/>
          <c:tx>
            <c:strRef>
              <c:f>'07_Funnel'!$H$4</c:f>
              <c:strCache>
                <c:ptCount val="1"/>
                <c:pt idx="0">
                  <c:v>2025</c:v>
                </c:pt>
              </c:strCache>
            </c:strRef>
          </c:tx>
          <c:spPr>
            <a:solidFill>
              <a:srgbClr val="E69F00"/>
            </a:solidFill>
            <a:ln>
              <a:prstDash val="solid"/>
            </a:ln>
          </c:spPr>
          <c:invertIfNegative val="1"/>
          <c:cat>
            <c:strRef>
              <c:f>'07_Funnel'!$A$5:$A$10</c:f>
              <c:strCache>
                <c:ptCount val="6"/>
                <c:pt idx="0">
                  <c:v>Aware of golf</c:v>
                </c:pt>
                <c:pt idx="1">
                  <c:v>Interested (strongly or somewhat)</c:v>
                </c:pt>
                <c:pt idx="2">
                  <c:v>   of which strongly interested</c:v>
                </c:pt>
                <c:pt idx="3">
                  <c:v>Play golf (often or occasionally)</c:v>
                </c:pt>
                <c:pt idx="4">
                  <c:v>   of which play often</c:v>
                </c:pt>
                <c:pt idx="5">
                  <c:v>DGV-registered members</c:v>
                </c:pt>
              </c:strCache>
            </c:strRef>
          </c:cat>
          <c:val>
            <c:numRef>
              <c:f>'07_Funnel'!$H$5:$H$10</c:f>
              <c:numCache>
                <c:formatCode>#,##0.00</c:formatCode>
                <c:ptCount val="6"/>
                <c:pt idx="0">
                  <c:v>69.13</c:v>
                </c:pt>
                <c:pt idx="1">
                  <c:v>6.87</c:v>
                </c:pt>
                <c:pt idx="2">
                  <c:v>1.62</c:v>
                </c:pt>
                <c:pt idx="3">
                  <c:v>3.38</c:v>
                </c:pt>
                <c:pt idx="4">
                  <c:v>0.9</c:v>
                </c:pt>
                <c:pt idx="5">
                  <c:v>0.69599999999999995</c:v>
                </c:pt>
              </c:numCache>
            </c:numRef>
          </c:val>
          <c:extLs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 xmlns:c16="http://schemas.microsoft.com/office/drawing/2014/chart" uri="{C3380CC4-5D6E-409C-BE32-E72D297353CC}">
              <c16:uniqueId val="{00000000-E9F2-CB49-BEDE-598AC7178D7B}"/>
            </c:ext>
          </c:extLst>
        </c:ser>
        <c:dLbls>
          <c:showLegendKey val="0"/>
          <c:showVal val="0"/>
          <c:showCatName val="0"/>
          <c:showSerName val="0"/>
          <c:showPercent val="0"/>
          <c:showBubbleSize val="0"/>
        </c:dLbls>
        <c:gapWidth val="150"/>
        <c:axId val="10"/>
        <c:axId val="100"/>
      </c:barChart>
      <c:catAx>
        <c:axId val="10"/>
        <c:scaling>
          <c:orientation val="minMax"/>
        </c:scaling>
        <c:delete val="0"/>
        <c:axPos val="l"/>
        <c:numFmt formatCode="General" sourceLinked="1"/>
        <c:majorTickMark val="none"/>
        <c:minorTickMark val="none"/>
        <c:tickLblPos val="nextTo"/>
        <c:crossAx val="100"/>
        <c:crosses val="autoZero"/>
        <c:auto val="1"/>
        <c:lblAlgn val="ctr"/>
        <c:lblOffset val="100"/>
        <c:noMultiLvlLbl val="1"/>
      </c:catAx>
      <c:valAx>
        <c:axId val="100"/>
        <c:scaling>
          <c:orientation val="minMax"/>
        </c:scaling>
        <c:delete val="0"/>
        <c:axPos val="b"/>
        <c:title>
          <c:tx>
            <c:rich>
              <a:bodyPr/>
              <a:lstStyle/>
              <a:p>
                <a:pPr>
                  <a:defRPr/>
                </a:pPr>
                <a:r>
                  <a:rPr lang="en-GB"/>
                  <a:t>Millions of people</a:t>
                </a:r>
              </a:p>
            </c:rich>
          </c:tx>
          <c:overlay val="1"/>
        </c:title>
        <c:numFmt formatCode="#,##0.0" sourceLinked="0"/>
        <c:majorTickMark val="none"/>
        <c:minorTickMark val="none"/>
        <c:tickLblPos val="nextTo"/>
        <c:crossAx val="10"/>
        <c:crosses val="autoZero"/>
        <c:crossBetween val="between"/>
      </c:valAx>
    </c:plotArea>
    <c:plotVisOnly val="1"/>
    <c:dispBlanksAs val="gap"/>
    <c:showDLblsOverMax val="1"/>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title>
      <c:tx>
        <c:rich>
          <a:bodyPr/>
          <a:lstStyle/>
          <a:p>
            <a:pPr>
              <a:defRPr/>
            </a:pPr>
            <a:r>
              <a:rPr lang="en-GB"/>
              <a:t>Change in members by age band, 2016 to 2025</a:t>
            </a:r>
          </a:p>
        </c:rich>
      </c:tx>
      <c:overlay val="1"/>
    </c:title>
    <c:autoTitleDeleted val="0"/>
    <c:plotArea>
      <c:layout/>
      <c:barChart>
        <c:barDir val="bar"/>
        <c:grouping val="clustered"/>
        <c:varyColors val="1"/>
        <c:ser>
          <c:idx val="0"/>
          <c:order val="0"/>
          <c:tx>
            <c:strRef>
              <c:f>'11_Metrics'!$D$5</c:f>
              <c:strCache>
                <c:ptCount val="1"/>
                <c:pt idx="0">
                  <c:v>Change (abs.)</c:v>
                </c:pt>
              </c:strCache>
            </c:strRef>
          </c:tx>
          <c:spPr>
            <a:solidFill>
              <a:srgbClr val="0072B2"/>
            </a:solidFill>
            <a:ln>
              <a:prstDash val="solid"/>
            </a:ln>
          </c:spPr>
          <c:invertIfNegative val="1"/>
          <c:dPt>
            <c:idx val="0"/>
            <c:invertIfNegative val="1"/>
            <c:bubble3D val="0"/>
            <c:spPr>
              <a:solidFill>
                <a:srgbClr val="0072B2"/>
              </a:solidFill>
              <a:ln>
                <a:solidFill>
                  <a:srgbClr val="0072B2"/>
                </a:solidFill>
                <a:prstDash val="solid"/>
              </a:ln>
            </c:spPr>
            <c:extLst>
              <c:ext xmlns:c16="http://schemas.microsoft.com/office/drawing/2014/chart" uri="{C3380CC4-5D6E-409C-BE32-E72D297353CC}">
                <c16:uniqueId val="{00000001-FAB8-8A45-BE57-B854CEAE94E5}"/>
              </c:ext>
            </c:extLst>
          </c:dPt>
          <c:dPt>
            <c:idx val="1"/>
            <c:invertIfNegative val="1"/>
            <c:bubble3D val="0"/>
            <c:spPr>
              <a:solidFill>
                <a:srgbClr val="E69F00"/>
              </a:solidFill>
              <a:ln>
                <a:solidFill>
                  <a:srgbClr val="E69F00"/>
                </a:solidFill>
                <a:prstDash val="solid"/>
              </a:ln>
            </c:spPr>
            <c:extLst>
              <c:ext xmlns:c16="http://schemas.microsoft.com/office/drawing/2014/chart" uri="{C3380CC4-5D6E-409C-BE32-E72D297353CC}">
                <c16:uniqueId val="{00000003-FAB8-8A45-BE57-B854CEAE94E5}"/>
              </c:ext>
            </c:extLst>
          </c:dPt>
          <c:dPt>
            <c:idx val="2"/>
            <c:invertIfNegative val="1"/>
            <c:bubble3D val="0"/>
            <c:spPr>
              <a:solidFill>
                <a:srgbClr val="0072B2"/>
              </a:solidFill>
              <a:ln>
                <a:solidFill>
                  <a:srgbClr val="0072B2"/>
                </a:solidFill>
                <a:prstDash val="solid"/>
              </a:ln>
            </c:spPr>
            <c:extLst>
              <c:ext xmlns:c16="http://schemas.microsoft.com/office/drawing/2014/chart" uri="{C3380CC4-5D6E-409C-BE32-E72D297353CC}">
                <c16:uniqueId val="{00000005-FAB8-8A45-BE57-B854CEAE94E5}"/>
              </c:ext>
            </c:extLst>
          </c:dPt>
          <c:dPt>
            <c:idx val="3"/>
            <c:invertIfNegative val="1"/>
            <c:bubble3D val="0"/>
            <c:spPr>
              <a:solidFill>
                <a:srgbClr val="0072B2"/>
              </a:solidFill>
              <a:ln>
                <a:solidFill>
                  <a:srgbClr val="0072B2"/>
                </a:solidFill>
                <a:prstDash val="solid"/>
              </a:ln>
            </c:spPr>
            <c:extLst>
              <c:ext xmlns:c16="http://schemas.microsoft.com/office/drawing/2014/chart" uri="{C3380CC4-5D6E-409C-BE32-E72D297353CC}">
                <c16:uniqueId val="{00000007-FAB8-8A45-BE57-B854CEAE94E5}"/>
              </c:ext>
            </c:extLst>
          </c:dPt>
          <c:dPt>
            <c:idx val="4"/>
            <c:invertIfNegative val="1"/>
            <c:bubble3D val="0"/>
            <c:spPr>
              <a:solidFill>
                <a:srgbClr val="0072B2"/>
              </a:solidFill>
              <a:ln>
                <a:solidFill>
                  <a:srgbClr val="0072B2"/>
                </a:solidFill>
                <a:prstDash val="solid"/>
              </a:ln>
            </c:spPr>
            <c:extLst>
              <c:ext xmlns:c16="http://schemas.microsoft.com/office/drawing/2014/chart" uri="{C3380CC4-5D6E-409C-BE32-E72D297353CC}">
                <c16:uniqueId val="{00000009-FAB8-8A45-BE57-B854CEAE94E5}"/>
              </c:ext>
            </c:extLst>
          </c:dPt>
          <c:dPt>
            <c:idx val="5"/>
            <c:invertIfNegative val="1"/>
            <c:bubble3D val="0"/>
            <c:spPr>
              <a:solidFill>
                <a:srgbClr val="0072B2"/>
              </a:solidFill>
              <a:ln>
                <a:solidFill>
                  <a:srgbClr val="0072B2"/>
                </a:solidFill>
                <a:prstDash val="solid"/>
              </a:ln>
            </c:spPr>
            <c:extLst>
              <c:ext xmlns:c16="http://schemas.microsoft.com/office/drawing/2014/chart" uri="{C3380CC4-5D6E-409C-BE32-E72D297353CC}">
                <c16:uniqueId val="{0000000B-FAB8-8A45-BE57-B854CEAE94E5}"/>
              </c:ext>
            </c:extLst>
          </c:dPt>
          <c:dPt>
            <c:idx val="6"/>
            <c:invertIfNegative val="1"/>
            <c:bubble3D val="0"/>
            <c:spPr>
              <a:solidFill>
                <a:srgbClr val="E69F00"/>
              </a:solidFill>
              <a:ln>
                <a:solidFill>
                  <a:srgbClr val="E69F00"/>
                </a:solidFill>
                <a:prstDash val="solid"/>
              </a:ln>
            </c:spPr>
            <c:extLst>
              <c:ext xmlns:c16="http://schemas.microsoft.com/office/drawing/2014/chart" uri="{C3380CC4-5D6E-409C-BE32-E72D297353CC}">
                <c16:uniqueId val="{0000000D-FAB8-8A45-BE57-B854CEAE94E5}"/>
              </c:ext>
            </c:extLst>
          </c:dPt>
          <c:dPt>
            <c:idx val="7"/>
            <c:invertIfNegative val="1"/>
            <c:bubble3D val="0"/>
            <c:spPr>
              <a:solidFill>
                <a:srgbClr val="E69F00"/>
              </a:solidFill>
              <a:ln>
                <a:solidFill>
                  <a:srgbClr val="E69F00"/>
                </a:solidFill>
                <a:prstDash val="solid"/>
              </a:ln>
            </c:spPr>
            <c:extLst>
              <c:ext xmlns:c16="http://schemas.microsoft.com/office/drawing/2014/chart" uri="{C3380CC4-5D6E-409C-BE32-E72D297353CC}">
                <c16:uniqueId val="{0000000F-FAB8-8A45-BE57-B854CEAE94E5}"/>
              </c:ext>
            </c:extLst>
          </c:dPt>
          <c:dPt>
            <c:idx val="8"/>
            <c:invertIfNegative val="1"/>
            <c:bubble3D val="0"/>
            <c:spPr>
              <a:solidFill>
                <a:srgbClr val="E69F00"/>
              </a:solidFill>
              <a:ln>
                <a:solidFill>
                  <a:srgbClr val="E69F00"/>
                </a:solidFill>
                <a:prstDash val="solid"/>
              </a:ln>
            </c:spPr>
            <c:extLst>
              <c:ext xmlns:c16="http://schemas.microsoft.com/office/drawing/2014/chart" uri="{C3380CC4-5D6E-409C-BE32-E72D297353CC}">
                <c16:uniqueId val="{00000011-FAB8-8A45-BE57-B854CEAE94E5}"/>
              </c:ext>
            </c:extLst>
          </c:dPt>
          <c:dPt>
            <c:idx val="9"/>
            <c:invertIfNegative val="1"/>
            <c:bubble3D val="0"/>
            <c:spPr>
              <a:solidFill>
                <a:srgbClr val="0072B2"/>
              </a:solidFill>
              <a:ln>
                <a:solidFill>
                  <a:srgbClr val="0072B2"/>
                </a:solidFill>
                <a:prstDash val="solid"/>
              </a:ln>
            </c:spPr>
            <c:extLst>
              <c:ext xmlns:c16="http://schemas.microsoft.com/office/drawing/2014/chart" uri="{C3380CC4-5D6E-409C-BE32-E72D297353CC}">
                <c16:uniqueId val="{00000013-FAB8-8A45-BE57-B854CEAE94E5}"/>
              </c:ext>
            </c:extLst>
          </c:dPt>
          <c:dPt>
            <c:idx val="10"/>
            <c:invertIfNegative val="1"/>
            <c:bubble3D val="0"/>
            <c:spPr>
              <a:solidFill>
                <a:srgbClr val="0072B2"/>
              </a:solidFill>
              <a:ln>
                <a:solidFill>
                  <a:srgbClr val="0072B2"/>
                </a:solidFill>
                <a:prstDash val="solid"/>
              </a:ln>
            </c:spPr>
            <c:extLst>
              <c:ext xmlns:c16="http://schemas.microsoft.com/office/drawing/2014/chart" uri="{C3380CC4-5D6E-409C-BE32-E72D297353CC}">
                <c16:uniqueId val="{00000015-FAB8-8A45-BE57-B854CEAE94E5}"/>
              </c:ext>
            </c:extLst>
          </c:dPt>
          <c:cat>
            <c:strRef>
              <c:f>'11_Metrics'!$A$6:$A$16</c:f>
              <c:strCache>
                <c:ptCount val="11"/>
                <c:pt idx="0">
                  <c:v>Up to 6</c:v>
                </c:pt>
                <c:pt idx="1">
                  <c:v>7 to 14</c:v>
                </c:pt>
                <c:pt idx="2">
                  <c:v>15 to 18</c:v>
                </c:pt>
                <c:pt idx="3">
                  <c:v>19 to 20</c:v>
                </c:pt>
                <c:pt idx="4">
                  <c:v>21 to 26</c:v>
                </c:pt>
                <c:pt idx="5">
                  <c:v>27 to 35</c:v>
                </c:pt>
                <c:pt idx="6">
                  <c:v>36 to 40</c:v>
                </c:pt>
                <c:pt idx="7">
                  <c:v>41 to 50</c:v>
                </c:pt>
                <c:pt idx="8">
                  <c:v>51 to 55</c:v>
                </c:pt>
                <c:pt idx="9">
                  <c:v>56 to 60</c:v>
                </c:pt>
                <c:pt idx="10">
                  <c:v>61 and over</c:v>
                </c:pt>
              </c:strCache>
            </c:strRef>
          </c:cat>
          <c:val>
            <c:numRef>
              <c:f>'11_Metrics'!$D$6:$D$16</c:f>
              <c:numCache>
                <c:formatCode>#,##0</c:formatCode>
                <c:ptCount val="11"/>
                <c:pt idx="0">
                  <c:v>298</c:v>
                </c:pt>
                <c:pt idx="1">
                  <c:v>-2576</c:v>
                </c:pt>
                <c:pt idx="2">
                  <c:v>1123</c:v>
                </c:pt>
                <c:pt idx="3">
                  <c:v>2145</c:v>
                </c:pt>
                <c:pt idx="4">
                  <c:v>12863</c:v>
                </c:pt>
                <c:pt idx="5">
                  <c:v>16524</c:v>
                </c:pt>
                <c:pt idx="6">
                  <c:v>-3</c:v>
                </c:pt>
                <c:pt idx="7">
                  <c:v>-39109</c:v>
                </c:pt>
                <c:pt idx="8">
                  <c:v>-18304</c:v>
                </c:pt>
                <c:pt idx="9">
                  <c:v>25992</c:v>
                </c:pt>
                <c:pt idx="10">
                  <c:v>53506</c:v>
                </c:pt>
              </c:numCache>
            </c:numRef>
          </c:val>
          <c:extLs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 xmlns:c16="http://schemas.microsoft.com/office/drawing/2014/chart" uri="{C3380CC4-5D6E-409C-BE32-E72D297353CC}">
              <c16:uniqueId val="{00000016-FAB8-8A45-BE57-B854CEAE94E5}"/>
            </c:ext>
          </c:extLst>
        </c:ser>
        <c:dLbls>
          <c:showLegendKey val="0"/>
          <c:showVal val="0"/>
          <c:showCatName val="0"/>
          <c:showSerName val="0"/>
          <c:showPercent val="0"/>
          <c:showBubbleSize val="0"/>
        </c:dLbls>
        <c:gapWidth val="150"/>
        <c:axId val="10"/>
        <c:axId val="100"/>
      </c:barChart>
      <c:catAx>
        <c:axId val="10"/>
        <c:scaling>
          <c:orientation val="minMax"/>
        </c:scaling>
        <c:delete val="0"/>
        <c:axPos val="l"/>
        <c:numFmt formatCode="General" sourceLinked="1"/>
        <c:majorTickMark val="none"/>
        <c:minorTickMark val="none"/>
        <c:tickLblPos val="nextTo"/>
        <c:crossAx val="100"/>
        <c:crosses val="autoZero"/>
        <c:auto val="1"/>
        <c:lblAlgn val="ctr"/>
        <c:lblOffset val="100"/>
        <c:noMultiLvlLbl val="1"/>
      </c:catAx>
      <c:valAx>
        <c:axId val="100"/>
        <c:scaling>
          <c:orientation val="minMax"/>
        </c:scaling>
        <c:delete val="0"/>
        <c:axPos val="b"/>
        <c:numFmt formatCode="#,##0" sourceLinked="0"/>
        <c:majorTickMark val="none"/>
        <c:minorTickMark val="none"/>
        <c:tickLblPos val="nextTo"/>
        <c:crossAx val="10"/>
        <c:crosses val="autoZero"/>
        <c:crossBetween val="between"/>
      </c:valAx>
    </c:plotArea>
    <c:plotVisOnly val="1"/>
    <c:dispBlanksAs val="gap"/>
    <c:showDLblsOverMax val="1"/>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title>
      <c:tx>
        <c:rich>
          <a:bodyPr/>
          <a:lstStyle/>
          <a:p>
            <a:pPr>
              <a:defRPr/>
            </a:pPr>
            <a:r>
              <a:rPr lang="en-GB"/>
              <a:t>Male and female members</a:t>
            </a:r>
          </a:p>
        </c:rich>
      </c:tx>
      <c:overlay val="1"/>
    </c:title>
    <c:autoTitleDeleted val="0"/>
    <c:plotArea>
      <c:layout/>
      <c:lineChart>
        <c:grouping val="standard"/>
        <c:varyColors val="1"/>
        <c:ser>
          <c:idx val="0"/>
          <c:order val="0"/>
          <c:tx>
            <c:strRef>
              <c:f>'01_Timeseries'!$C$4</c:f>
              <c:strCache>
                <c:ptCount val="1"/>
                <c:pt idx="0">
                  <c:v>Male</c:v>
                </c:pt>
              </c:strCache>
            </c:strRef>
          </c:tx>
          <c:spPr>
            <a:ln w="28000">
              <a:solidFill>
                <a:srgbClr val="0072B2"/>
              </a:solidFill>
              <a:prstDash val="solid"/>
            </a:ln>
          </c:spPr>
          <c:marker>
            <c:symbol val="circle"/>
            <c:size val="5"/>
            <c:spPr>
              <a:ln>
                <a:prstDash val="solid"/>
              </a:ln>
            </c:spPr>
          </c:marker>
          <c:cat>
            <c:numRef>
              <c:f>'01_Timeseries'!$A$5:$A$14</c:f>
              <c:numCache>
                <c:formatCode>General</c:formatCode>
                <c:ptCount val="10"/>
                <c:pt idx="0">
                  <c:v>2016</c:v>
                </c:pt>
                <c:pt idx="1">
                  <c:v>2017</c:v>
                </c:pt>
                <c:pt idx="2">
                  <c:v>2018</c:v>
                </c:pt>
                <c:pt idx="3">
                  <c:v>2019</c:v>
                </c:pt>
                <c:pt idx="4">
                  <c:v>2020</c:v>
                </c:pt>
                <c:pt idx="5">
                  <c:v>2021</c:v>
                </c:pt>
                <c:pt idx="6">
                  <c:v>2022</c:v>
                </c:pt>
                <c:pt idx="7">
                  <c:v>2023</c:v>
                </c:pt>
                <c:pt idx="8">
                  <c:v>2024</c:v>
                </c:pt>
                <c:pt idx="9">
                  <c:v>2025</c:v>
                </c:pt>
              </c:numCache>
            </c:numRef>
          </c:cat>
          <c:val>
            <c:numRef>
              <c:f>'01_Timeseries'!$C$5:$C$14</c:f>
              <c:numCache>
                <c:formatCode>#,##0</c:formatCode>
                <c:ptCount val="10"/>
                <c:pt idx="0">
                  <c:v>406551</c:v>
                </c:pt>
                <c:pt idx="1">
                  <c:v>408960</c:v>
                </c:pt>
                <c:pt idx="2">
                  <c:v>408103</c:v>
                </c:pt>
                <c:pt idx="3">
                  <c:v>409205</c:v>
                </c:pt>
                <c:pt idx="4">
                  <c:v>416016</c:v>
                </c:pt>
                <c:pt idx="5">
                  <c:v>431818</c:v>
                </c:pt>
                <c:pt idx="6">
                  <c:v>438469</c:v>
                </c:pt>
                <c:pt idx="7">
                  <c:v>439793</c:v>
                </c:pt>
                <c:pt idx="8">
                  <c:v>445369</c:v>
                </c:pt>
                <c:pt idx="9">
                  <c:v>454062</c:v>
                </c:pt>
              </c:numCache>
            </c:numRef>
          </c:val>
          <c:smooth val="0"/>
          <c:extLst>
            <c:ext xmlns:c16="http://schemas.microsoft.com/office/drawing/2014/chart" uri="{C3380CC4-5D6E-409C-BE32-E72D297353CC}">
              <c16:uniqueId val="{00000000-728F-B24F-B7B8-2DAC7F510B26}"/>
            </c:ext>
          </c:extLst>
        </c:ser>
        <c:ser>
          <c:idx val="1"/>
          <c:order val="1"/>
          <c:tx>
            <c:strRef>
              <c:f>'01_Timeseries'!$D$4</c:f>
              <c:strCache>
                <c:ptCount val="1"/>
                <c:pt idx="0">
                  <c:v>Female</c:v>
                </c:pt>
              </c:strCache>
            </c:strRef>
          </c:tx>
          <c:spPr>
            <a:ln w="28000">
              <a:solidFill>
                <a:srgbClr val="E69F00"/>
              </a:solidFill>
              <a:prstDash val="solid"/>
            </a:ln>
          </c:spPr>
          <c:marker>
            <c:symbol val="circle"/>
            <c:size val="5"/>
            <c:spPr>
              <a:ln>
                <a:prstDash val="solid"/>
              </a:ln>
            </c:spPr>
          </c:marker>
          <c:cat>
            <c:numRef>
              <c:f>'01_Timeseries'!$A$5:$A$14</c:f>
              <c:numCache>
                <c:formatCode>General</c:formatCode>
                <c:ptCount val="10"/>
                <c:pt idx="0">
                  <c:v>2016</c:v>
                </c:pt>
                <c:pt idx="1">
                  <c:v>2017</c:v>
                </c:pt>
                <c:pt idx="2">
                  <c:v>2018</c:v>
                </c:pt>
                <c:pt idx="3">
                  <c:v>2019</c:v>
                </c:pt>
                <c:pt idx="4">
                  <c:v>2020</c:v>
                </c:pt>
                <c:pt idx="5">
                  <c:v>2021</c:v>
                </c:pt>
                <c:pt idx="6">
                  <c:v>2022</c:v>
                </c:pt>
                <c:pt idx="7">
                  <c:v>2023</c:v>
                </c:pt>
                <c:pt idx="8">
                  <c:v>2024</c:v>
                </c:pt>
                <c:pt idx="9">
                  <c:v>2025</c:v>
                </c:pt>
              </c:numCache>
            </c:numRef>
          </c:cat>
          <c:val>
            <c:numRef>
              <c:f>'01_Timeseries'!$D$5:$D$14</c:f>
              <c:numCache>
                <c:formatCode>#,##0</c:formatCode>
                <c:ptCount val="10"/>
                <c:pt idx="0">
                  <c:v>236607</c:v>
                </c:pt>
                <c:pt idx="1">
                  <c:v>235983</c:v>
                </c:pt>
                <c:pt idx="2">
                  <c:v>234137</c:v>
                </c:pt>
                <c:pt idx="3">
                  <c:v>233472</c:v>
                </c:pt>
                <c:pt idx="4">
                  <c:v>235401</c:v>
                </c:pt>
                <c:pt idx="5">
                  <c:v>242165</c:v>
                </c:pt>
                <c:pt idx="6">
                  <c:v>244473</c:v>
                </c:pt>
                <c:pt idx="7">
                  <c:v>242333</c:v>
                </c:pt>
                <c:pt idx="8">
                  <c:v>241339</c:v>
                </c:pt>
                <c:pt idx="9">
                  <c:v>241555</c:v>
                </c:pt>
              </c:numCache>
            </c:numRef>
          </c:val>
          <c:smooth val="0"/>
          <c:extLst>
            <c:ext xmlns:c16="http://schemas.microsoft.com/office/drawing/2014/chart" uri="{C3380CC4-5D6E-409C-BE32-E72D297353CC}">
              <c16:uniqueId val="{00000001-728F-B24F-B7B8-2DAC7F510B26}"/>
            </c:ext>
          </c:extLst>
        </c:ser>
        <c:dLbls>
          <c:showLegendKey val="0"/>
          <c:showVal val="0"/>
          <c:showCatName val="0"/>
          <c:showSerName val="0"/>
          <c:showPercent val="0"/>
          <c:showBubbleSize val="0"/>
        </c:dLbls>
        <c:marker val="1"/>
        <c:smooth val="0"/>
        <c:axId val="10"/>
        <c:axId val="100"/>
      </c:lineChart>
      <c:catAx>
        <c:axId val="10"/>
        <c:scaling>
          <c:orientation val="minMax"/>
        </c:scaling>
        <c:delete val="0"/>
        <c:axPos val="b"/>
        <c:numFmt formatCode="General" sourceLinked="1"/>
        <c:majorTickMark val="none"/>
        <c:minorTickMark val="none"/>
        <c:tickLblPos val="nextTo"/>
        <c:crossAx val="100"/>
        <c:crosses val="autoZero"/>
        <c:auto val="1"/>
        <c:lblAlgn val="ctr"/>
        <c:lblOffset val="100"/>
        <c:noMultiLvlLbl val="1"/>
      </c:catAx>
      <c:valAx>
        <c:axId val="100"/>
        <c:scaling>
          <c:orientation val="minMax"/>
        </c:scaling>
        <c:delete val="0"/>
        <c:axPos val="l"/>
        <c:title>
          <c:tx>
            <c:rich>
              <a:bodyPr/>
              <a:lstStyle/>
              <a:p>
                <a:pPr>
                  <a:defRPr/>
                </a:pPr>
                <a:r>
                  <a:rPr lang="en-GB"/>
                  <a:t>Members</a:t>
                </a:r>
              </a:p>
            </c:rich>
          </c:tx>
          <c:overlay val="1"/>
        </c:title>
        <c:numFmt formatCode="#,##0" sourceLinked="0"/>
        <c:majorTickMark val="none"/>
        <c:minorTickMark val="none"/>
        <c:tickLblPos val="nextTo"/>
        <c:crossAx val="10"/>
        <c:crosses val="autoZero"/>
        <c:crossBetween val="between"/>
      </c:valAx>
    </c:plotArea>
    <c:legend>
      <c:legendPos val="b"/>
      <c:overlay val="0"/>
    </c:legend>
    <c:plotVisOnly val="1"/>
    <c:dispBlanksAs val="gap"/>
    <c:showDLblsOverMax val="1"/>
  </c:chart>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title>
      <c:tx>
        <c:rich>
          <a:bodyPr/>
          <a:lstStyle/>
          <a:p>
            <a:pPr>
              <a:defRPr/>
            </a:pPr>
            <a:r>
              <a:rPr lang="en-GB"/>
              <a:t>Players per 1,000 population, 2025 — ranked (VcG excluded)</a:t>
            </a:r>
          </a:p>
        </c:rich>
      </c:tx>
      <c:overlay val="1"/>
    </c:title>
    <c:autoTitleDeleted val="0"/>
    <c:plotArea>
      <c:layout/>
      <c:barChart>
        <c:barDir val="bar"/>
        <c:grouping val="clustered"/>
        <c:varyColors val="1"/>
        <c:ser>
          <c:idx val="0"/>
          <c:order val="0"/>
          <c:tx>
            <c:strRef>
              <c:f>'11_Metrics'!$D$20</c:f>
              <c:strCache>
                <c:ptCount val="1"/>
                <c:pt idx="0">
                  <c:v>Players per 1,000 pop.</c:v>
                </c:pt>
              </c:strCache>
            </c:strRef>
          </c:tx>
          <c:spPr>
            <a:solidFill>
              <a:srgbClr val="0072B2"/>
            </a:solidFill>
            <a:ln>
              <a:prstDash val="solid"/>
            </a:ln>
          </c:spPr>
          <c:invertIfNegative val="1"/>
          <c:dPt>
            <c:idx val="0"/>
            <c:invertIfNegative val="1"/>
            <c:bubble3D val="0"/>
            <c:spPr>
              <a:solidFill>
                <a:srgbClr val="0072B2"/>
              </a:solidFill>
              <a:ln>
                <a:solidFill>
                  <a:srgbClr val="0072B2"/>
                </a:solidFill>
                <a:prstDash val="solid"/>
              </a:ln>
            </c:spPr>
            <c:extLst>
              <c:ext xmlns:c16="http://schemas.microsoft.com/office/drawing/2014/chart" uri="{C3380CC4-5D6E-409C-BE32-E72D297353CC}">
                <c16:uniqueId val="{00000001-E0C8-8F43-85DB-66F8E0F23F2A}"/>
              </c:ext>
            </c:extLst>
          </c:dPt>
          <c:dPt>
            <c:idx val="1"/>
            <c:invertIfNegative val="1"/>
            <c:bubble3D val="0"/>
            <c:spPr>
              <a:solidFill>
                <a:srgbClr val="0072B2"/>
              </a:solidFill>
              <a:ln>
                <a:solidFill>
                  <a:srgbClr val="0072B2"/>
                </a:solidFill>
                <a:prstDash val="solid"/>
              </a:ln>
            </c:spPr>
            <c:extLst>
              <c:ext xmlns:c16="http://schemas.microsoft.com/office/drawing/2014/chart" uri="{C3380CC4-5D6E-409C-BE32-E72D297353CC}">
                <c16:uniqueId val="{00000003-E0C8-8F43-85DB-66F8E0F23F2A}"/>
              </c:ext>
            </c:extLst>
          </c:dPt>
          <c:dPt>
            <c:idx val="2"/>
            <c:invertIfNegative val="1"/>
            <c:bubble3D val="0"/>
            <c:spPr>
              <a:solidFill>
                <a:srgbClr val="0072B2"/>
              </a:solidFill>
              <a:ln>
                <a:solidFill>
                  <a:srgbClr val="0072B2"/>
                </a:solidFill>
                <a:prstDash val="solid"/>
              </a:ln>
            </c:spPr>
            <c:extLst>
              <c:ext xmlns:c16="http://schemas.microsoft.com/office/drawing/2014/chart" uri="{C3380CC4-5D6E-409C-BE32-E72D297353CC}">
                <c16:uniqueId val="{00000005-E0C8-8F43-85DB-66F8E0F23F2A}"/>
              </c:ext>
            </c:extLst>
          </c:dPt>
          <c:dPt>
            <c:idx val="3"/>
            <c:invertIfNegative val="1"/>
            <c:bubble3D val="0"/>
            <c:spPr>
              <a:solidFill>
                <a:srgbClr val="0072B2"/>
              </a:solidFill>
              <a:ln>
                <a:solidFill>
                  <a:srgbClr val="0072B2"/>
                </a:solidFill>
                <a:prstDash val="solid"/>
              </a:ln>
            </c:spPr>
            <c:extLst>
              <c:ext xmlns:c16="http://schemas.microsoft.com/office/drawing/2014/chart" uri="{C3380CC4-5D6E-409C-BE32-E72D297353CC}">
                <c16:uniqueId val="{00000007-E0C8-8F43-85DB-66F8E0F23F2A}"/>
              </c:ext>
            </c:extLst>
          </c:dPt>
          <c:dPt>
            <c:idx val="4"/>
            <c:invertIfNegative val="1"/>
            <c:bubble3D val="0"/>
            <c:spPr>
              <a:solidFill>
                <a:srgbClr val="0072B2"/>
              </a:solidFill>
              <a:ln>
                <a:solidFill>
                  <a:srgbClr val="0072B2"/>
                </a:solidFill>
                <a:prstDash val="solid"/>
              </a:ln>
            </c:spPr>
            <c:extLst>
              <c:ext xmlns:c16="http://schemas.microsoft.com/office/drawing/2014/chart" uri="{C3380CC4-5D6E-409C-BE32-E72D297353CC}">
                <c16:uniqueId val="{00000009-E0C8-8F43-85DB-66F8E0F23F2A}"/>
              </c:ext>
            </c:extLst>
          </c:dPt>
          <c:dPt>
            <c:idx val="5"/>
            <c:invertIfNegative val="1"/>
            <c:bubble3D val="0"/>
            <c:spPr>
              <a:solidFill>
                <a:srgbClr val="E69F00"/>
              </a:solidFill>
              <a:ln>
                <a:solidFill>
                  <a:srgbClr val="E69F00"/>
                </a:solidFill>
                <a:prstDash val="solid"/>
              </a:ln>
            </c:spPr>
            <c:extLst>
              <c:ext xmlns:c16="http://schemas.microsoft.com/office/drawing/2014/chart" uri="{C3380CC4-5D6E-409C-BE32-E72D297353CC}">
                <c16:uniqueId val="{0000000B-E0C8-8F43-85DB-66F8E0F23F2A}"/>
              </c:ext>
            </c:extLst>
          </c:dPt>
          <c:dPt>
            <c:idx val="6"/>
            <c:invertIfNegative val="1"/>
            <c:bubble3D val="0"/>
            <c:spPr>
              <a:solidFill>
                <a:srgbClr val="E69F00"/>
              </a:solidFill>
              <a:ln>
                <a:solidFill>
                  <a:srgbClr val="E69F00"/>
                </a:solidFill>
                <a:prstDash val="solid"/>
              </a:ln>
            </c:spPr>
            <c:extLst>
              <c:ext xmlns:c16="http://schemas.microsoft.com/office/drawing/2014/chart" uri="{C3380CC4-5D6E-409C-BE32-E72D297353CC}">
                <c16:uniqueId val="{0000000D-E0C8-8F43-85DB-66F8E0F23F2A}"/>
              </c:ext>
            </c:extLst>
          </c:dPt>
          <c:dPt>
            <c:idx val="7"/>
            <c:invertIfNegative val="1"/>
            <c:bubble3D val="0"/>
            <c:spPr>
              <a:solidFill>
                <a:srgbClr val="E69F00"/>
              </a:solidFill>
              <a:ln>
                <a:solidFill>
                  <a:srgbClr val="E69F00"/>
                </a:solidFill>
                <a:prstDash val="solid"/>
              </a:ln>
            </c:spPr>
            <c:extLst>
              <c:ext xmlns:c16="http://schemas.microsoft.com/office/drawing/2014/chart" uri="{C3380CC4-5D6E-409C-BE32-E72D297353CC}">
                <c16:uniqueId val="{0000000F-E0C8-8F43-85DB-66F8E0F23F2A}"/>
              </c:ext>
            </c:extLst>
          </c:dPt>
          <c:dPt>
            <c:idx val="8"/>
            <c:invertIfNegative val="1"/>
            <c:bubble3D val="0"/>
            <c:spPr>
              <a:solidFill>
                <a:srgbClr val="E69F00"/>
              </a:solidFill>
              <a:ln>
                <a:solidFill>
                  <a:srgbClr val="E69F00"/>
                </a:solidFill>
                <a:prstDash val="solid"/>
              </a:ln>
            </c:spPr>
            <c:extLst>
              <c:ext xmlns:c16="http://schemas.microsoft.com/office/drawing/2014/chart" uri="{C3380CC4-5D6E-409C-BE32-E72D297353CC}">
                <c16:uniqueId val="{00000011-E0C8-8F43-85DB-66F8E0F23F2A}"/>
              </c:ext>
            </c:extLst>
          </c:dPt>
          <c:dPt>
            <c:idx val="9"/>
            <c:invertIfNegative val="1"/>
            <c:bubble3D val="0"/>
            <c:spPr>
              <a:solidFill>
                <a:srgbClr val="E69F00"/>
              </a:solidFill>
              <a:ln>
                <a:solidFill>
                  <a:srgbClr val="E69F00"/>
                </a:solidFill>
                <a:prstDash val="solid"/>
              </a:ln>
            </c:spPr>
            <c:extLst>
              <c:ext xmlns:c16="http://schemas.microsoft.com/office/drawing/2014/chart" uri="{C3380CC4-5D6E-409C-BE32-E72D297353CC}">
                <c16:uniqueId val="{00000013-E0C8-8F43-85DB-66F8E0F23F2A}"/>
              </c:ext>
            </c:extLst>
          </c:dPt>
          <c:dPt>
            <c:idx val="10"/>
            <c:invertIfNegative val="1"/>
            <c:bubble3D val="0"/>
            <c:spPr>
              <a:solidFill>
                <a:srgbClr val="E69F00"/>
              </a:solidFill>
              <a:ln>
                <a:solidFill>
                  <a:srgbClr val="E69F00"/>
                </a:solidFill>
                <a:prstDash val="solid"/>
              </a:ln>
            </c:spPr>
            <c:extLst>
              <c:ext xmlns:c16="http://schemas.microsoft.com/office/drawing/2014/chart" uri="{C3380CC4-5D6E-409C-BE32-E72D297353CC}">
                <c16:uniqueId val="{00000015-E0C8-8F43-85DB-66F8E0F23F2A}"/>
              </c:ext>
            </c:extLst>
          </c:dPt>
          <c:dPt>
            <c:idx val="11"/>
            <c:invertIfNegative val="1"/>
            <c:bubble3D val="0"/>
            <c:spPr>
              <a:solidFill>
                <a:srgbClr val="E69F00"/>
              </a:solidFill>
              <a:ln>
                <a:solidFill>
                  <a:srgbClr val="E69F00"/>
                </a:solidFill>
                <a:prstDash val="solid"/>
              </a:ln>
            </c:spPr>
            <c:extLst>
              <c:ext xmlns:c16="http://schemas.microsoft.com/office/drawing/2014/chart" uri="{C3380CC4-5D6E-409C-BE32-E72D297353CC}">
                <c16:uniqueId val="{00000017-E0C8-8F43-85DB-66F8E0F23F2A}"/>
              </c:ext>
            </c:extLst>
          </c:dPt>
          <c:cat>
            <c:strRef>
              <c:f>'11_Metrics'!$A$21:$A$32</c:f>
              <c:strCache>
                <c:ptCount val="12"/>
                <c:pt idx="0">
                  <c:v>Schleswig-Holstein</c:v>
                </c:pt>
                <c:pt idx="1">
                  <c:v>Mecklenburg-Vorpommern</c:v>
                </c:pt>
                <c:pt idx="2">
                  <c:v>Hamburg</c:v>
                </c:pt>
                <c:pt idx="3">
                  <c:v>Bavaria</c:v>
                </c:pt>
                <c:pt idx="4">
                  <c:v>Lower Saxony</c:v>
                </c:pt>
                <c:pt idx="5">
                  <c:v>North Rhine-Westphalia</c:v>
                </c:pt>
                <c:pt idx="6">
                  <c:v>Hesse</c:v>
                </c:pt>
                <c:pt idx="7">
                  <c:v>Baden-Württemberg</c:v>
                </c:pt>
                <c:pt idx="8">
                  <c:v>Rhineland-Palatinate</c:v>
                </c:pt>
                <c:pt idx="9">
                  <c:v>Berlin/Brandenburg Metropolitan Region</c:v>
                </c:pt>
                <c:pt idx="10">
                  <c:v>Saxony</c:v>
                </c:pt>
                <c:pt idx="11">
                  <c:v>Saxony-Anhalt</c:v>
                </c:pt>
              </c:strCache>
            </c:strRef>
          </c:cat>
          <c:val>
            <c:numRef>
              <c:f>'11_Metrics'!$D$21:$D$32</c:f>
              <c:numCache>
                <c:formatCode>#,##0.0</c:formatCode>
                <c:ptCount val="12"/>
                <c:pt idx="0">
                  <c:v>18.405368173252594</c:v>
                </c:pt>
                <c:pt idx="1">
                  <c:v>11.916647019535498</c:v>
                </c:pt>
                <c:pt idx="2">
                  <c:v>11.864820825045031</c:v>
                </c:pt>
                <c:pt idx="3">
                  <c:v>10.906618256209105</c:v>
                </c:pt>
                <c:pt idx="4">
                  <c:v>9.044511830362012</c:v>
                </c:pt>
                <c:pt idx="5">
                  <c:v>8.0263034300899836</c:v>
                </c:pt>
                <c:pt idx="6">
                  <c:v>7.9195413700149011</c:v>
                </c:pt>
                <c:pt idx="7">
                  <c:v>6.7650444633234272</c:v>
                </c:pt>
                <c:pt idx="8">
                  <c:v>5.8566119053777825</c:v>
                </c:pt>
                <c:pt idx="9">
                  <c:v>4.4500074655415593</c:v>
                </c:pt>
                <c:pt idx="10">
                  <c:v>2.2296387955848074</c:v>
                </c:pt>
                <c:pt idx="11">
                  <c:v>1.0151728064798742</c:v>
                </c:pt>
              </c:numCache>
            </c:numRef>
          </c:val>
          <c:extLs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 xmlns:c16="http://schemas.microsoft.com/office/drawing/2014/chart" uri="{C3380CC4-5D6E-409C-BE32-E72D297353CC}">
              <c16:uniqueId val="{00000018-E0C8-8F43-85DB-66F8E0F23F2A}"/>
            </c:ext>
          </c:extLst>
        </c:ser>
        <c:dLbls>
          <c:showLegendKey val="0"/>
          <c:showVal val="0"/>
          <c:showCatName val="0"/>
          <c:showSerName val="0"/>
          <c:showPercent val="0"/>
          <c:showBubbleSize val="0"/>
        </c:dLbls>
        <c:gapWidth val="150"/>
        <c:axId val="10"/>
        <c:axId val="100"/>
      </c:barChart>
      <c:catAx>
        <c:axId val="10"/>
        <c:scaling>
          <c:orientation val="minMax"/>
        </c:scaling>
        <c:delete val="0"/>
        <c:axPos val="l"/>
        <c:numFmt formatCode="General" sourceLinked="1"/>
        <c:majorTickMark val="none"/>
        <c:minorTickMark val="none"/>
        <c:tickLblPos val="nextTo"/>
        <c:crossAx val="100"/>
        <c:crosses val="autoZero"/>
        <c:auto val="1"/>
        <c:lblAlgn val="ctr"/>
        <c:lblOffset val="100"/>
        <c:noMultiLvlLbl val="1"/>
      </c:catAx>
      <c:valAx>
        <c:axId val="100"/>
        <c:scaling>
          <c:orientation val="minMax"/>
        </c:scaling>
        <c:delete val="0"/>
        <c:axPos val="b"/>
        <c:numFmt formatCode="#,##0.0" sourceLinked="0"/>
        <c:majorTickMark val="none"/>
        <c:minorTickMark val="none"/>
        <c:tickLblPos val="nextTo"/>
        <c:crossAx val="10"/>
        <c:crosses val="autoZero"/>
        <c:crossBetween val="between"/>
      </c:valAx>
    </c:plotArea>
    <c:plotVisOnly val="1"/>
    <c:dispBlanksAs val="gap"/>
    <c:showDLblsOverMax val="1"/>
  </c:chart>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title>
      <c:tx>
        <c:rich>
          <a:bodyPr/>
          <a:lstStyle/>
          <a:p>
            <a:pPr>
              <a:defRPr/>
            </a:pPr>
            <a:r>
              <a:rPr lang="en-GB"/>
              <a:t>Registered golfers per 1,000 population, 2024</a:t>
            </a:r>
          </a:p>
        </c:rich>
      </c:tx>
      <c:overlay val="1"/>
    </c:title>
    <c:autoTitleDeleted val="0"/>
    <c:plotArea>
      <c:layout/>
      <c:barChart>
        <c:barDir val="bar"/>
        <c:grouping val="clustered"/>
        <c:varyColors val="1"/>
        <c:ser>
          <c:idx val="0"/>
          <c:order val="0"/>
          <c:tx>
            <c:strRef>
              <c:f>'08_Europe'!$H$4</c:f>
              <c:strCache>
                <c:ptCount val="1"/>
                <c:pt idx="0">
                  <c:v>Per 1,000 population</c:v>
                </c:pt>
              </c:strCache>
            </c:strRef>
          </c:tx>
          <c:spPr>
            <a:solidFill>
              <a:srgbClr val="999999"/>
            </a:solidFill>
            <a:ln>
              <a:prstDash val="solid"/>
            </a:ln>
          </c:spPr>
          <c:invertIfNegative val="1"/>
          <c:dPt>
            <c:idx val="0"/>
            <c:invertIfNegative val="1"/>
            <c:bubble3D val="0"/>
            <c:spPr>
              <a:solidFill>
                <a:srgbClr val="999999"/>
              </a:solidFill>
              <a:ln>
                <a:solidFill>
                  <a:srgbClr val="999999"/>
                </a:solidFill>
                <a:prstDash val="solid"/>
              </a:ln>
            </c:spPr>
            <c:extLst>
              <c:ext xmlns:c16="http://schemas.microsoft.com/office/drawing/2014/chart" uri="{C3380CC4-5D6E-409C-BE32-E72D297353CC}">
                <c16:uniqueId val="{00000001-8AB7-4941-8BBB-888069DA56AC}"/>
              </c:ext>
            </c:extLst>
          </c:dPt>
          <c:dPt>
            <c:idx val="1"/>
            <c:invertIfNegative val="1"/>
            <c:bubble3D val="0"/>
            <c:spPr>
              <a:solidFill>
                <a:srgbClr val="999999"/>
              </a:solidFill>
              <a:ln>
                <a:solidFill>
                  <a:srgbClr val="999999"/>
                </a:solidFill>
                <a:prstDash val="solid"/>
              </a:ln>
            </c:spPr>
            <c:extLst>
              <c:ext xmlns:c16="http://schemas.microsoft.com/office/drawing/2014/chart" uri="{C3380CC4-5D6E-409C-BE32-E72D297353CC}">
                <c16:uniqueId val="{00000003-8AB7-4941-8BBB-888069DA56AC}"/>
              </c:ext>
            </c:extLst>
          </c:dPt>
          <c:dPt>
            <c:idx val="2"/>
            <c:invertIfNegative val="1"/>
            <c:bubble3D val="0"/>
            <c:spPr>
              <a:solidFill>
                <a:srgbClr val="999999"/>
              </a:solidFill>
              <a:ln>
                <a:solidFill>
                  <a:srgbClr val="999999"/>
                </a:solidFill>
                <a:prstDash val="solid"/>
              </a:ln>
            </c:spPr>
            <c:extLst>
              <c:ext xmlns:c16="http://schemas.microsoft.com/office/drawing/2014/chart" uri="{C3380CC4-5D6E-409C-BE32-E72D297353CC}">
                <c16:uniqueId val="{00000005-8AB7-4941-8BBB-888069DA56AC}"/>
              </c:ext>
            </c:extLst>
          </c:dPt>
          <c:dPt>
            <c:idx val="3"/>
            <c:invertIfNegative val="1"/>
            <c:bubble3D val="0"/>
            <c:spPr>
              <a:solidFill>
                <a:srgbClr val="999999"/>
              </a:solidFill>
              <a:ln>
                <a:solidFill>
                  <a:srgbClr val="999999"/>
                </a:solidFill>
                <a:prstDash val="solid"/>
              </a:ln>
            </c:spPr>
            <c:extLst>
              <c:ext xmlns:c16="http://schemas.microsoft.com/office/drawing/2014/chart" uri="{C3380CC4-5D6E-409C-BE32-E72D297353CC}">
                <c16:uniqueId val="{00000007-8AB7-4941-8BBB-888069DA56AC}"/>
              </c:ext>
            </c:extLst>
          </c:dPt>
          <c:dPt>
            <c:idx val="4"/>
            <c:invertIfNegative val="1"/>
            <c:bubble3D val="0"/>
            <c:spPr>
              <a:solidFill>
                <a:srgbClr val="999999"/>
              </a:solidFill>
              <a:ln>
                <a:solidFill>
                  <a:srgbClr val="999999"/>
                </a:solidFill>
                <a:prstDash val="solid"/>
              </a:ln>
            </c:spPr>
            <c:extLst>
              <c:ext xmlns:c16="http://schemas.microsoft.com/office/drawing/2014/chart" uri="{C3380CC4-5D6E-409C-BE32-E72D297353CC}">
                <c16:uniqueId val="{00000009-8AB7-4941-8BBB-888069DA56AC}"/>
              </c:ext>
            </c:extLst>
          </c:dPt>
          <c:dPt>
            <c:idx val="5"/>
            <c:invertIfNegative val="1"/>
            <c:bubble3D val="0"/>
            <c:spPr>
              <a:solidFill>
                <a:srgbClr val="999999"/>
              </a:solidFill>
              <a:ln>
                <a:solidFill>
                  <a:srgbClr val="999999"/>
                </a:solidFill>
                <a:prstDash val="solid"/>
              </a:ln>
            </c:spPr>
            <c:extLst>
              <c:ext xmlns:c16="http://schemas.microsoft.com/office/drawing/2014/chart" uri="{C3380CC4-5D6E-409C-BE32-E72D297353CC}">
                <c16:uniqueId val="{0000000B-8AB7-4941-8BBB-888069DA56AC}"/>
              </c:ext>
            </c:extLst>
          </c:dPt>
          <c:dPt>
            <c:idx val="6"/>
            <c:invertIfNegative val="1"/>
            <c:bubble3D val="0"/>
            <c:spPr>
              <a:solidFill>
                <a:srgbClr val="999999"/>
              </a:solidFill>
              <a:ln>
                <a:solidFill>
                  <a:srgbClr val="999999"/>
                </a:solidFill>
                <a:prstDash val="solid"/>
              </a:ln>
            </c:spPr>
            <c:extLst>
              <c:ext xmlns:c16="http://schemas.microsoft.com/office/drawing/2014/chart" uri="{C3380CC4-5D6E-409C-BE32-E72D297353CC}">
                <c16:uniqueId val="{0000000D-8AB7-4941-8BBB-888069DA56AC}"/>
              </c:ext>
            </c:extLst>
          </c:dPt>
          <c:dPt>
            <c:idx val="7"/>
            <c:invertIfNegative val="1"/>
            <c:bubble3D val="0"/>
            <c:spPr>
              <a:solidFill>
                <a:srgbClr val="999999"/>
              </a:solidFill>
              <a:ln>
                <a:solidFill>
                  <a:srgbClr val="999999"/>
                </a:solidFill>
                <a:prstDash val="solid"/>
              </a:ln>
            </c:spPr>
            <c:extLst>
              <c:ext xmlns:c16="http://schemas.microsoft.com/office/drawing/2014/chart" uri="{C3380CC4-5D6E-409C-BE32-E72D297353CC}">
                <c16:uniqueId val="{0000000F-8AB7-4941-8BBB-888069DA56AC}"/>
              </c:ext>
            </c:extLst>
          </c:dPt>
          <c:dPt>
            <c:idx val="8"/>
            <c:invertIfNegative val="1"/>
            <c:bubble3D val="0"/>
            <c:spPr>
              <a:solidFill>
                <a:srgbClr val="999999"/>
              </a:solidFill>
              <a:ln>
                <a:solidFill>
                  <a:srgbClr val="999999"/>
                </a:solidFill>
                <a:prstDash val="solid"/>
              </a:ln>
            </c:spPr>
            <c:extLst>
              <c:ext xmlns:c16="http://schemas.microsoft.com/office/drawing/2014/chart" uri="{C3380CC4-5D6E-409C-BE32-E72D297353CC}">
                <c16:uniqueId val="{00000011-8AB7-4941-8BBB-888069DA56AC}"/>
              </c:ext>
            </c:extLst>
          </c:dPt>
          <c:dPt>
            <c:idx val="9"/>
            <c:invertIfNegative val="1"/>
            <c:bubble3D val="0"/>
            <c:spPr>
              <a:solidFill>
                <a:srgbClr val="999999"/>
              </a:solidFill>
              <a:ln>
                <a:solidFill>
                  <a:srgbClr val="999999"/>
                </a:solidFill>
                <a:prstDash val="solid"/>
              </a:ln>
            </c:spPr>
            <c:extLst>
              <c:ext xmlns:c16="http://schemas.microsoft.com/office/drawing/2014/chart" uri="{C3380CC4-5D6E-409C-BE32-E72D297353CC}">
                <c16:uniqueId val="{00000013-8AB7-4941-8BBB-888069DA56AC}"/>
              </c:ext>
            </c:extLst>
          </c:dPt>
          <c:dPt>
            <c:idx val="10"/>
            <c:invertIfNegative val="1"/>
            <c:bubble3D val="0"/>
            <c:spPr>
              <a:solidFill>
                <a:srgbClr val="999999"/>
              </a:solidFill>
              <a:ln>
                <a:solidFill>
                  <a:srgbClr val="999999"/>
                </a:solidFill>
                <a:prstDash val="solid"/>
              </a:ln>
            </c:spPr>
            <c:extLst>
              <c:ext xmlns:c16="http://schemas.microsoft.com/office/drawing/2014/chart" uri="{C3380CC4-5D6E-409C-BE32-E72D297353CC}">
                <c16:uniqueId val="{00000015-8AB7-4941-8BBB-888069DA56AC}"/>
              </c:ext>
            </c:extLst>
          </c:dPt>
          <c:dPt>
            <c:idx val="11"/>
            <c:invertIfNegative val="1"/>
            <c:bubble3D val="0"/>
            <c:spPr>
              <a:solidFill>
                <a:srgbClr val="999999"/>
              </a:solidFill>
              <a:ln>
                <a:solidFill>
                  <a:srgbClr val="999999"/>
                </a:solidFill>
                <a:prstDash val="solid"/>
              </a:ln>
            </c:spPr>
            <c:extLst>
              <c:ext xmlns:c16="http://schemas.microsoft.com/office/drawing/2014/chart" uri="{C3380CC4-5D6E-409C-BE32-E72D297353CC}">
                <c16:uniqueId val="{00000017-8AB7-4941-8BBB-888069DA56AC}"/>
              </c:ext>
            </c:extLst>
          </c:dPt>
          <c:dPt>
            <c:idx val="12"/>
            <c:invertIfNegative val="1"/>
            <c:bubble3D val="0"/>
            <c:spPr>
              <a:solidFill>
                <a:srgbClr val="0072B2"/>
              </a:solidFill>
              <a:ln>
                <a:solidFill>
                  <a:srgbClr val="0072B2"/>
                </a:solidFill>
                <a:prstDash val="solid"/>
              </a:ln>
            </c:spPr>
            <c:extLst>
              <c:ext xmlns:c16="http://schemas.microsoft.com/office/drawing/2014/chart" uri="{C3380CC4-5D6E-409C-BE32-E72D297353CC}">
                <c16:uniqueId val="{00000019-8AB7-4941-8BBB-888069DA56AC}"/>
              </c:ext>
            </c:extLst>
          </c:dPt>
          <c:dPt>
            <c:idx val="13"/>
            <c:invertIfNegative val="1"/>
            <c:bubble3D val="0"/>
            <c:spPr>
              <a:solidFill>
                <a:srgbClr val="999999"/>
              </a:solidFill>
              <a:ln>
                <a:solidFill>
                  <a:srgbClr val="999999"/>
                </a:solidFill>
                <a:prstDash val="solid"/>
              </a:ln>
            </c:spPr>
            <c:extLst>
              <c:ext xmlns:c16="http://schemas.microsoft.com/office/drawing/2014/chart" uri="{C3380CC4-5D6E-409C-BE32-E72D297353CC}">
                <c16:uniqueId val="{0000001B-8AB7-4941-8BBB-888069DA56AC}"/>
              </c:ext>
            </c:extLst>
          </c:dPt>
          <c:dPt>
            <c:idx val="14"/>
            <c:invertIfNegative val="1"/>
            <c:bubble3D val="0"/>
            <c:spPr>
              <a:solidFill>
                <a:srgbClr val="999999"/>
              </a:solidFill>
              <a:ln>
                <a:solidFill>
                  <a:srgbClr val="999999"/>
                </a:solidFill>
                <a:prstDash val="solid"/>
              </a:ln>
            </c:spPr>
            <c:extLst>
              <c:ext xmlns:c16="http://schemas.microsoft.com/office/drawing/2014/chart" uri="{C3380CC4-5D6E-409C-BE32-E72D297353CC}">
                <c16:uniqueId val="{0000001D-8AB7-4941-8BBB-888069DA56AC}"/>
              </c:ext>
            </c:extLst>
          </c:dPt>
          <c:dPt>
            <c:idx val="15"/>
            <c:invertIfNegative val="1"/>
            <c:bubble3D val="0"/>
            <c:spPr>
              <a:solidFill>
                <a:srgbClr val="999999"/>
              </a:solidFill>
              <a:ln>
                <a:solidFill>
                  <a:srgbClr val="999999"/>
                </a:solidFill>
                <a:prstDash val="solid"/>
              </a:ln>
            </c:spPr>
            <c:extLst>
              <c:ext xmlns:c16="http://schemas.microsoft.com/office/drawing/2014/chart" uri="{C3380CC4-5D6E-409C-BE32-E72D297353CC}">
                <c16:uniqueId val="{0000001F-8AB7-4941-8BBB-888069DA56AC}"/>
              </c:ext>
            </c:extLst>
          </c:dPt>
          <c:dPt>
            <c:idx val="16"/>
            <c:invertIfNegative val="1"/>
            <c:bubble3D val="0"/>
            <c:spPr>
              <a:solidFill>
                <a:srgbClr val="999999"/>
              </a:solidFill>
              <a:ln>
                <a:solidFill>
                  <a:srgbClr val="999999"/>
                </a:solidFill>
                <a:prstDash val="solid"/>
              </a:ln>
            </c:spPr>
            <c:extLst>
              <c:ext xmlns:c16="http://schemas.microsoft.com/office/drawing/2014/chart" uri="{C3380CC4-5D6E-409C-BE32-E72D297353CC}">
                <c16:uniqueId val="{00000021-8AB7-4941-8BBB-888069DA56AC}"/>
              </c:ext>
            </c:extLst>
          </c:dPt>
          <c:cat>
            <c:strRef>
              <c:f>'08_Europe'!$A$5:$A$21</c:f>
              <c:strCache>
                <c:ptCount val="17"/>
                <c:pt idx="0">
                  <c:v>Iceland</c:v>
                </c:pt>
                <c:pt idx="1">
                  <c:v>Sweden</c:v>
                </c:pt>
                <c:pt idx="2">
                  <c:v>Scotland</c:v>
                </c:pt>
                <c:pt idx="3">
                  <c:v>Ireland</c:v>
                </c:pt>
                <c:pt idx="4">
                  <c:v>Finland</c:v>
                </c:pt>
                <c:pt idx="5">
                  <c:v>Denmark</c:v>
                </c:pt>
                <c:pt idx="6">
                  <c:v>Norway</c:v>
                </c:pt>
                <c:pt idx="7">
                  <c:v>Netherlands</c:v>
                </c:pt>
                <c:pt idx="8">
                  <c:v>Wales</c:v>
                </c:pt>
                <c:pt idx="9">
                  <c:v>England</c:v>
                </c:pt>
                <c:pt idx="10">
                  <c:v>Switzerland</c:v>
                </c:pt>
                <c:pt idx="11">
                  <c:v>Austria</c:v>
                </c:pt>
                <c:pt idx="12">
                  <c:v>Germany</c:v>
                </c:pt>
                <c:pt idx="13">
                  <c:v>Belgium</c:v>
                </c:pt>
                <c:pt idx="14">
                  <c:v>France</c:v>
                </c:pt>
                <c:pt idx="15">
                  <c:v>Spain</c:v>
                </c:pt>
                <c:pt idx="16">
                  <c:v>Italy</c:v>
                </c:pt>
              </c:strCache>
            </c:strRef>
          </c:cat>
          <c:val>
            <c:numRef>
              <c:f>'08_Europe'!$H$5:$H$21</c:f>
              <c:numCache>
                <c:formatCode>#,##0.0</c:formatCode>
                <c:ptCount val="17"/>
                <c:pt idx="0">
                  <c:v>66.986314951862084</c:v>
                </c:pt>
                <c:pt idx="1">
                  <c:v>53.307071937218645</c:v>
                </c:pt>
                <c:pt idx="2">
                  <c:v>38.301305987140488</c:v>
                </c:pt>
                <c:pt idx="3">
                  <c:v>31.179164360819037</c:v>
                </c:pt>
                <c:pt idx="4">
                  <c:v>27.993820102075411</c:v>
                </c:pt>
                <c:pt idx="5">
                  <c:v>27.401768166280814</c:v>
                </c:pt>
                <c:pt idx="6">
                  <c:v>27.0469168565659</c:v>
                </c:pt>
                <c:pt idx="7">
                  <c:v>24.997766698064346</c:v>
                </c:pt>
                <c:pt idx="8">
                  <c:v>16.6353811149033</c:v>
                </c:pt>
                <c:pt idx="9">
                  <c:v>13.706428983728633</c:v>
                </c:pt>
                <c:pt idx="10">
                  <c:v>11.825821354479528</c:v>
                </c:pt>
                <c:pt idx="11">
                  <c:v>10.395147222972657</c:v>
                </c:pt>
                <c:pt idx="12">
                  <c:v>8.2457732949087408</c:v>
                </c:pt>
                <c:pt idx="13">
                  <c:v>6.6548897074449611</c:v>
                </c:pt>
                <c:pt idx="14">
                  <c:v>6.4804844846611509</c:v>
                </c:pt>
                <c:pt idx="15">
                  <c:v>6.3209143890604578</c:v>
                </c:pt>
                <c:pt idx="16">
                  <c:v>1.5949221502886548</c:v>
                </c:pt>
              </c:numCache>
            </c:numRef>
          </c:val>
          <c:extLs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 xmlns:c16="http://schemas.microsoft.com/office/drawing/2014/chart" uri="{C3380CC4-5D6E-409C-BE32-E72D297353CC}">
              <c16:uniqueId val="{00000022-8AB7-4941-8BBB-888069DA56AC}"/>
            </c:ext>
          </c:extLst>
        </c:ser>
        <c:dLbls>
          <c:showLegendKey val="0"/>
          <c:showVal val="0"/>
          <c:showCatName val="0"/>
          <c:showSerName val="0"/>
          <c:showPercent val="0"/>
          <c:showBubbleSize val="0"/>
        </c:dLbls>
        <c:gapWidth val="150"/>
        <c:axId val="10"/>
        <c:axId val="100"/>
      </c:barChart>
      <c:catAx>
        <c:axId val="10"/>
        <c:scaling>
          <c:orientation val="minMax"/>
        </c:scaling>
        <c:delete val="0"/>
        <c:axPos val="l"/>
        <c:numFmt formatCode="General" sourceLinked="1"/>
        <c:majorTickMark val="none"/>
        <c:minorTickMark val="none"/>
        <c:tickLblPos val="nextTo"/>
        <c:crossAx val="100"/>
        <c:crosses val="autoZero"/>
        <c:auto val="1"/>
        <c:lblAlgn val="ctr"/>
        <c:lblOffset val="100"/>
        <c:noMultiLvlLbl val="1"/>
      </c:catAx>
      <c:valAx>
        <c:axId val="100"/>
        <c:scaling>
          <c:orientation val="minMax"/>
        </c:scaling>
        <c:delete val="0"/>
        <c:axPos val="b"/>
        <c:numFmt formatCode="#,##0.0" sourceLinked="0"/>
        <c:majorTickMark val="none"/>
        <c:minorTickMark val="none"/>
        <c:tickLblPos val="nextTo"/>
        <c:crossAx val="10"/>
        <c:crosses val="autoZero"/>
        <c:crossBetween val="between"/>
      </c:valAx>
    </c:plotArea>
    <c:plotVisOnly val="1"/>
    <c:dispBlanksAs val="gap"/>
    <c:showDLblsOverMax val="1"/>
  </c:chart>
  <c:printSettings>
    <c:headerFooter/>
    <c:pageMargins b="0.75" l="0.7" r="0.7" t="0.75" header="0.3" footer="0.3"/>
    <c:pageSetup/>
  </c:printSettings>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entityId">
        <cx:lvl ptCount="12">
          <cx:pt idx="0">8141652</cx:pt>
          <cx:pt idx="1">8175722</cx:pt>
          <cx:pt idx="2">7010772237493993473</cx:pt>
          <cx:pt idx="3">8255245</cx:pt>
          <cx:pt idx="4">23331</cx:pt>
          <cx:pt idx="5">8164991</cx:pt>
          <cx:pt idx="6">8208586</cx:pt>
          <cx:pt idx="7">2537</cx:pt>
          <cx:pt idx="8">27654</cx:pt>
          <cx:pt idx="9"/>
          <cx:pt idx="10">8145598</cx:pt>
          <cx:pt idx="11">8145597</cx:pt>
        </cx:lvl>
      </cx:strDim>
      <cx:strDim type="cat">
        <cx:f>_xlchart.v6.13</cx:f>
        <cx:nf>_xlchart.v6.12</cx:nf>
      </cx:strDim>
      <cx:numDim type="colorVal">
        <cx:f>_xlchart.v6.15</cx:f>
      </cx:numDim>
    </cx:data>
  </cx:chartData>
  <cx:chart>
    <cx:title pos="t" align="ctr" overlay="0">
      <cx:tx>
        <cx:txData>
          <cx:v>Players per 1,000 population, 2025 — ranked (VcG excluded)</cx:v>
        </cx:txData>
      </cx:tx>
      <cx:txPr>
        <a:bodyPr rot="0" spcFirstLastPara="1" vertOverflow="ellipsis" vert="horz" wrap="square" lIns="38100" tIns="19050" rIns="38100" bIns="19050" anchor="ctr" anchorCtr="1" compatLnSpc="0"/>
        <a:lstStyle/>
        <a:p>
          <a:pPr algn="ctr" rtl="0">
            <a:defRPr sz="1800" b="1" i="0" u="none" strike="noStrike" kern="1200" baseline="0">
              <a:solidFill>
                <a:sysClr val="windowText" lastClr="000000"/>
              </a:solidFill>
              <a:latin typeface="+mn-lt"/>
              <a:ea typeface="+mn-ea"/>
              <a:cs typeface="+mn-cs"/>
            </a:defRPr>
          </a:pPr>
          <a:r>
            <a:rPr kumimoji="0" lang="en-GB" sz="1800" b="1" i="0" u="none" strike="noStrike" kern="1200" cap="none" spc="0" normalizeH="0" baseline="0" noProof="0">
              <a:ln>
                <a:noFill/>
              </a:ln>
              <a:solidFill>
                <a:sysClr val="windowText" lastClr="000000"/>
              </a:solidFill>
              <a:effectLst/>
              <a:uLnTx/>
              <a:uFillTx/>
              <a:latin typeface="Calibri"/>
            </a:rPr>
            <a:t>Players per 1,000 population, 2025 — ranked (VcG excluded)</a:t>
          </a:r>
        </a:p>
      </cx:txPr>
    </cx:title>
    <cx:plotArea>
      <cx:plotAreaRegion>
        <cx:series layoutId="regionMap" uniqueId="{FF8B1334-FBE9-C849-9DD2-87A49D6C29A5}">
          <cx:tx>
            <cx:txData>
              <cx:f>_xlchart.v6.14</cx:f>
              <cx:v>Players per 1,000 pop.</cx:v>
            </cx:txData>
          </cx:tx>
          <cx:dataLabels>
            <cx:visibility seriesName="0" categoryName="0" value="1"/>
          </cx:dataLabels>
          <cx:dataId val="0"/>
          <cx:layoutPr>
            <cx:geography cultureLanguage="en-GB" cultureRegion="DE" attribution="Powered by Bing">
              <cx:geoCache provider="{E9337A44-BEBE-4D9F-B70C-5C5E7DAFC167}">
                <cx:binary>7HpZk504mvZfqfD1h0sCbUxMz4WAs+S+2U77hkhnpbUgEItAwK//3qyq7q7q6Z7lfiIcjjjJQQck
ve+z6d9f1397dW8v409r67rp317Xv3zQIfT/9vPP06t+a1+mj615Hf3kf4SPr7792f/4YV7ffv5l
fImmUz+nCJOfX/XLGN7WD//x7zCaevPlS3ipumDCdj+/jdvD2zS7MP2XV//FxZ/efh3maevf/vLh
5ZfWdKWZwmhew4ffL51/+csHgQjlhH346ec/DvP7F25eWrhXvo3OdP/0preXKfzlA84+coZEmucp
pRnHKP/wU3z7/QrKMcnzLBUMw3/4w0+dH4P+yweafmRcMMpphnkmfr00+fn3S1km8lSkacooS+nf
ZufOu0357m/z8fvnn7q5vfOmC9NfPmTph5/63772/n4cYZ4zhPM0zSjCKUYUrr++PMAKwLfx/2OO
J3TV7VyMW+2LjWZGEu6tdLhdi1r4ukzjYAprUnzobddJnTMjUS1ume2/+4bOReTqohnFnW/TtEQk
qdiiRMl35aoOi/2QJVsmPd7vOz8tX0XMwsWg6bnT8wMe2ivKwtFGNhXttsUiddOpsVH+YUn+yWuK
/+YtYUX/+JZh3kbfJs1csGauzyOq77t8OId0icWwrHKImS1m7a7+61/N8H+aXYEQEpxgRtMsF5j8
+XejMPXm5nYpuNme1dT3cljRFethRtMsaYt8FkGKoTVlP5v1sPajKWcbn9N2+KLx49bzutLYfGIh
+6QCaooNIy1XzSsx2XMt+qcsdwefmFdtdlFFmxzGrvkmSGzlMuhUDsv2jcxTrFTmHqJtuNzH+rgu
TSOFy3+ZmvVbaNIvezY9kSVjssP8hWk0S561N6TZzF2Kknjf+Por1vpzSNMfoW7SYmVtNQzdW881
KXKO8lLhfThuqCblkufuiDKRnVLcR5mP7dU2q2fcNBdLxst5y6dip/tWbHr8pnD9/D5Qu6+m3K0W
ZZ65tMTJEIuJ1RGqdrgSTafvG8VFMeDJXIuckLvN4B9WsKWig8aFYzspOJ7qUidWFftItvscs+We
mlzI2KW4yrXbSxXCZ4QmJzMXxmpsvDhqoY3sKPYy2VNU2ZrU1Typ51phVuwt4/AwLi+2WetLQttV
2m1JqlajtOLamnIh/iFvQqljTS7QmtUwdrpLs9u7nS6ddBM+sCU2MvfxAFWmJPWbrqyblOz2PhZ1
550UVA13Y+ucXIJ6yt+3RLuOWk5haY9dVOuVMFodp2lXJax1KMbFXfz6OJQk96sgP2b/wwker+PI
qVwbM8o1oJexzUjJeM9lIlJW1WY8w4bcXkyYb1pBW8lyhGW+Zk9iyYSkmJnCJRMsBbvJt+xx3tXV
0NoT0Vta7FNvDi5fjmgycidZL1Pr7gnJx6tRuPQcaNiOGVTw+4o2xBrZ5GSuErs35wm2ma/JVqEs
Ovm+8diczWVTO3zPHOFywRM9rIlbrBxMcOXY8ubsWvecQ2VRich+7Wl9veHke/BjX8Y0P9ttKwk1
4qDSrZo0Ku1SXxOR3kErelwd7+SSGSLt4L6pNB7bXH/OqLvFefguasNkWu9O0j1BlWjFbSTscxb1
cef5abErLNSSv0VYP6m2iRWhXcgBiaVUTVMXSz1SiWdUEbt9IVEnRa2HR9QN/Z3QyJfjpBs56AGa
ZQyP0APLjW5adsH2h4aTm3Znzw1qOrnN9c2U5ac9qT/HBP/IHLmky3LT2FoX0dVF23cjvGA9SJvj
69jDBIlsqtY9HGATFDGvoT9T30o1wuqs+rvb5gvdY1ZxtbvC6k5Ia6Dik1Gfhm2G3V7vfZFO+HIb
9qZwer6eTa8vjZqaqwEtoYiAeVWXhHC9By2OaY+ag1f9WikzcWnXsN7WSZQsCcsnX3ewkzl0k3y1
7NwNiTrFZe/lZFVdjplfZMzc58T48QvCzae9UUKKMC+flx6gYNSbvlR7Mx5nz5Lveq099KYFrxWj
upaCNcOBLqH59L6bXd9Mr6zrkJxmhqCbswuEZ3jpdSyI9fw+IFzU7XM9rV4KNYSS1XNWJkjfqZyq
Mnp103XTWvB9cHIW9VT82vJ//o1+/AlgX32/jUbp3/nH3z7+x5Nv4d+/v9/z9z++E5i/f7r+K/P5
L791fPPvHGP6xy/9aWRA+9+f7p0c/enDf2JKfyQx/9OL/zOiRDBwnD+g4/uz/JkmjW/t259o0u+3
/EaSxMc8JxQhzFCKeSooIOlvJEl8JDkgKHAUlqYCpTz7O0nKPjJEU4AXIViaIcI//PRXkpR9RBhn
RPCUZO/gS/5XLAko2p9ZEuJA1AQwNUYpQ9k/8Id6hQ26J7otTJu0t22du6Imy3w18IXKZHBd4YXp
JUljPJjInmo3rzLFyhTepUzStm3KSces3Fyi71a+qbFIrbjDk7WXQ60yoCD1Uo2RLSdGBz4Xnk55
KfAPoZOybYkrtpTdJet2qRD6TjExOWBeRx6DVZ+7ONNiW7sXtbTf08h9hQXNL1Ef63LvElv+YeH+
CZnC7wT4z9OBKcsxzmlGM4TYr7TnD6Rx34QzTUJdwbO1KYl39hHYiX5SixfVNoa0MGZOC8bX6TgE
Uh9JzKcLNOxMopx3Z4PzKzJ1W9mYYSlSZQc57f0ia79uB8QtQJce1Ces071IPY9HUm/9dYvHtHDR
axkEdBY2z9mt8e0oqVKTJCrbDwsfa6l0QouWTV9angLEov3CkUn0cnb2htP5LaZbViCVkBKJGZe8
bp1srWKntl1GaNAsu8DL2BTC9uJoGQkFalRpxZI7OYRhO+y872SO9r1MG3hXNeNdTklv5aZTdY3G
fjsj7/VTm01p1VO9vLke20Ipsl+iNSYF1VtdOryYc06plSPFky7DFLvz2pGLpGvHMllZJxmeg6xZ
is9sHKDbt+1VnRBRmKEZJMt6VA1r1h6MXUTBVwdj0MXAXTushLnV9V4fk0w/ksiLbMejXJCXm2qI
zHr2KbbqjhBSUd3Z0g7tj34MF6neH7aEJxKWp8piE+U4x+PKk4e923m5r/DDfqAVIa4t+SBMgSwM
XPeOytECQIxKA9LVqT3UQnlJeafk2u77sduT5rAuKpfz2ng5ec3kttKhwK07UUKBGQcjsVPttbWq
7IEYHsfED7f5kviH1PT7vZlUWpoVgDl3YjqlYdukmn/UWc9hidPlPCqfXwzG9g9NbE210jmXK+KH
OWSpnMd6r1I8T2UKhdH9pjD+r/H/dwoZg6pF0K3/tUJ+0vMIetK8/Ekk//W+30Uy6F2aZe+tnhHQ
Bn8XyflHwQXOcpJTQUCr5qCh/iqS8UfGQEdw8lcB/ff+jz6mgBU5g46NMgr96n/T/zFGIMX/3PIo
wEnOOEAUPF+WA9T8UUHWjQ11G6MtBANq5Le5YonfLhxszsuIchXkSig7jOF+Nk8gP/A5q4e+EgPt
7qOLhVigv82K3tlhu+G7+eJEJkmE6tC9eDbrmBRJbB6tssDz/KJ7qUz6IwW4PMR9zS486lYmvarj
U9ORqWpzXFcsiz8M5iAv/FfRCFSQaJysBUcyFf6ShG0qLOsW2dLdlWvoPo9DE87z7K2TrA7zYY+E
HNjEkFTNTKpaDcOBE2FfVZ1mZVfXqBj9Pstt6e5G1frDNAFH3Gif3FG0j9djvazVzNsqm9G3gZEf
ffdFGXEzD7oYE32b6AHKkCe3tluuscWXim6ve+6qMaBTs9U3RtNvM5mu5hlAoCcCfwdb5L5eLZDG
AMryJsf0uWvZ09JlqghrB7JoSIq83YJcbKflIMb1rBP8mHTrGyHoWfHJFqPqlfRiawrs+V3brvfd
CmJnWOhbYngrmw4UMk1GWprFPuAUHIcBcDOmtDIen3Te0xI65QPiizDQgt0rb/RxW/VoZDpxI/nK
8gIg8nnPt6Lj+Y0etJKxV7cmDVEqN8lVDHCpU2uhkX53G+gZkL4/ZFn/rDRmUq3LdGdVq3CRCHG9
EWDZyFv0wDxyZwRCq8Qep1VCOcBUA6IiQaQ+MT2ll2PopWahrkAygCVg8i15S5WKR9H2uGp7porI
XDgPs/UyF2jv5F63QHqxcTWwdcZksy09qAwXgLfgqfQ8gLwZen5Fd45eI9XjldoUL02izEGgqb5N
ttR/6r1Wl3Z1zSEFkL3XI7T+3sz+qplqfaEbksvNKFLEbrCVhYrRsxWXuumDHJnzRdou7o5RoPB+
EBeNZePzAlzibQLAc7SbHEwX+bSoOT3VcQPx5vcrjnx/wI2g175Ok9Oe65dmah6ySKYy71ZzgZvM
FHTZ3lCHC2roXCrh5s/QPO5FLloZU3PjOsEP4EA8AqHBV9tGesC+3YEbkqDHoFpSbkQ9jTHHF4jm
3wfkd7kqW4a+f0FJRgpf9wP4EWKUhmQJKPzlIu3FRefyJ9bn+EDo1pW49T+GlAAF2vBpi40pWtwB
DXDkx7j0dfEu1VttXZHusHu7jSlpXXoV63Boh3Erwzw0Mtj1l1qBfNW2V0e1hK3ws3vV3BSJq/dD
kjeqaHfYyJoEJkOaX061k3pTFTCXCLIcdHZKPq80nyvHcy/HdYrSsw6VyJjX2CRaNg76ElfJo+5M
W9RoOKWqv0/4RI9tE79ZIK79HCu78gOq/SWGBgY8pZXAuUo9xOOUwDYEBJfc7Afth6JZt8991nbS
OP3QbwEX2ielGsZDk3REJg7f1NDrDzOL5Lbebg2ZZdfp76FBVu6Ofl38hqtmUkkpzJrLnc97odfx
i8v5WHLD7mL3I4Y1kZjv47ln6zkxeSv7vBcH7Mb6vKxqPFCNHrxNj3sX9cFl/A4FtV50fTZKeMJY
jOnclTGoyyl0FbJtYfflRiN0xBQ4TeS0cDZ94Ww59NNw9vl+bb163cb+wFp7njkYeAlYIOBbiGX7
pAl97PlYuW282uu1h/2KpDH92wZsGOhuvUqc67KhwJwiaexhwd11krperpN+M25URbbso9zI/H13
lhRzys4qt0ORe8OKJsnHYjaUfgnaIOCpO3bSki4rlp6jYuvaY+z6z2FMykmkGEwGcWAzuxe27QsR
9qHiK3/hi77KzPSQ8+brgn6xGy/7xuTlMC4aKBS6axYP8xVuRTQPtTAlDXtSYoAIuavtJnTd15bv
7ESY3g/zhJuCJdlZN8mJbeqzq9teUhjwRiG9yxnNt1Y0x4SCh6dVdIXJ6VjsQ0SyscCV6yz/bOIQ
JE/c/GRaup7dQrKCJ9teMWtzObXkVSTuAWl6OYsePOLtttUelcTYePK7RWUjVnClcQMmTXvBDfhy
pB1/hFHPVW+2kprIZZt1B4Pq15ixGTRIk8lRLM2d6ueHMcxzsXRDewsaLpduSx5zNX6xtL4b2WYu
ufa0HLb6GswwfFjyoAvX5de8FdfKq0rzJZHbyItx6L7MYD3Iic4vu/UVeHKTjM6fPDOPzQSCyOfZ
MYt0PeIa40PLDQVnzcBjZnQ4hSTIPDSXdAL4UbS5b1PYNsOaX6AasSswae/4NO5yS8Aa3qEe1hVq
imtqqxAaVzqg8qXf16/r2j3HFDzlNIxOBkWfCNYPEL/MZUeEv+dhvFMmHp0y7ikjFldzstPTIhoA
UgJ8wMy4l4mC1+EG1EWfUnAs/VpAdMJvtF/fuPIXWIXn4MkKccEqdd1VgrVyNmQALkNABww5tINp
hEJdk3M2XbdaxGNsZi9jrXmZjPO1WMNdE/0XauvpzKcklz0PAJ1skIH1j0aopdh9uN62EKRJ+7za
WvvQ1zgrw8o/xUGfO5Fc1mLUBx73SbYJ38rERiy9q5FcO95XVn0ahrQpBwsSeelP2Ay/aAdaK+7N
53p7pzVIiSqNe1e0FjjL9lwnayZbop65r+1t0otGgj1XV2HPvxAw5WWPdVa4AcTJEPVjnosnhxA/
AtossPrpSy8UKp0afmRzHKVP66+j4N1tCy1crgk6b9DnQY+H5Drs1xuj0yGmZHieqcjOMXhWqVXf
7hmay91NlwNJDjaAvczZJtkMFgGaeVr6+qyS9G6OILwHQN5kWXU5E2AQYwoQ34A5uNn+GzEuPeVd
r6reh5es1bnEe/fL0NCbsGe0oCkTss2HL6klUzFn/XyRBuYaWVN3YklyoE5BFGR2IDRo3VyleqI+
NytebiiPvghbBE6biesMq/u4L4Xw0wAZwDJ8RVgD0vA+nIHGggBnwBWgPLak+x7XdiumbAKLlUWb
SsxALE40Erltw+3kQGpjlCFAlo7LzfG+WKCEjzHfQKF22XROEzC+bf05ER7c2SSGAuzGX/oN5KOJ
rfhq9jp8tZx1hVqG8bbBaJfjjn4BFZyWQNAGuXTJZfAwxwqbr4iyvmhrsGX5jqVNwUitoTmclpoR
2SzpF2CISi6+uUpNWp+HKd/PXZfs1e6Gz5vq3KNOmiq1zVyKZEiqdYhg2/e1qvYImRhvipl2ADiR
HKcIfsMoGgcNiYkCpLI+9O9eN6y3Lb0R70bFjXIaejwZv7eK9S8bBXWwgYBofX9F4viFDYYeMRnz
yii6nHwCPnQzZ/Uxzffk5MluwRrB76kSGMfkNCc0lypC3Q19qk6eD0OZt8EenNBzGXGigG1wCtWI
QjVxBX7OALmO2Na8RHagZddAILIuy1ru+WiqeprlpPFyYOvWH/KEfetUs56B3vcyZF4fumz013rr
butsaOUY49dhE6J0afO1o1DDqZvLdch8mc97X+E6h4Ajbjh+izvoH/ZuocUa+g5Zk29ez81dT7mW
4H+cMFefsUb9gbP4tC0gBzh9yhJyZcAJH4S+2frlWojuPjS9l7q10G27nJWxXREs0MhPlJr6tFo0
d7Jd+ZNS7MHmeVIlmIJns40RMqm5mtLMcqmXAJ40CRwS0OUx7hbC44Q9RRNQXQ2gAco+rcfSNAt5
znU6aQChOfuCZ//YrITfzMimxVSD01UHYFz9AoXbqdofutF96se+u224j/cia9hnPy/516yh4WEy
ed1C4APpKxGkLxBtunJ2+wbFAzYZmEHfDV58Yeo1PiyJA+4x0us2wf48Ydc/oWigJ5iePCsXBoiO
8My+iEY3pWF7ez1pTU9CCHKKLVtuzNKqKg9bAkQRh6dxiPMB7Lh9KhKeQja3Dzf1aIaDGdR4wcPe
HmAHfk0Vv5t1zUrBF3D9h5DgizhxfeVzbS5InuwPa275jfUrKCXVx+RyWNPpNAOnB8M91slQTnXS
lZ5w5uXOxCxp02QnTsbtEaWzAt+oQzfT3KXHrOW17PK5rTSw9Vvq6rWC3dyfmGXqYp4XejNjh0Hs
Tde0g82RT9NwgN7R3SeBRojncLjmc+Jv83UuRMOTI/CDrQKmEgBjRx+rPqL+FPgkQDXj9tpjm16v
ZLsIrkUPzdD7Y22T+g0nNT4OawRGzlmDpMC7q4CJLYc4YnOT2fcUfL1rwg4WkxVXCeoogMtNDihR
bLxvKrIs4anF83IIzuK3MeSACsuSkQov/V5kPX3GWJUdHoeyj95CtuGXq4yysVgXn9giyeN+rZJZ
7tqmp2FV+Gyd17+MAPxn0UXyZaADSAHXlA2L6vHXBqsbUCQ6rBY40fAwioAPyZqv0L5/TVbXFXLn
/TixqS9z19Wwnm3/BBFjHSGOy+9V3uhJ8lnE2wVtDry0HaStXzbovcN+3ywJPL6dpjJRw8l1fbn1
LmnkmgYImdbdg9hr6r4ad5MfmnW0t5vRI2TLpF+OJhX6tCoOzdL4SG+2CcxSveb6jgYgpYPjF4JY
ccx3cDHJbH4Mi9PP7TrR6+h3cRYQ6s0QzOHHOt9amSpkyxFPD3qYVzizwLTUc22PnYvsuYXY4USd
UJ1MthoWKyfh67Qk0JoIe1JZd57TriclmSxQDg9KiTscL0TI1GfY08ssVzfkJRl68LObhJxH/WMA
PJUhiP7ouXpZ++4wAO8u0jHTheWxg4mJVuZpNhRZk17ureouFjN31209gfJvMynedZlI8JW228MU
KPo+pu4BZhAkjEBbtQGrPQaX24oG4h4bBt42srwvu9i576l27uympuANC19VxuqCivluX4m9s3aG
2UsykIYMh+lxadD6LTHvte3xkU5UVAoEYGrE/ZTxY9KrcI0g3L2cbWMrF6fLkQKl7Uazfh6Sueul
S4AJxUmpb0PSX01+tM+kFeSTUXB6A89ayJmANIRe2j4otBLIkOP20GoK9IxgdYc3C8oNWCbSS/21
FXwo8Q7JRLYKoJhLtn6pyRy9JGBSVJo5dmxmajVMz9rekt7CMYUEf/XN4L5mZtjOuV/464QQBBwa
2rQSZi5CyKkE5vildTEc57VfoOrCBdhRMM7UgT+w2h8eje1RgZH3rRkh0R4goiiTBYKapQk0lZFn
y01ujYD2z81T1C3Q2zB5OFtAuwMeBldC+KMPds5RCZx9fKgJW86T6RzojyjDKuoSHBZbrTl2l9T0
7ulX7/T/jOb/xmhOBeEQy/1rm/nx5WV0L90vf3SZf7/pN4+ZfyQIci84LPCrIZzCUaffIkb2MWNZ
SnMO1Zhy8av5/LvFTPKPLMtwzrkgJH0/iPU3ixkuYUzgWBd/P98Dp7vS/43FDEHiPzrMhHN4BAgz
OWymLPuHk1h1bPeE60ChL/Sj1Hu3fgJhbU7DAtlVv4GrkEOiXew9hDiQ+D10jmcSjOejHpE50myF
AIrOKaAyHPmYyrkFe2CJcTg01r/mbBNn1zW4NFnW3Si71afBp1cT7r9CtcAP4G2582Ny0S3zCJoH
kWrZnH9wM5yawtv4Uk+Ol6Mbymxm53GcbghLdFHT+XHaGtj8eQ8iAIFvPY31dQoCryAzsG+15FhG
o77VWfqlhrSuIHXPKhJGKECIvqK50JaeLLKJBMizstPpVWjtdTcMhWiz+QgnACNE9SvYsLY/R6LM
sd0bSKEWe1Bdh09k2BIJqmMEvcauONdFVquvCnfq0ALyvD/9CURl5Tk6tljcJWn8lOpMFGmXpzLd
9SARY7VkfLuEI2qnzI2XTacqIOMF2NMXEbfg06UXa9e/kro5mL4REtyTu5YnQxHqpIg7O65r+6kZ
+NXctQBLQX9bGf/mBRy9WMIz41HJBs4iSd+aW+/8nQlw/sGL9NirDlWmHpZyM81YNToeWIJu05rF
IwK3wQuwzhicjzvVaL5xQ5PLYWuLEJtLzWNfcovLdgerpFNf5pV8iRpO/hBdY2kQ6DnVWFM1kG0c
Y6ZCRba8L+Y8jcW8qQsDYFi1uG6O9RhvBi0u2jZ8Mpu/7PDWVwFBmmCCuMtYUh/chHyhE/CzRhUv
wRgnVePWe1b7i8nFZ7ZM36cm+f/snMl25DiWtJ+IeUAABMEtSZ/lcs1SxIZHqYjgCAIkCE5P38bq
yv4zu/qv6tr3LuuoFO4iMdxr9tlNNAFQJ6tphgq86CTQ08O4fZleXSJI24uvsEzIR0aiIVmFLtM6
DHN4tuOxxakc2wianCFDijs0B4LCj3SSaxx8GAHJw1+z+hpNxp1U13on7uC8L06G6KLMdR7gK2JR
jce6VG0iN/OinrNrLvooLlU4nEkRFWfSVG0COWZFe9vgzhJ17RE01zkEVK/mx3AkY+raadllcL83
yO6n88Zqhz6FPpRT8WPyscqHrrrkHSrIbnDnsoE8ZB14ncwj85F7UwA91luPEpdQsoxwyq2ssMs0
PKcnJyiJw6hh97PqRDKRlu9kEZUfWbbgQ6t6TCn8ze+DmNxxdSBjdFVE+8yifdWDbE+dlN6ZhqZK
/RwPu+rMcgSTBHd6dP6Be57d4TE2T13t14+5br7yEFdt3hb1vm6xHHQV8BeVwcnOQ2augDKiI+lX
lnZjaw/Kw42cByyNFr94NnW7JGaOpm/Chr+raNlEHpldAjmLhPSOQ7WuisQEY51YX3tXKlUd21Lz
C55ac/ZIpHfj0A3nohR1QqV5CFHIPNvyNlsznGW+1HdVXfd7JlCzidkAlKtVkcqZ8lttYQCEnn/i
AYWw4ZqfwRp85pFVB0enMzirU9ZbnDK9ZLu8zvqDyYyKG/hESUhUEC82Q5NAfRkvIRhPCdqJECjE
c/dYEg+CcB8Nu1ZlemcroHgg61giRlBVy8ohXYuiiddFewc4/l8hz00ajMVzPqlftqyfNDVlrOz0
hIOZnfIi07HPYHovxiyp8aO3rlteMjIdPc2a47q47jXI9PRppiW4h59HElc1vygNit0gZj/1dANA
E03mkrJcoU8Ro9zrBTuOOUCUuQPUIaPaHEtU7yKCueIABTRZf+d50o8z1673jaoeFlG/o5mAwYVn
CO4vTAfmsxsITe/UcTagme3yi+/DGMzXxY+DoPOOag5+du2yxmE7irR2U31elOrhteDMHuhUHMM+
+sz9HnCGGLr/s8//V4C5zxj7p1XN8VP97vr8z0XN33/n78Y5+Q2lCxDLiLOAU4765A9uiqGOkJFg
f0OjhMRP/vDN2W+R4D5+CL58o3hgdv8/bgo0pRQSlBOQJ2z9f6eo+YeShsAyR6/CIx4SLjis+z+b
5gNjS0kCsmFT/bOs9FVHIilH//qnOu9/AJL+x48JA0ojPEwBbeSvH1P3U66CkCpQff5XPqDlznm0
dxCa/nOV/gXu+zMtT7d/6S+0/PYHwYAGq7DBZRul9uc/qM5rYGqcq2Tp2W7Qrky4X1Wxx5a7viop
aK95iSdPfhZtDWOFT8nAHbrz9tpO1dkTuDtX89hXgdhNK9dxU9kF13l7L3VDElKwF2q6By0qP/ag
XP2Lr78xCv/w7VGoSh88REA2YO/P396IELLtdgG7YLg5IKYZTu5Fou8fK/aG7z7/iw/0/4GaICEA
PKCBjILuC8R/ezPeqqbcZyHKlQx+gcihzXV6gFhYnFcms6TLvGWnKAG0kBcsbvO2S8w6jod/vkD8
jQT865/uY0lzlOsSrKDEt/nrn+5MyNtWzybxJwhGQzfyQ6vG9mCWuU4MpwMc+/nRZ5k+MciKSY4m
UyddYeFC9uG58NHQsdmD7+n5yVJlXhxKyDE5pKyE5e20swEyFFXd25RnBSoJFzgPtH4Q3E20LQ7F
SD6g4sjzTGx3yPM6P/V+MON05z/bdb5btd8c1qqTl4os0DytREtsjYSCAAr2OUQxkYhgPBcun3ce
zoGznw3HztLiYjx7DQsAEy7iJhXWP6oIsm+OAhaVzWGtu4ey8i3MhNY/134j9zAsaELs0N30iIo7
F2VxbBZIYnSe+mdljHsmehinlPo+DJW+BiQsR908RMYRGNDr9CVltsQkz9YPQTP9i1kD/522tDmX
QcWCXa8hZplS1kc/03ZInV/MF5m7FqIKfNxgQQUq8qoHd718iinsIOdThT0DPW7Vu2WB5+QRb83j
pmF90nHTJU0z/hK1vAWgzxPANvMuzII6FpD6QMAw8rSWfI2ZtRHyJKW3G2qsJlgw3WNglUl1b8Fk
LkYmhemr4+ImdR3CkICnmRA+WXlzGSsivtfOtT1k6SWEfW2qB8oGL1kh3STtmsVZVikdK5WPb/Vk
v494Z+8WsIu/+M1xUXr9VU1h9lkVQiQdZO0mWacA9QNzT9Loeg/m2VyXTncH68PjdRM1Z91CGx3X
WZ/m3ri9xjI8Mq8dd4OZ3witkRpZhjz1OJnPoBNEgg3eP/cFXGjNiUr/tln+T2D4FwID0jlBEOGW
/GcSw6zb5c938X/90t9v4+A3wGtBiNsY12cAtOSP69j3wbH5gkchYBoq+Nb+/3EdA2OTAkhZEFAe
kY1V/q/rmPwGGprCEdouHcSzon/nOsaH/+UQxHYNGWQOKBx+5CPu8ddDEMgOkl6jbhPvHso1WiTW
7HiqhftXx364aSn/8FGoyfFAcVHi9P9vF2UEZ6eKpqJFUGjL8bD7lerE78kuhGI5ku5JCu/FA4vp
cpWadYFskNNf4K+bpCvZvu2CJq5J95z70W41CudC/hxkNWJJ0ydOC0gK6y7zysvaflRTLuJC0iPk
4pM184PH50e6WBI7v77ODkbT/GHmExX7Yd6PAf0SHY0Bxlx13rz5oRfCN/b20C+DYxYFUzJa71ar
rEkQVHguCg/yYt+nYlwTHd3jnT6qfu13hDRbRKc6NRFPOjmeuZkOleoOdPLOdVARoC39bvHykwOx
7I8s6ajG0T0f6NAdmiIH5gSbxDyrokjqjsWGkiyRy5D69b3KzYNXl2gbsxm4hwhPjXa4sYqffBJp
6+G/zQcn+sBIv2MNe+z64mnl4gsRKDBLnx7VN8rKG2J5qZ6Dm9Wi24soeBzdkgxtdmj5j4hASYgI
6rHlTbDm1g8thNj8Torioa7xt+X5CaWJfwSJfr/k5s1Un3SEAIr/4/tQswSVzxP3m8coQ+NT9vKs
Qa/zmV4E1H76yZfhR8PfLDyHbjE/+gbEl+InLx/z2J9AaJG1mGPXOXLn+YOKuVi+Mh09Nlm+wGYv
79Z5ruMyo4mpiYnHab1NYaVAjyzv6wBlYqZih7jhJQNZRty8a1pNr2vopU2p7y3SXUAJcHKqEM02
/WSmTWorH0zbVkmHTBv16l9QcNNoEs9VOfQJodENXvyZIId55kDtnkRYJbXpjmNbLMesLdcLxP+P
YpRAuEfwMdExU78E20NUiRf1lumHCkBKm336C8DzqI43OZ15oFCg0Ki4YmO5Cc3tdOqIuIWlLXbU
yQs3JS6r0V681csT2eQ30+cPXaTOVi/DHjkCnawFGeMy/IZTf7dAyItVmzbzR4HlZb7sOLwN2bCr
eFqzPacvFhpI7x/q5VBnblf2d2O1Po7BG2lRmqBMijkJbrOyade+Wf1zHtKF8TjoPiK668VR1Kd5
Im9d1sDGkXOTgKvfOfPDr+BUfoRBhLJX3jJ1bkWTNIDpJYWvewjteYgeO3Mx04+c3rzZxtg9B+dD
nxsWxQG6wHiI7G4t2lhrnqxLkIbhD1WBbF1BArnsRzuNN7uC1GzZiWl57VhwDke6D8pihCUfDFfl
xpOah6dIR2ja2w9IjVfZT2ctgQ4CRD7workH/PfeMET8SlHJGOoEZFABf6Gs4Dww/C9SZydtmsTg
NoeH+Mp4uz7hPSO10HiHSIU2buWUHRBZNek800PtrTiXePkKSu/ZzuwuXAs8Spf67iNqrl52BZo7
2F0VkCXWkzq1Yb6PgmXAvjd3qOU3wa1XY8xE+Z2BlgvC18wD/Md/59O51j+65dMZ7xzV9mnOmt/H
WewEr/fB2j/AanrRTfhm5uPkvxLH+QmPs4sJbfe8fg0iPaRzfVkLlKC5fSX6V51FVzvA0FP5fhgo
7E3qTiERO93V8Mv1Y8GPa1ndL8I+1VP1XEIrk2pKiFeeKW9jMnYHMUD8cC/rikgVlFfls/1YozFh
PjYF+VGHFEfYh1ketKVn68F/78w1b559BRpMwrndLLMWvGwzgDfBt7VPhM4Jm9i5h+HK2BcPZBy1
kLMJjaMMMElVIzXD8fL9Xe56LPAhkbN/zNbrZCkIr2qOiSQtpA7/sZ7V3ixTrPo8Dd0Lr/U1AsUh
nfkVTACYFnpRU3dmXXbOJynSIJx3c0YulddBSh+fUSjuVm3faO8OQ4CkmQGCrZs4hG+P053lp9LD
VzPIbXyLyh+jZdPOK+ipitpDNq2JLwAkBz5yEABuYsTZELFLfE9/lz2Tew5162A7tmtnnG0CLYCZ
/Wu1trtpXPYLX9IILCgUGDIE/q0Mq9Ms8i9SsiLO+FcdkN2o9XM2+4dyxosP5jj0abkRfVcLUXm1
7QVhtpgvy76CYo+UbZWw0r8vrD7Pgj50+WNPM/SiwYFZL2GFi7WLPsOo7QCPlDFIwJ3O7dmHyrV+
dKS/ItUHVHsGFODWU1kwfjeL/gwkNGaISwB0m2KJnvUEBZJ9ruLnrPtPJuFl6vvFwVdu0A0jDRyD
ulpQ1Lb4kVZDmk3oQQq7G8v8B5CDYLfKNfjGTMdOlc+TjD4OVQSCjRx4+UP7AUp5tw9Z48V9s86x
se5esNGekWIeDrUNPGDdgbVxr9GmqLHOHpuQfkY2OqsQsLCTR6AG9eOUEe/MCsFPQuqnnuHV9O5x
GRGadGtwW8Y+HXocdrJPQpiE9bI85fWxChes/YKEz6aRwRFU0i8XAJOZJ4b8ZAvYfd/NbE2npVPP
TV75j50XTpCNgR+Cy1kB6A9nkIA7quV+Rss7BKD2x/Az6Ju539vVUvCRmVQPc0/C29Q1QMOYWbAN
OMr/atjQixqLsM1mlEY/WXhz65XJbu8XV4bzS/hIJC1JuJyXVTxRmLNP4OGh41kcmVmR5g2NmeqS
BTcmyKEUEPPJ30CuZUXkaUoYgrbAz8eeJFmjToGG0wTWe3axKcqkXu19ZBbYoOiXuqa6AUacdyXa
yaao72RFUM4tv09Nf+6GKjGW7VgpXwfp9hmyD3VGrlMHnHZG/rid54M1EVTYCOkBoR4mWMEehYHj
L4/Zap/6GWwR9969TOybpX6GVAlpeZ6xkZGViwCOddarH6WBqWtkeYdbFxEwgNWxxzNQcdgDPYtp
J16iEpc46+46hhY207QFXYX/GN1z2CBnzd8QeW9B7Wf9nqIyID15RDIClhotbzTamQHZIDwq5Nyn
feOlXniPVHAqaPvKliYhDIa78N47Z6rXki7ecVZ+8BWu8MErTy3vyn9HIvXES3nwDYT1AemPi29z
9YlxEDwZxnfD3Ifri/dhJIcQYE6L1Ai0DhWdAvLUYsd3rkGfyB2iZQ4pOBnP/k+40fy09uYRkY0Q
z9RPV6QzYgjw32pLkWAoB36AAxXG6F6zyg/fc6gYCrhlLY9DUT/WCsDa8+yOQ3Neh6sdG5y5bjmz
JtghewbkbSb7agtpAYQ5sjmEFZYf/SKMay6fmI4OUdTdQgtbkag68dYQhAnytnIJT4Ac1ljYINbz
AeMfno30XqIc4O7UjQ/ZGBUxo+hzw6jKWyT4vDmteVucWb8cuiy8q3TF4zLH9ve4fiUl8KgOd5vf
e/cGdkvf8HcqoAlhXgKU6neGgETY4XTNUAhU7ndp+t/9DCI5Qr7oMkJkucfobBGPg1nvvwwZffZo
gEQ542CnYN3UgrzrspGX0a/dKYf3cvGJtDsTtkPaTGUHxja3MHVE9F43kPJD8aIMfM8yPFuIZacs
RGm+VuqLVVJ/+G4C9NaeA79bHhB8x32EA7Lir2TtkP4v6Z1g4S5UESzE+7kNDuGKw9BD7Dmsly4d
6bika+7/jvX95vLlBpJi19UvoVUJ/I+nEETYPdiGZBOCAdxlTTpMUBOLrkWXhN0SXPj42FVlMll7
wgyDvR7oUxRgE8MLm6/5ApTczlhSY96mq33GW4CC0dZi19tR7VsApcqitI3qiMTTAEJxzLQGl9WO
e6ByHfB/nHlurfUFUfJxb4n8mvtgxSgDRPqLtdj3Jko9D/8WRBu3V4DICneRiBkWdr72/WPT3DBO
4AgU8CKRFmjLCqbBHXX6AJrruBq6I5O5CeyoGbu6DB5GQlLNWJqhf4FtuZ/ZrqY5Qhzg19f8WyUH
GDfj2wqXCaieS1QU3LQT6bxy6Iog2C7ViKU+ltmdox/2b4sZdBMe2WPfIwFeNrM6Id+JHabQGhRw
hy/zquA3cvgprCcyLcvlsJnHvEJ2d1NJSVMUu9HDOmn5kB2CGfQoRZjXu5VgUfdV3l2i9T0a+a8y
Dw8ZL2+BbZrrgMwycGaPHoZI7UYuENfnxRHVpL6NC7DbsTUulhHBlWFtcxCGoNIJS9C7AfJRWZhW
Q6+T2atB3coWOZ423M0qP9Z5CxOuSpCtf2rLd2uzZOG0PzMzviyr3pPCoia3r0tHSviT4amg9GXe
AqE4lPn2SU74kKjRiba6PpLI1MCJ/bdgFYBYtcp2uS2DRGuTvcNrKN+mmWo0ObTZeaNtt+IvSlQ/
hQ8Mneeajf5hKjJ6qv0OTn5WjuOLbF2bcAnWpm7klFrmrsGgbpi6gtxy9o2ILjp6Pe8TaSbAsV7u
DoYD7C4b0FelV5BvU9ubo2cGEhc1+2aQc4Y5nvGLaClSFIjLOpwnTCc9K7PNuLIA7m2e8kIjFdL2
/lchQf8WgO8fxwF6HTd+/4nseH2rvM0Sm5G02npJNPNI7KaF6fLdRNmrblf1ko1ldJWT7RAA65az
How4mgoIsONdfhoRr0oKNnoPNmh43Lgl/CLMkyCcJ7Mr+UaPf9lsCB7XGs/MGvcxdAILqwVByDiS
r0GN/hVPFSgG6yeUshLMmkWJrjpp32Cu+gcQLWigLQa5yLCeJM5F05RJZGCqyspWt64deRlbi4/V
HOUjRyYFPjb+NZ7BFcwcbPVSVu45iAL67jcEkeMQwfN8pM1RlZjHUjdqOEnT2n0Pp+JelNrDKVn5
7mBpNZy4ouUFIbLiYEmzooXE+QIoNr+ojshX1zb1d+tw0teDw8XVyQrtRIjEEIPzwU32RoaQJS7H
VbWQqE83g+qQKwvhd4T1PLmiuufN8IGCDzpo27m7yVMoEXjR6UtfqfVQ6rF57zr0xblBV+LmIsBO
CvuTL9X8LVeGvuLEVmnnimWv5shdGvimcYEY3FdZZ9UxKP0f0aC/C631UXVcvtjGM+8O0g18bcjN
a4BQZR9GibNVn9hhra58yCdky6CGZ+tAdxQ1cEJCOwFbbAAI+sj2NQJgh640w2gjNe1qteRYcmRq
8BiILB5I7yEA0wNNXFrQexM40F1TixAdCZ5I6CEJgnXivfd1VjzVup/Aj21lCO4OzESB07tmkbkr
Gu97VTPwLarIj/loarj//n0+4QpJdE83WXv2T9FMggfVGLw6ND58l1MZAQDHqyt83Laowz248wp/
D6mr+TZF8sdaYpSNabLlpKt2OUuH1dMVYv6CZvhUSMTKfbaE1yViIUAClAW1pNOuLOBjKNEFSUkd
4iZwpvocRXNtxJ0bXATTv7+jrf296TfuBbDKrkSG8YijZnwgJsJkkXD6bHxyQ1uFRI0u1vs2DO5I
YPmr8pW7s8tA9ojIviIpBPab1nyC3Q5kpJYD5ocY5BOVFuSsc1bfAGDjvG/Vo/JLLGWQu/uGr08L
a3ss0D56NsQGSRc5+8g1/dHzUezJSJpjDzMEn1LdEBdsUp8h+WnXEqEii0WEwjEBu5+fWN9/D3r2
EtTDy8SKFq2dRDdfw1fIo/AbqIoxQWN3Jguoal57sIgiPx3n1qVR5b1oWw5AGJZnVB7moJpxfIdZ
cj8URbt3eWXuO3uV1sFtgNkOON+PYbiAqJ2a8uB5DjObFE1QBowItM75MePNt2igwPtX/cYJzcAx
YjoLfJXWxQzzDs498cI09yKeZkqTH1G7wEDqAP4AOlaYFxMahOVdrjErqq5fleGAsvvC4t5EIodj
TJNuwY6QiaTjFkDB+CF+GrdQSqdXuxdgMUZ0y9dl7jCSydGTynAYYr+3t4iP3/CKO5ChFOps5C9p
N78OjuG2X1/QunmHGeODDJIy0iGe0Y8MAwW2GI1FnmbdgjWh3tybLWzTIHXjKbxyxIcOsqtObMvl
eG17qbR/k3NXJVmPO9GwelfSdjc0oEEIIj0i0EfEO58bOU5Jjn2Au9LgRiiQ5gggBjQeokFiCwlF
W1yon4u7rCQnTKZ5G3BOpQI4jkDxuBMKcbQFqaNiix8VtH0ekUdCJDaPPRdGUB4QVqqQWqohx6DY
vvd55qXjFmxqtohTWF41196pdeZBlfjVMZgwn0bUZTxm7MgVpqnRcP5A7Pjsj+5nu4WqqoKxpMJR
g8obEYrVr9+FghQ+bXGsaQtmofEpTg3GO6QFRue8uLm6irngKDaA4Ldbtouv3qMJ6EvWo2vkI6zW
YgvrMUjeqsZ7Ro2Zcky9SPupAIijCTxXhFRWvy8QGWqOowoeYPKJux6RMzdZLAtePlKE0HYSsTRj
h7gpl+7Y9ZAAB4Rf74t29PfQ9dwBB+Az5sKFO01zTFvSR49FiCdYBFjVigPEy+p3jVCxK0YQgWVa
Lj0uZXGVA8nRIERHpMoJarQ59WyDDqTE+bBl71zRPkRd8L0h82PpprPL+u+rJOrGPBTlWtmnVtaI
8QmEompKbkGZj0fkiRK+mltGRkTdjb+fNkN+Jtm9AzLlRfOIII+RsafLPfe2KKHopmPzt1Ah0oVU
IcA8sAuJqicy+V9CbRf7Fkist2hisYUUxRZXtBUE5Uiut2qLMjIKn2GZ2oue1U/UB2jjOshoI6kO
lNkbOLwFiWtR3Ace8u28sq8uW49Flp+zFs5zsOUpEYMRR4e3xprpfjKoI/J5nvAowAx2UfhQt+3B
G8iDcAiaADCWKVsETuJf8xR9oAp9Ap538TL+GW1xz2gLfoZIgK5Igg5bJHTus5RH6q3l1aGB2ZQ4
dEjJzB3oJcbckAxbvJR0pUWKC5FTD2h94hrviF2ICWhoJiqFQFu1RVUjkv0As7kt1ubRkYLumi3Y
ahDJX2aDoJroIbJ26idbkVnc4rBo6O6ioNvlPHgWRfRz9Oabj9NzRI62C4pTzXFmGpR11ULuGvjv
EsHbeVo/W9hLSRE1aYlobo2IrsXitk7vMpGdIQerdF09ZEBXAYyrMfNZIeqLhDpyVQj/YjM+Ir6J
B+a58Tnik9yHQPDjxqwnGiI93KBYibehLThqMIVg8BGdMO+j6VYM60P4OKj8LHVbINnz6Te3RZSD
oX22uPqVvq2jHl5yUdM0WlECeabfV5AlINf7SVtD+QpWkkRQTynGujEN9dN2+feQ9Al2OIX2YNGH
kyvceA12cYmOlRgQZe0sPs51/AcDoh6vELqR9rhXnQGGYL0UpdAtDCGNOQfUMdtC4NkWB8+RC0dl
8tWUYf2ofTQqs3U/CgeboN0y5UjkvEaTf14pg/ey5c6bLYE+YMLEMliINFn2s91S6uuWVxcNOXYY
b5eYofkVbJn2csH0R4WYu2PiLApMF+PIv1ey7dDCtG/K4JgsJ2T+0cr/8gOQa1t2Hrm+3zG6wMGP
2dhExl7DRtXnqPgZ6BLN5ABosupxQvpCDnsQ9BVOTd1A4tbsriIzxhqY0dpD41BES+jAsectHsSp
flrfRY85ZIh8NAqTBtADgh4/air3PbF737O3Towf4eSlIgi/tVl0KSeG+Hr1OzDwa9SEOz8PTn04
+YnCNRgDhuRoBZEP3op2JU0iBtCuFG6OHsTNQO8GJdhXDw2MwIp/y5h9oHrj8ipoXTOKssg7WW/6
7ox9LjDTseVgTKH4zd4Yr2QvDSKGrD4M7lQjeN7o/q4W83g/tvprMQUQlHGNSfgABxlaFsbOvYb4
QvN6LQfzzSNIwGsO8VJ6955U+li2C1aNjPtQId9IvfLIlsx7LcfWf/k/GOB/M/iVhiKADf//RwGe
irL9ucUNvIfP5nMo28/h55/BgL//A/+JBcjfAqB0URRwsY2yAaL2BxYgkCHAWDH8SAIcYGybO/MH
FkB+w0g0TgAE4Gfh5v3/gQVwjEvDZBsa4TciyVn4b82A3UbG/tWtx2gzgFGBBNoWgQzYRqz9GQzb
OBu43wjMD/66XHSksl9wVVAmr2zzA0OblpMpKigRnBwnI+XJdpFAMSrddcRcvzvkijEzCjIm2QW9
qN6GguR3AtDojrRRcMlVR+96FiCfOrOWoukhvX8OXFinOMjGNELsYY+ZF6jQ2hpzDzp+zOQ6qIS1
JVqFecpODTqXuGckO2HNsy/ZBLgml9JgWAMa+XQop+qudOatVeG85yXUHoNI5hOYMO8JR2Dxhim7
1buOdP6rXzALROW3WdbmocgRYVvbc7siEImikUV5jBlA2cMQcvzmUI6Y1NbOoJDnAKdcFyr6CMGZ
x0VZlT+7xvPAHjg4WpXBNK8mJ9DerYbTJMVW2nAooRKcMQba+G+Rx9kJZT+9L32jb9rfRlLI3mAM
hTcj6gYYG/sZ4N6HjwTdux+R/NscweGAK+1+zzTPzhBiMB1jAFGP+SOB9TGtd8oCDHzrivnOR6Wy
x3jWLFa1nk7L6kqFZlT+wmwdP21pBVtDKpi3eDAuG7ME5miQ5ChGFqAWizG/bKafBtKdTFV80xxB
QeODms4GYi8M2P13xSZxZwYE5UVfkvtgcS1GimZ+SpHBOGUY+nYi5dx9iRx9xyjzHiKxeA0L4X/P
6PoVFEMbI5aPyQw5DB9/xoy7qRY/XVRgmgI0l5eAoYjHJMxTAMXus2JcP2B4WIuGPH8EQZNj4EcD
bGFddiUokpj0iEt2VTbc0XpsL+2UyXtQlJgG0mMC2YBO6E6vClcM3tEbwuwsDlq/PmfOhd8jLfPH
QoXTJRd+8+6HWtx03RRXMuJk72Hfn6bFkJtDfA/EYIBhpqxTxznI5d62YXfvL42/a2aUykhZDPKA
LTElXsaG3UKAUhrM5Tytw8zv/oO981iSXMmS7A8NSgADMWDrDucenOcGEhkRCc4MMLBv69382By8
6pruKZHuktn3sqQy80W4g9i9qnq0Hch5N8X8IPq0/VCNOObQUnf1GMUvCI0LZxSjeLWzJH4czcg6
VZbx6ZTOciNF4x26wgaPBEfjpgvmn95jIjLy4feIPebKp5vf+kmeXr2eQXJuVEfc3Ha/epjcPTgo
k7zQmDw2gQpeOk85PzgWFRKD7rwHoLg9fjRcgWLMkDAhyMhbD6rKd26xCDKF57+Xjaq/uiXqdkVd
Bn+6WNffI2vlzxpH4t0wtnMYu7bx0RSB5rBhC1weSVX/2JVZHoYxCXYDp/RTnlZAVJ3YC61+vKLR
2YFphMoT7ZNHeNbZxFnp7TKzbi9RPrp7P45huEgbkoAT+T6imxW9sdbmHQ/Vgju0GQlQotq4IckY
1tTF0t/NVq9+2GmZRCqs+tV2zQQXPqqSsFrSjOYsWL6P7GEOxF+90xoPPZkEWYkGpMajaZicFtmv
B8yagyBjXDvfHRb/txmBlS+fOMtTl+BeqHPJ7kbZy4/bTckM/mIlFHINnyF2l0+CvNCdGofiKobA
ONdja0P3STAD+DjpFaaC0KjAMznzWBxSzqiHaUzaTZWpIozrlsxCEhuPOp/tR1/N/Jqx3cbf81A7
78Lo1M/gzdlta9TgXbTuHl2j1k9Fp/ztJMkPjQTkcVvibcR3SPbU7Mae5Z/R3I3cIt4OrLf5nJAG
vmkNG4iZYrND+DXe+WIZd+CI6puiG61jbHfFFUatjzzcIh4KJZmbNaAtXKKyf9NDujzgulFXvlXj
Q9t2d2TuDpC2ze62tJbmY2m5Znm6END2iNSkbl6+GU7ahTZzONhFJ+OJBQnInIfXJHWLT1xwXwYp
7R2w8Cz0ihVy44w1USBUX1jd03aOSnhMvaweMi/pERJgOm7zHh8HXKhPe56NL5n4f0BXEWEpdHOz
OEMVDpbrbHjRMByR69pkiapvlcEOhQ0xLhrk1V1TWvezqMqdJ4CbmPwASAwKa1pifmLb9SFPBOdk
yj1Iuku27cZ0CbNm+W0YU493ZexCs2QiSbTpHokGdZu889xdP6fwu4coeEz94jMyvHpb2ojafoeV
yJ8LIqTaFzemS9DXEVm0R572kcRZBpitl2cbS5T93veL+VlbE26DeMa+ZRNwTsdqvg+M+lX4697I
ymzIAY6XX6K66EJ4PQ4Z5jqbzrhKg4Op/e7stm3wqymb4hB7g+IPZt6xMrOpZBmkByxBPWNs2kRY
Vjl2W+dBTbDK0gSCiYpxj8Vut3U4Rh+KAI8JoTGD8TFZQQuQMEHxSG87uMbgMod58zVre/TGhrwU
b0DwXTdZg4CnS6F3sIrkA9bwgJAKcINizRsRIGjajeHZzU20AAFVneOAwDOrfG94hJdSVO8PtYaa
YAFmF7NwzEOVTfOxWVX2UsLQgADOCCUAV6wOp/4Lq2W/QQnKJ7wlBKt8bnrAJNkcf/cdW2wfUBvO
WguWq1xjWp1TmceIlPVPyS4uNLT1PUfDuW5hYCFU4K9W/Ypya+N3L6l+RXn1I5MWV0TcEjdbKQbE
yJJauauVza1feLVgI/OrAOxZld+6SauuhQd+QifdY1lLhNLeZPyLnKTa5bXMwrIa5V1pLMFmaKdu
O3ugZoI1J2cEQoUZCbqRHZlXj/etx8YyjgLn6BK708oybrjZLlOZL0exhvUSUnsJxE00pa4Bn1Bf
oqB9cdb0vTAZRFrPIeiNP51ImgtmZc0GZhYpwaQYB5KOln+ZF9lvQdmYqGUL1jRcc4x3rAAqRIxp
zSq2ABBCs7XHN1Ki5i73Ua7dNeloJ+q9LgHMiKGDJEO20mlcQDnGVmDe3HapJP+IHJpWeJuZh8+p
ch5rHW8zHkQO8Us9jN9W61m73hHFXTny/0owJmo2lvOY9RZmbm0QkcCd2E9ptu+i0Tma8ZDz5hj1
oSQ72pEhdVBD24r9pB2VS6hU/8AB8FcGTfIFZ9bMYAgXJ3GUecV4Y4UqkifdL7dDMM/urjLjO97u
cZi2DjuBhv1o6syAGAzXu5rdRI5S5tae+BUg08bT56wUlxnQzFswppxwarv6yA0cHcQdoOJnginO
6dtTzFsxY5sSW4chC5qOpW8WcLBjA8ERK32bsVHuLOXlYWTK6QAj0DrLkaGffBmmUgUCopsAiHEh
VN3VFpN1zYuuOwdlxteHhHev5hkzZg5OlVQjWxwvJ6WZdWHFwihsE5mwYWuLIizzKnhSnHn44Jty
CpXI1YxLUTdHcA9I0qTfRsbcXSv7315sFiG+HOfv2Yz/sZv/K7s5WS1mjv9uxtwo5sufivs3/s+j
pf+Pv/nvnnOHfhGBOdVzpC8ks9w/hks855zRpEVkySbx89d/7R/Dpf0315X8DUn+CubeOhL+IwJm
/Q0XEEF0G6WHLBiR939ww+//dcGIRS/JP0+XjDrMlfxDtJZ43uqJ/8/TZeuxzUMn5Djqsm5jMwIu
q8mI5DIPpaDsRXZHaDPfNH9JnaPO8QBRO8CmBEOtn4k/ZYq5zVqFUb3gai1WsbRbZVNktzycDOdj
akmpSwOpkmIJa285ZfLOxh5sg71s152OuSqyDmbOrRnF3UFX3xnbHrkKt31f+2xTpvRuNU5g5R5p
iSiCJzRM6kicOT6VdQHsRE0FODazPZZWF9zEplE+473wj5mz9IiYyMraw/IIygXF2Wyk9Tm4HJi2
TRYtPEPIokzGqmAF8+Ie8sRejkHvLtu2qRyPkClGvcRTHO9YQ+7kGLBe9//yaGTQlqvyk5e9PkLZ
75+bSkg3rMnUPhcF6XNYgs7TsGr1YlXth3TFovpSJ9BtmmgfZ1rsSP1PLyXHtefSiPytp6kQSWzO
vYcxVvnRIDXOKcHgF8lE98AWF9eCaSMfpnFdXqypskOfaCkyK5GWU5FE/keBhr8pzZ5dqZ695ldT
DYBx6ij+lVCQ8dpyuAKGOM/8BNGM0qML9aflCobyOnGwK62QoFDoI7zT91CMN0MFxkVnQLNEbt4b
Kp7pa8DFI0eoSKk/W9hD23ug2Vjm0FD5ylj7EUf97NR0L9k+76oqxa/c6F8VbkjQKkGd79i0Ehai
7WabZN69ZYhfddETOE88GR+kLsG2aPmG5zo5dRE+ygwi+V5lsuBI2MVXEvVAJrX5LSXWKYl0xa99
MgrjJl2s84xWgn2QSStr8TkFib8p1DBdUObrneJf6zF13iw6Yh1pbw2vJLeQdMykoB8vLqiqX3mL
EbXp3oJ8fMw4f1mRhs/UpBdD1egmebLLZ4yvIG13ZU7WO8edluEMntr6roq8extgzqap6zNfYLVn
u//JdU3Xhd0eeqO9zNLp2TxGLGesdH0f2GSwJ9cb7xsYql95XGBcE2N9KCTsRBfAjGJU2Rde/KkH
bDCiwgIgOv/BAJx1XWApgj5KT40vUGbj8k+0CtCmM5SYKRcoQB9sXw44Cu5VPvmHWCUEuPwouB2z
6ZQSiVhScXTS8qkCoWh2YN9AMk6FPhQq/cXW8zLGwxP+i52ZWD2jfnOAK/sIn4/EXItkYExX0eDG
ZAkQKrd5wCAFuks0ocOxqgiMRyTSXe0mF89HvcCfvQQfTWJrsJn2ZrF/4xaAxjOk95O8G5LVoizN
b09kFSzGyWPS6a4pJsph8f+kgc24HnRQtDKmgAwj0IxXIK6OVhlwGpK7Pm4Z8svoZLKgQhuwflJj
wi5v78Ws/wjt3IGKLg++638KmiTucbd5mMDALXPu54C1nwLwVv5cfy7B8qwDGy5bSSZy8ky9myYH
l8kIZ0JYN1bffI+yOySLGbZk8mubiRk5lgMZ00yeNAdzXmMJzkHHf4h6XOlo+taNWu/oIVzsvsSJ
AxkST2x0o2c/NOflCZrSE3m3u6XIl21qLPfN6D0UmbL3SdJykgzOTE0nq4CDLLAHNc3VT2gfGNr3
LgIvXS47zYTjYSkJOd6ytZuKc4NqCwvharQzlM5gwmE/36VKPJqOD/20ZINASriClV13h2gYLplM
TR70dRPg5kr1rcTguwnSMr1ULPOOfSkv/rBA/a3bN7ZOyO0OY4IvmI+yVq3hIRJGQbyvrXHFg1Tn
vKgf0B7fc4k9qOjrfdRc4xEzWZmBq4jtlyjz9pWM7oUOykdp0yjAQ//ZK4LDX/g5h6ad9zHOkKVQ
MDjHW5elYOaJFdYp5Ae9TXp9P9uwywrXK074jyu+zNxnn8+hL9Zte8REdZrmjNiI3yZhUi5nrcuX
bEA16zpzB1RDf1j8J6KqtL41gifWHp3dDpPMjkvbfAZpXiNsDgzTvIPAmtRSZn/ScdhijByeA5tE
UkSXE3h8wUNyli4hYrNbsoe0cCH+E115NYo0epq8xNrjKO+fbWB4NT9/spx4L4Cz8lX0HbER/lZ6
Xk5qwZaMzICDCcr2xkarudbFmOO19XMv2cq+jEEp1LwAU8KWpqnIy6bWQ08IZgFNsIUmxVYus45j
D3c/YxBgBymnb0eWNrUF/K/IdwuuLM372pv8b0uYzB4DIkhoJ8bvOmYGNOIaKFXQRKwZ43xbriUH
Y+aaT9Y45qfaoaap00CkOE8L744FX/epJvS2mCUtXIMkeLDMLOeRmJtvaIQmzVYAdDa6qZ4pV8Km
PPxCaT0IeGuXkt8BgZJH4b4REodoihpbr4z2zjH5kjufLcSELxOsJLSpxTE3HhaecLVr1EBDFhkl
15nnODJzV9zW2urOw9S2d/7oz/sqMO3d7MFJy2BLYy1hf+GTiqp6a8AqMHYHpdkrwa088Kqp9vhQ
wcPEJU4jVdzXFrg08gc+eaW65Amhpk1nVvdO5kWfLmAYAsvK0tBZh3vhEyjALb1dgpqNgh/teI12
25xhf9eP5cbo8mWXpgA9PV0MJyfGYmovh7as+MbL3jxOxfjHrdeIaYB9MklHPKLlWyN641qVLovP
zA/zpXqGnKj2g6hv2fS/K4BmnVBMkKkRhNZAxMaqC0VWN3qvUAsGd84uQFqHLVxf2iY0K0u2JWGA
eQGYsffq5+W3abVws/p9myEaWPHC0cLFbNAqO6xN3mpsjm44leG4rxesGBnP0lYRZfBmSbxMGRcz
yzBa15V3t4gRWRD76kYvQOF0hHGldTzzUAfK2lhJ+ScW1chzuYt3XGNHrnID/57vbad5eJo7No4L
7uGt27L5bY1BHvMSi3bdAby3MXJteo2NT5PlIVKW7tlPX4veBDxXEBTx4Q4VdRsSBx6Ap7gTQBU6
j/D2VWEsW6w4uDL4c0nxIBvPDaO0rp5494uRcAkJyEDN10iJOye1SFJp0o/WTKJwbVEZ+1g9+AUh
vkgXO7cdmr0IWqLAgILrfaCN6qWX8lmTU8f6Sxwln+wLbDZsezGf4EiXzQEUj32KyHXcmJBm38vC
5ycSCQurhd25yatg41RNHR8suVRPMnPPczDnxzIbn3CoLxfNXfTNU44vCGXr1kzLPSa39mI6avpt
LbLd1RV2AkIYIFUj61qW3VtkLfn9GJjEt6pOvBFvvuvsJL01FLyhwStBJ+XsOQVLjCpLMhIKYKzT
BZd/EXhXbJuKnFL1RbI8W+P05obWk5d45n4iv97tRgWQtvSXk/aXkkgeiw8XsMtg2/duY+E27eS2
6vRyziwqDqQ92Gyu7GGkoiF745QpLm7TNbeGa98Spaedz0KAu9FWZW9gr+yxKZP2LOq955bunnuD
wb8CQc27tq8CiMdZ82wQ6GC5w+oCGdcKtZ9jfkvra5O3+pKtwrux8KYC14T7duF8ysFuZ5LF3zC/
/yye/JMO8uDnFiuqhlVGbk0Y6rng3uZVXIIk+uokVis3qruwd5KXSM2/iDK1YeSVHRRoNoF7KoPc
o+JcuH6h04k3gLotPNm+9q3mhFC16dByBJKXZBEIF85qIubuH25MXo6zNPOnGKPcsx/7E9UpI+FY
Vae3JSbxduu5rXsXJck7CyZn6+QFupYyMBKbdnnSkZuGNoenfZr4w93ouc82u8kbO1awm0v0kkS0
A58BRn+uwiU4m6OIb+NE/pGTzTtx7hQdY8RDWB2a17SK4gfO9cZRL2Vq0RWJ2gN7FPiB7i0smUpW
xzYWAI4hP0ZfNMDEl9r21VsTt9Z9TbUD/DLvjJNfbtO8Kb7bLrinaYgRzCvNcE6oq8vYV57GgB8w
UFW7D8ZpeAEG7vM59wgUiSwYuPT4KKa6xdCinfwMs6AIZ+x+gxETBqp4tKjBhwFdu8NpwXjyS3rg
Z0Ue32qJ8cniNoxc9CWjgD026xrOMjRg/H1YXAo5F6GRuI9Gg/koiBw2Y2bO1taN+gdEO5f5AW4v
E2VBslm6p1nIR2eK8kfFqI4xQX4YUzp+WPNsndylwhfkkI8tZiZp3VkrIs0HXetROLkfbVfdapVz
OI+hUz4bpdtzGuluBwfksyu79DFGT/1D7LjfdtgJN34y+IfFCIabNA9GHGh0/MQtwARVz+a+FSr5
yHJ+dS8Y3ZvBF8VD4s/PSubOYdQjRlK+rgNtoNkuoS0CHqOzAJdfEWarI9Si3TIUPUWJNb7B10US
p6ADCp/I6u8oHZJ3+YhC4sTGhwmh8VIv2DlMEVt0NSTlHkN9ScyuoZQDmgweGn8AzG9Gv9OMM7hf
DPc2AahtyWMKKxEpBnacZJwnA4uZlZvkhstub2aLfc6Qm1k8rBZT6RTA0APexezOHaGzG9fHjux4
OJfwsc1vDXrJOZMNNikD9iwZu5X1NMxsDbcYd6wnAWOVlhDNoAdzhcaFKrhHt47PwDOtvQ8lrMKA
vZdSuBc2Cv6fdU1/Qyzcjvdcw8NGgEUJq16bx1g1+V6inZPlyLCFalbTDYebA2WTyVvhJvVn4VkQ
xxPCV3bjD1u+v8cOKTXacHjnEGTn1aGPsCIaedWfMvBSv52OeThrdHumkVVvHXCxnzA8eVcsmGft
XLfHyMOrqzj63iL/R5x6ucf6CKwwpkN47G7+pjyWJnGqzb0VDH2HrIJgOffa+D2O80vmoRTC9aDA
rMMe5pXKImTFeUqK5NhxwDkbTIbnro2eW1U+UC2gEU9x6Er5yTsQ6J1R5aHnr7bRDtkkcwGDsOGl
oHOx/hABwO0bMMiYEklqKMhUAPDeJ9MCknoaiSaiyOHPXfQhaYPx0BiCs4WGoe3Bb7PjqV/I5K9G
bQjIyFurezvIh1eYASyFuQ6PUMfqHdC452V1e0cDUkawOsBrAzsSwIY3UGzJRqtAf4IiV9th9Y1H
7SL2UZIj563O8qLFY47zjPYWB0siL/LveRbZMf7Lku6wNdGdqS/Nalh3YgKjqJnGCUkXhn+UHvyC
FJ+L3GEF6adEdqd8C/F69b1TIGttfWdgQwv2tN8bs390soXKIeVhml8SJ9oHWffVtPm0l+AXd3xi
zY6wb8deAr995AuKXhIBM2Re7MO0WvJxhfNawP66dcyYlPQ0Ax8p8x331y0YqXRbNahOuFQLRfDA
/sQCENPC4Pc7yijmY1dQkem0hXqZpFQb3WaYo00qGd2/JwnWUAG4NAIya9BAT9B0DU34wGxpFDLX
QAJVT+LNXAH6fc/+myz6GHJdj5v/9R+FuUswBCg8hiCWHF9HL4rDeWgJ/GPNJtXILiERqnlufAtT
f+obd0llqS+g9Z8waPMXBJggVLzWL1y0FEoOa7fk0KNkbZaFeL/sCexKgd2O67l9582chlTpYZQU
DJepYXXr2GXzxwNtq1fDTidiWrXcNGsLJq29qy6FklyvHZlp18RzmCX178xP1qoVmpSJZfDi6lE7
elSCQ8r7aZckUPCi6LOocOhlgQHUIkNP4OA5E0s1Qelvcxo+fZznN3nEb6wXJNomofuk8N+YdeYj
4u/aZEvt7Gyl+tn0F0Ay0iA2U2vCr0H/2DTEW9NBA9g1yFlZkeOcpQnOMydtgKl67WJVrpluG6Op
ELXW1lUZEzSz0zp9JJY0Hxebhla3kbxM53beqLWItfPXA4xVArzjl8Rpm0N3nkerO9mxcO7TxQFA
hzkNsatFcAlSdSoBl+Hbs6c70XSneW2kBbQBqb+NzZvVe0hrkKQGDweqQx/nrnCs+mce2x2MvfiD
s++zSrzgQzT0WZTYGLbVio6QdWOHmFKpvvGLvbfyMUhy7gMI+n7N68yknoN9UuWejcRnZ7F+VGWA
Bm7zZdtrfy8dfslFjPZD66rXhVl+63FocyTBKOW++ZODvmYJsRn84cqEjS+nhuQR+H13x2X9EFek
grBS2A8Vc/mPCqz2VuMjBitEspKT/E9KHfR9szYVJ9RpyDZNX2F/XPlFjWtne9n9WIBxx6zJOUPl
DUdmpNXM8UJSixmtDCp0c/8mSsWduczysj58n4vBTBl3OU+xcsL6sJYw91HVoL7CsrBxJ9x7VDbT
fcMhJXU/vVadUHcN7PY0VzgLxI7pV6b1znUgfcKs5EExrcMN2LHOvDS2/zEROko5he8Sl++6M5LT
zJa47RCny2bwcd3AnmD2+bZJgVyTue22XZekoc/tsMmsJoJyxe3KO7HsonhbWcP7X+rH/0hF/0Iq
Eq4Nz+y/9iJuPlGJjLf//W+q73/K3z//r1z097/971qR+TfXdGwYcAF1qpa7ajV/xwVKLIrCtnAb
+qb0LESj/2tEBHSML5D2U8nIjCb0H1KRw9+yUbFM/i3bXs2D/z9SEcV9/6wUQYhj74MH0fccoJz/
BKiTyWzPHXMcjAkzeusXR2n2Kzp6LcfJPS+mqraV6wUcFQx6lSPD9u/aJpEELMH1P9T+IO6C2He/
596WF5chBXW5HBmalZm+FPRpY4Jz6ajsXLiWg1LUXCbsRcXUNO9A+qJtN5fNxa+M8Um7snjjRpoO
bL7bw5im0YkdwrwRBqewpebpDoI8/3SaxnryZ6c8tkxK58KsiZgMDuNSr/NrWfBYGpgyHiDJOSEF
L8mdsuvoMQLrS3yJiHfiBxotfwrS0GPy5HWwLE8q6+iYIOEWmpX238x++VrIWe91lK4E3WS7IJJn
wTycqng2t4XbytuulcO+tTxC0WhI/b4J+i8SAcD97Pnii+y5dco/suvXapOJaERaQ1SpU1jwPInm
X4wazXMwKbFxANqdY9KSu1n49ruueWAsi+TMQTOeiDmuQ0ZS3c7vDHXUOd72stDJVQPmudF586nR
abZzOnXUkHl661aeR+V01hiUdRTyrYzA+ysEKTSY6uQt/UfkVF+oLemeMqXD7DbDzq+K+WZiItw4
LR8M9hTMpwJ2gWkJ3nPKDfbJrMqTaDmR+vnwVdKFG44BRSuINfR6O4kmnW/FgOLR+zCJRXySdXag
Gpb9saoFde18/VUw+ldbsxIe5+w5cYR3QRN75TlW7JBmWFl1bolFpTI6XCzxGM7MsjmN1ZtUUIYd
5RQnLGZcHapYyJrq3hySruSTqwqgcrslXu14qbYBG5U9ORVpPzHriuFuaOl78xBuXjjSAYKUsXLg
OlU3EStckgh6oclr0Z9//WP+vJrBHWL126kcVlGeZZy+SZXB0ZIi1WDn2uuKTDD0sBaJuEYrrwQF
EtHrwuLV+xSR71wHBz3ymFde1R8pOlhupaHHH7dahm9RURDJrJen7A9RMqa0IzdM5AiDZPShWV1F
ltvtVFP7d7mIbnI7+gqcWu4KkRxcHw/cINk2MjSA4JglXosy/srx/236xBK/PCz8TLDAjXCvAi2v
cbx3teOA5wmwiziUY94CJakP3WKQtYEdQO6sBsEDbkrEXEtD/C0JADA2IPjC5mq2Ue0lj6Zyus+G
ZopQZLAiMB1bG6cexGvW4FGJe7jBAlsbEpRX4FvTnbOuI/rhiFxI65E5qUscC8Qk2j3ns9dpk2gK
Q5coiHDoTNxpJd48lqF3IlmzWTFNnRiOQhbycJs7h0nA9Z7RwDj0rYsx/N3lPjAwsnjLnJN/4TYk
0yhCH0oIhRQIcXv6HU+2oP7GXciycsjQ9hHhWjy73hJfC2nVYZ2MHRbReqHdB2khNAl47RlhSTC1
CEOgJ7N+gOIycwhyBte5MbylOKJJFb/nbsCY7VQdxqK1pvqLqcTbln6PjzSou/tq7J8WeBjviZvY
bw67yEPn5taX62KsWzz3q+7XMzH5jtDs7Oxg5/aIdIbtkx/IabclYMOHbPYoA/HXaKw3GBwThR5Z
59VU4hAGDHXCMcxJSBRxwh8D230XwQh52KiMR0lbTZhEiketq4wb02MGzSm4Z9tff9S4dA6iZToZ
69Eg6S+nkUvGpNYmqqJ+ixt3OCN0mPulqN5yWG1Y+BxAi1wauNEXPMdGwNBiLEW8X5YlubOBa28I
bwDdyFOkexzXxnPB3vE8oGawnmPkjAk7szazYbX2lCZlhTR/Rez+gy2NqOKhNiCmx11lvvvd+E5y
I6F5D5M4H1GxdWdLf+h04hFVTJLLqrq1FnNB2yTUnrsQ5YCc0ZHc9uKmdIPu6C2teeWoGey7pK73
ftElD6Qu+XawESO5c4mGnO8U0HKTK7QtytsyEKwWMup1aEjBVzXk7cFxjRkznRouY49AlDqUJXcl
5rlZlNYr7UvyyPHrWMhhXoOSGTd3KaLh3ii96HfRDhBNk94Iq6T+8hwu+GhNf/pcYbwBVxDBiOE1
IoO66SVAhlT312UQFqlQKGb54vgnTw3cYXaaXee+Qrg00AnTKq2PUc+3UGcpK9RYRNd5SPtfbufi
0Suo8zBSPvUujfKwHE13Py+m98C9aewjgDG70SeKMztrKDLum2tqURLqzXBYnRaLKcCLlkFc5uci
HpJLAbsNfbERN/7M9RYX6cImOqWECMT5WSmffWAEWSixY30RUweXQRqwTmmKhcJl3LiU4N7ydY5h
zQeJBTDLr4lvgTApVxJOY9UvMZuyT99T1RnE8sRUjWpQG8YY+gGPIY/CvIOJ1H+ld8redghXd4HA
SV5Tp8tGrVDeL1a39hN9estVxFPz1LvY2DZGI6ML3eDV3q3b4gZH5ntAyHZxZzgQFWz4GpZxGEeR
PpprfhcMMaUOLDI3tS3SHSu4/AX0SbStehn8NmOdPIwT39rMMnuLTP0gXcbOpE4i8BjFmWq5Ldks
8yE2iRtQ7AgTDt0nrV6zMhZb13V/R2mML7Akq64BwoSOirkgHfcStaznROU/89gZDzAVMNuSGnxa
lxQEeU0QFsnINmexKaur42GPwJj/zq0ZokPjY2CYPdpVqhh4HPiJpTC9+6gITjanI5Mmxp1Nj+nW
RtPdsQlfblSrCXrE1i9EgfIMLEFdePIbYdTw0CMoRmEjWb1p8X/iObriCd+ZEcWSkcU+F1Y/tnGG
H+1Ja5tmo9jqWjekWVFK4hooQ+nPzadhjvalX/r+nTKpO8MHFm9G6XRJZiLeIxcqq88hYtGx4myd
YN2ItRm2GzqGvSnrb6Vvkzkb25yTlkGatSDaXE0Zw3dKGM2mzfaq2/I1hga013Wnd1Q8r6gyFtOz
FeBIHMcvmzb7j4D88Lae2+zakD3b1bxlWGJK66DS5QxP2r5X/qoRy3k4+5iGN9rQFLLVEXu42jsW
ZvSaaUQMrB3VZqzIfNptMt8vhnM/IPuDe5HBjR110wnvlbyLSMzeuZB0p7J3niYzmz/6GNkuHhEK
8yIoThFda5uuKL8q0vb3s2Un95HtdMfRI3VaB5hEW1652bZ004U/aFjZFx/DQj+WLk4sZAYeZigl
ZOKP2KSrH+Trzx6RdWdk6W9VFUSFCyztWsbWGU/Ra5D19jkfNIQkqnzbrQA+QItYutyQTxx2bZSx
4mNfv7eKtiYnmBZ7zkEnyKvtuVjJRN7srj2Va8Jb+Dw7+mI3DNaPt/pZOUMHj5KCYYzYFfZa06Nt
nm1k/0Bm8LeXK9xmNtZvGbOFnwq2RA62bHdOAW6odNzT7MCpth2Wd8Wx5GlWBGFrdy53FXggtHab
SJ9Kgqe8maYdD3KewQVA6FuCtMZHpckyIGS4OzoeHtsEawKW5xerRfcdhgahoPVJPxVx95GhupBm
CFD+GdiofTF5VRK78qttaxQM7sCwN7RzJTc0hOThOHjFPS50AlS8qcQgf3OgTsJU8NDAEl3fRgkl
VlYx/zhW77xwqI3CximpkS4snBIuAfZwIAHxo1NzOpUJylXkuAczMgZzy7F09RFYAN/wcOizthbr
Lou5OSeSpPtYUEtcUyjozzp+aNZIlbOGq+o1ZsV6bMXrEL1q8+qVHX12nTKvCVEsSGjJNaxFUgos
DZEf59ZPabHMJse5anou6ANZA18tya9ujYD5f4XB1lhYoWHJBV5qnQsghDNuHZpfN+MYi2seLe7F
w2C0QyWLr4Hqs1fCADSpcKsZm2WKWrptZk2Yx/U2IwCmU92P5jFVc/x/2DuT5ciRM+u+SluvGzLH
4A5g0ZuYg8HgEByTGxgzk8Q8Dw7g6f8DlqxVWfWrq7WXTCYrWeUQjED4cL97z10IOla7qbDMbfua
DJrDdfkzGurpJNX0YhPMxvcmm+YlaHyOHcjjSDJW+RqXJTaWqDfFaWwM58pszW4zZEP/Q2vGkjZ/
2FNo9uM3FbkvzEf8g8bdeJpIW8AwjVv7nAMf9YhsRRvtOMYTJhfr3BRuA6BrfrGAnFx7VCU/2Ils
rnK0+QuAMeC3VZjbRwZ7IBFHWCYvdN0EN8RwfIZw5Bs6MU5nxCdGxACQaEDVeXmMqVPatfYMEzRT
KLoraZrxznJE+gGs3+cG4lancKrzVypLvVero+XRokr1kjvo2gTzg36N95wS0iwuKLfgkpRkPXF2
aPvzzrfm4Cmqu/TTBjW5dmm3JA3iiq0JzIqDVdyAdYwztFpS+PIbRubmqCmF+cZK1R6rMk4erWoi
llE0NUyICunwEi/hF8D5HEKa0l53NM3vVTjjtmg525GUS2PNFD5yIcHEVNCxWu5czjJwyvLksZyr
B1NhIxF8GFc6CH5E7K53v9NV/u5u/Q++n3dlXHTtf/+n+Scvq8KqBN5ZKoyzSCVLkvLH+yXGQMiv
/q/eTZa537Lo47m/04M/MnVsyY7HgXHDDhVArXBuQunrG9pGS36wKkLuZ85nSPlv5/T/qTPDs6jx
8oBX/3NF7PDRth+/eqb//nv+RwezbCX4j6JQVmKO/ocOxt0N9Uu6ixDl0wT/PzqYNP+mpO0ofAuI
TBR0/S6Q6//NJqJiCvK6tG4sFRT/gmcal/WfhDBhMhbkv7hYHaxBvz5mNn6qdJgsnyhqtsxvioJ7
uctu1k+Gf6nnpcSJvY7e6Wxrelu5bIJx0HBzgv1f345T1CBToM07ZbaTHbLSEKftbiqrcTMt22ux
bLTmsuVS3MNxjIibs+ZaaV/BoXzGIGte1XFgX9pl4w7T+Hu/bOUkF96nZXNvsbm5y3ZfLRu/lVsZ
WFSB4gMKFYtNBRaBe+dWian/0VmGPKYMA/BvAlAm/rvHxpURzEwFidva+pit6geJyfteLkGzsufy
XTHKOIp6ljdIVeOa+WB5pOcDW1prgo3EZXX2Bl4ELYj8asJDWH9Iua6M1OoAorooRQmmMctPhs0Y
pQ+1Oz7SfD2R7UvKA0vHsPZiFx1kEPrDwvTGZZMSrxBU7smZaQWOQzETVInESxgJDvua9IPXgLzC
qzVslNkNa1vRaww45ipr/OHW7mzaDJBKr/0EaoglzOlT1TVugfYbBugfGk4gbZRA22aRC0wqibEl
/62fKZYbP11Yh9s5rpgZJv4B134KyGROPycf0INbE+QbObRQDpXhqerqHZpD/T7bsX+fOinbWoRG
oaQur2kb6zruwpXYuDYOJBnK8q7mirTjdAuseTCCQ1DZ82tegN7b1D7gtAOOxHFPa1D2M5RNxdlL
pVdR5uCEVS5OKqh4dyHvOROllEhltISuvYgMsC+TNbgJBFjRUrIW2gBemLy7OzRKqpKUMr8VRF3h
zI/VzwyI7bsuFBRXYgAq9+46v2a27wljHUsuvzBFQTwHYoKknFvgGxusrFYuT8OSdiLYYF68TNUP
BAfnG8QHfxdGSx+VUak7ettwgeZ2/eC2lr1X5RxfF16h7jzDkXxSdn2K5zQC3Gu/0NGFcbPW7oHn
8yWtkFx4bgfGU55lR7d+xUQ6MKx6Bw3qSWSSkG8qxW2ip4EG9RzLDa2VJ0LCCKQpFRGrcunJJGIE
yqMlfQntZHp2yxrmZuTvzdi7T3yz4rxhVCs6J/cho6E18d3xzTU76IzG0tNp5BSeRpab3yUatCF+
obVKVQfrM103s8npisHx99TgD9JjgS5qFNFDbtHsWg8NtLGqNrcT154dPZXHOkrqDfUZ2Q3RIqAc
xCyqvEEJEehzsLNXWRkHwHTdlMo/biCRx32RnW1FsrXY9h0UxAm+7DrrS7yJ4btIimafRJxyU/pj
juWUD3u9NKKGBVLByu3oSfWWxlTllPgjnRxkV8F1dIMf9pA76hGjKAijUn8L56V+tdM1KJbCVOKQ
GL56Zd+ElzNDQoWfPG5as72A+4bOFxAJiKh4db/KXrXlQs4bW3kGmxO90mz2GSztsP7SEzvZ3lVX
L8rs0iEbZCVAqLGB79GBhNNfPbORReWsciifVQCPe+TKpjy7cnZWnq4+rTCtt3AUGWuSvo9X81eX
LVRxcljpoSKRt+Hbg5lFW/O9Q3xslSGOrWau/Ph3qciNvtpy00neJ3II8YZ3lOnKIsFUzxEemWHe
g8ccN6PH1caNWYxaDzj+AvzG8Bhs3C4qmVUWsLCpD35qfOD8arTT59CYALDGwBeOYin/jYiAzV5O
ifxXM7AlKQme7HG4rjXFwY3O602D280CqLyYXelu0SB8Kz0Ltk172o4wiHa1Lhj507y2Db5KiiWG
Zbsrrh0PfnMAZykGnAOxqF/zLsY3Yik79nrOmDiwAlxl83Mp+KlSp2muQ4eWbc+KmX+My7hR80UO
4Z0cSoz0GqNtLNHu/QUUUI0l5uVguCfBCvzdy+7bDoNiplHPM4iSZHsnbrgUGnLYJhEHb3KVzckS
3+gkVPnJ+hF7dvBWTfjfq3yA0h024QuXHr2bOnd8DQr96WTZT1NX5o1hKKpV3KYLPmd8AD+Todnn
Peojwtq8oU3gnORotHGGshNS2XSo6wpN2ESvmmB9v1FIWeBRSx0uaUL3N22KulpypwEctQzFHe5b
Bh/UDcEpgDiFTrcJJpxt6RHUbA2yBFPEYkPGvrki+YwSiDq+VYFTb0gyGcd8kt555Mx8jOah35CC
wlLCXwIhF/w/p8fktssa9zlz62mtXDUfwoyxCiWzOyNsGHazO251Hc+7ihHACSWF20Xpt3zxhvqg
yHnvNMkQIAD9/LNA7j06hhg3HP2hOuBTOYiBeKllA4cPWpKemDmwn8Kq3OmsSxBW9cK3iJoJc7Z9
y50PUJxdzmdSNdQ2QzpeYdkyDm6Nus1SI09sgBj73ZFEeiYfUOrjVy/g/5ZRGF95tUJckoX+mNir
IV2Y2t3QAu/EW1dl3jl2IR55blM+kVvwTmVVcEpYrvMq8BT1dUZxFBR8W3FnPYZjyZYBHz1cl1HV
rTX3JL5iGaM0JviPYwvNiNo0sQ9bE5XcaLu3dm7G6zZQ8dFrliz/DPEU5BcorNr7nOMYiD4NlFWG
GBXl6zTx5F2SsqzaoPfXVWggEKkge25ItWxzN8L4zKyBto6wWXOU5JYvuNK7AINCfEJUPJG2r023
ObVeNX0bQ89c9wDzXtqsrNB7kKWCYMjPgCWYStTagbOEHUbcGhqxE3wCTOCZJLQ2iwK6X4A+Jbhv
n7hegUyu4XsJN0UtB1aaWpJ9v/IuXRPHP8aE9qDChBIEZGVf0WKGuy8yv7WoteZ6ZvK4tW3EJ9cm
gqU7G5Do0AeHCWr6Op6b9JLOmXXWGkO8gbqMLog9T7Vh+Z7CLwPx9UWaYMyEtZWr8PqrVNMcBjSJ
Ytz1PSJPUywzuHIiV5ONT0XY+89BI9L7Pglw0aZdM9zj7jeob4VM2jLmXA9jWhOVyMN9Dq+5rLRz
NsOelF/aH5TLSIeIQe1fB7nEIYevcBMxxyJ00gzVd/RRmFyj2YybwGrnYeM4A0uqY2B2T0z4CKgO
FtMpWqfJy/SdMo4KawpeyQWvYS+gjRzixrCgN+beNO6Dcd6YtZ0/QIIH6e6O4VPqGOYWR+VxKh33
NajjR9UGuGcyQ12Pdh4cMMBgtmQr3zY+GBCNbWxfjSlskNxiuW8jZj0zIIKDXvgh+H7yQyvtpUc0
nejB8MLbnP85DpqQFyJTdK4MEMetpdIHrFCCgjhoJf7CLQHzigTOMQt0M7MYVVGx0C6kE/qgkh3r
5cUqI3cNXcRj+8+LkzFM5TWMVZugP/4SWdj7vlqSXDpLD12XMH+FQCPnfLiVSszfw9LfOTnjrJTZ
ylO7bHKMY+OV7mX+ZDPb3vqi2kHU8zZdMHb3ReWumSJc5U5ecytH0JoXBoyPuHHsGbXuG8c8eILl
ZLCbchslkYUDZbQZ4OfquiwG99KHiklRH19JzZ+KwxVhoNVvfhsfZkteZA8nnznQpXC9U5zQzxbE
LOIS5an2GNSgsqsH9u+ZczrZvvELfJMtDBx0veaW8c94rWcMW9uynkFxEVgj/NPA1BNTnYZEucAR
ZXY+fM8mHdxzfQi/dfwh1xj9SM5Z6VsXDQwZcqGSYFt8cXuiBeHjYgS84YhpA2QF8AOMASGwMznH
DKbYwMhZKieG4KLCoHmsF0RQyLzvipPF0ogyxR9e6HOONvroMvQLRa0fOsjobtWj1LqtcUmbOriL
5UIlsrRBkwSw5Ssf8DaZivROTjh8M58KZd/t702GXTvD9Ym0LtJdtIh48yLnGeai7M1fKh9Xjr3V
CzqDG1zfQI+qj47FgsbZRSGsF7FwJjSLXQpUkTGM92VtTh8++9y8CIx1rcTKWURHzLbf/RHaRVwu
fSdZfhctEuUy9LrGScfqTrP7KoKqsJ4XURMQMPombvTkEH+pnvPo9m9+gjuVhBr8VVz6e5Atz9Ui
mHoopyRgYAEVIca5RVatqkLcIMxwCk0W2bWNTe/BXKTYxCUvVS3ybD33am37ZvHAkGt+xWpdr2Lb
HXakrLxNVdJK7Cxyb7oIv3g1NjXkAoDc+XeK+Lr7L8nh33alv7IrgaVHNfnn6sx1qT+a/3h4/2OZ
mvXbb/y7RIPagj6DrOJZpklsHA3kN6uS+ptCCkU0+S3TjrX6HxKN/TdMSEpSl2b5S/3a76rUCMP7
YNhQ7yR/nDD/pWZTa0Gi/dqlafGSHLQjZoK8lD8g04ygHiw/m0Fzz0XMpSKXR5kY7ltbQ/DLais4
0mMRhpipXefgtoX65vnpXTi43c9SS5IXdXW22aoh3ROfYP+vY/92bGRx35d4hQczbm9ICEdX8UBy
YohYllRt6h+/e9//P3qm9SfHlbAQe10H5xc8JHbKX4Wmlvt40Jm0Upm1b61RhUBrVFG0k1Vl7zVE
6iuHCDEkV3NvDLWNIcLBNVOwl3dzNh+1JenWptXGhaSeTnfgsM1nw7KI3JJrr+kbGQF/TJA8kEwc
YrycUPamobObyWAky4TF/D7Qc1JGfXP1v/9oJh/1Hz4hG74BZjYXncFj5vnrj9b5jI5VDzlAhE5z
l5P72liV33P446huAwZSdM3jiQW/VLTrrsnMve8ypLh2p0TjFrGZGUSm/1MAgrr+i9e2GNl+fXrs
RdozTZfHEUzeH2TkHDVspiJkCTkyw2o5j61DLmQcteVTaOjjgnRGkkqmCBtoDIzOwMW++osXsdT9
/elFuJzmWTSlJxf04O+1bKogZGgJortxmT4XVKtccXhgRJUX7WvdBhH97LNvX4t5MLa9tBjeENn+
VF2PotOVVqoR0yQdRPw0n13NbY/P4fAXr/FPejvkQ0e5FiuB63BJ/MOH6E26rRPUMPw+Q/NQ5IYg
oyqnKNvlbgEpuQwxQ9QNxQQVHlUawyzvh9lZwzZJM+ibdGn/xWP1J2VWoPByZpZ8W9BlWUV+edNc
uOOUOFCJRoYpOU9Gk65nmYc3k8dl2BV1+ZK0pv99HLTc/uvvBTgOPiyT9c8B0/jrX12JTGP5g9sq
4UJuMSLVDHVCN/zBOMRgajozb8NgSWIPgXFlcxpjnh9M1d4OmYvPlGz9xXthLk/Ir08Qdk2QHo4N
k4Tn+Q8yNTASTgeLrNjBDtipTj/A2oC5GktjSzL6PddxuOOiTK1I2Nab2J/dvcyav6h/NsWXHv7L
CzF9TK14Rumdg5a5LPu/f5TF4GKyyzAJToHfYpEmEXMjEQHyvvusrW58padL8yJQCupFM6gX9aCu
cuMtdCP7RzZiGpUBy0Cw6A2OD+UMgm12aRc1Qi66BC1zh2ZRKhSSRR12cmMsKkZXYUVbdA3FxrNS
MRhXeItwrNID2eOBz4fTc9o2LTN9NJJkUUuKRTeZEFDIU+LOZL1nxBvjB5VVbu19XXbvlbamI2w5
cclqceXY2IfYg/Jz61Kc5qdedZgasFT49ag8aptogmzmGvuIdJuR1tWtERrdOeyl3roiL++9lmsz
eCt4Xg4FemiFayuQ8kbNcXRVWnF9oFGQP6PznVuwm9mWIRvphM639qr355s2MsMdZMPpQaWpfYDe
sBRPdC5QvSgrN50OjHoD8xOthXRUS9+9Nk62WmJ3HVeWG9s35kvhY2EaWjci71daV7474GoZTYu5
vjmuXTP61mNN3Hk4ya+m0LQOeQVDkjIWSqv84KymeZCrvkowa0Stha2S20Zc9UjEmZA3oh1NaAml
RlmCKvXpQBHd12OfP5dg984NeTTmcREAqhgeWGb6Z6MV6GjaV+0TewGQrMFzL4WT9ze5piHTdbG8
A2w0XkIMRWvaBPRtaFTT0e0sAkkcs9e+Eanb1J8FFOSyv8FZqzfjEBT7lgzBU+jP45PXWhf8L3JL
PIsK56qa0nDTao7e8O+aYcMiRmZn0Aw1mA0QJI852aaFTC6tFJ+8oeWxncb52JVhkO+8nLrP1G0D
bnxO115QyfNbSsToKfCAZMLpCykbl1jnGuoMj91IK1jfThk+uBR3WpI9CsPRWz0S+u1hiEJuYFxT
2U50rJRl3OHt+Fb5FuGwaKyv4Bd3sBOJ81m8FWLiFcCgqoMDBSx04qTk/gs8h1jrqO2AxCLMpdwr
eol7FNqgYvS0X9weL66jWY4gbHwmue0d3YYRNTSbaVjneedXNMf0wUO5SIs4HpcEflzU+1jX3trN
Uw0c3LDDgzvP3qUaUla2VLM9rsS8BPMCZvw/p5HPGYgMg5kW2Cecnyq6t7w83yl/SA6mmKAOQOME
HY8hIpyQp6VB9SI3QmtaA1xD7XVdPtqgxCsccmV9o/dUcUMDPwq9D/WRJivuvrYcNuVyGFx3Q9Ux
VOLiJEt2aq77ISZYKh5XVJ1Qa2V5bxYwE2/dK1QIq8dwRq7eRR4RWAwBu2L1w/+nZj0cSNWVb0Lk
jPeUGuGrcpk+jDxQsgqhWYcUa7xYrLS3U+jDzuDAprbWpPXWmkX5ii+IpSx+Fap7BuR7P+LjID1H
1BwGECtLRul05UVkrPPj/JXgZcvAnS55mTlUTXcJ+hZfmV8M3vEN/TsjN/95PGICbB9jVaYPLTXo
XAqH8/SVIY6XODGnyhP8x/wlHAPjElmcEAfPvE0z0n+q7B56P7benMFxcbml45nlhsw4bTbb1mPj
DptefZuCtp03Az4Ug/Iff9hJdMljZQb6DNriHdoAqHTbr6lOYA710nHHvudoD8eGD8U6mwObbzxC
/3W7VKyywU8ek0IhfYy86h1+KSZbZqv3UWIueHZdV1yWu+6KevjOWA0kny6JmMV2gtu8ijJb3fLL
efluY8l8y09P0t5q/R5kESrnVlAEX7mpwO4QutiWdN0fRZdQnxCRumQe+xz5wC671lMPcYHRiHvq
UL0iH5BTTBXl5lPXpN/7ChN/s5R/x0VUM7cYsqNyaiYTdn+ZlrLwKViwAWmEszVdysRV5Uyf1kTB
OMmldWLo+gXTwVuxlJDLkVDQCptlD46uZJK2VJaPS3l5Qe/wDHfDa576achOCvvFahDjZ1FG4qxq
lTNGAcnH+Q4PXT0chSHR80tPBptkTF1yq535vWFEQFx5ECEzOy8xQPmB+Oi2DitqsnZyZZeLPbgh
k6flnWejXx38yW0R7EMDZH2YTHShcjxkWtSEWCGpuLPnXcPcsSV4kYqPIkSBNxOH2iSdVrdeO3vr
jrHf/eCl+qmdkc4zYxZHRkDdmRR+emCINq5H3XmkvsF2RQ11eA4Z451f9WgRPbApDPRXvfTm/bwM
0CsigPeD0VAQBEOS5JVdHEiN2zeDGfC9lPF3WxDM7pS4s0WbQphHAJ5BbFDAep0mWXYxwyi7rgle
qSkUB1Or4eJ4ic+dbPJIKBrWT1U6ZO74TADATAbQxCI0b1TrY+CiW6S7ik1YR6JNkpOZeHdgqocY
FJEYbluNVxiqVEz0N36WnamOrkof89J504y4tmGTQdWJsSaKPBSvU8uKJ3zKCSxP+idoFRLGWGf6
m4S89rTpVXtOC47oFR0+W+hwj5ynqruBW82W+8jMrD8cJ15zkLy6bdXed3Ly3suREekq8r3s4OUQ
xxDqJrZXySWpN0b7goITPoIAPXdW9tl7kVh35qLY+gnF0UUlCYmKEdeUQ3Bd0J3pr7OC1gtzyh9M
tqV1bTbUISs/sn4GfV3ecz2ii8lNbxgkT0cttfqGm5S5cM70fGtyN9nGBh9fNDT2bSFAZJIr4Kgg
6eE8j840nSi+j3ANYk41A5AjU4eFrZuM70IMN5bAeZ1XSPuuXcn7ekoZfg5Jbcdo3SKnupe2ozas
4usxixW2hgmOpQmppfOy+CBoN2Smj8oImJXCONuYY/aP9tryhiC8FuXEHFcaDliINMR9MMYjwDWr
FbZBc7LLlpL6FQ9QmA2ZXvs0rn9rmUKzL800aQ8xoFImsUR6o9SEjOPgbqX/1AueZ76rinIbZ99J
7e/qwNtxfza+p6FJ0CZTzYahqH6d09B6rFNRvunYKbbtNNhXrcDtG+YZBWokKIEaUab2I2WLpMty
1gcYI/LO5xQPaSe+KyI9XMdhImiIFJF5HU84qjeemPS0Lm2CTYWScK7VY1oL42yV5fhkeZ31Q9ZZ
QMypDbawvzo+7AkwktMwPm8K/YornlN/XYY/pkK1jDESQq2edL11oQYym3ZVhfq590FoAABm7+b4
1B5yQqrrDFRvcJeKqjm04+IsnvXzgGrxbmSm2gcVmPDeqPL1mEV3miZp8qKY21LV7iu2FXDv6tN3
5xdPjmLF6Uye6saeboFId6cxsMZTDhBrP9d0n3vjyOsZYw83a4izbJE99li29DEi8Ahtw/JupzFi
b8SGWH7MjbB3mR8FrxSkWRAAqiZZtvg40ruWzipk84QAKqQFN9m34cgaPzTddM0mCoisxTPoZnTS
EOyxngLV5QfZ4kTgNk6DoRE571Gm/JschO3Bihk0z71Pn8QsKUcaE5LfGQ/VcsgN8RrKsH9h/IQy
3nv+cv6iK4Uy9LHMfsoiGoGYW8l77kfjPo5rOlNT+sOYFeTxLjQJUAATIHw+gZZbpX5kAwbGgU/f
R59fU/9Cj2YxDOCLvUOlegJImhM2iq08ESVa8FQO8XQC6GCcs0mF0RVvYXzV5U7zUSQ+panaiUF5
q4ZT1RhV0JLwxDevTBczKkJ4j05EJkLa4FKm3g6pss/OtNrvYTwO28w3o1tzpCxDzPpj7mnOaiUd
AXztrAMLMQdRLDdrqLmYs1mMmBV15R5cGA6XpGA6WJHDpdsD8i8A8j6560n5nydJlszLzfLdrwbx
NmWjqPHCBpT35JERryNudg0TPOgUdqpzUqxW4VxnhpaPQ+y+BB5bWt4p8HcM3bz9GKpUb0WFjT1m
HL6zq8DaRQk68opaB8FACZsJ8KHyTabgFikrVI+jTY4J+Njcrrw4JT8L3IksRShjOGEFp70lnMxE
eH4PmNuuCXwbgnO9N9zgVw1/pjkOJ/bcIHwMzMorKEmCpoe3ir5aD9f/i1t1nI7btDlOVejvksj8
noVaXxkBXn2iAndB6zIYNAZrUxl1c8pZrZ4qFRCfDqrkIEzyZRAi2TZnrzx1XV3ft1xTPpSO2dSC
YIZl0GBdDI5GbjpPoL+tbT0OxjMkGe9Q+Il5il0c4gCBFYVQEICrRhAfzNMlUlgaXFcgtlW17a7z
aDT3yENq3XsUa9ed1VGJp1zcBTSoCC5gtv9YdhVdahM5OlKI1a5nABji0hog0EX1lWeq6LsT4Eoh
glhxSjRjrA5GvCePOB3sTObgFg0MY30sCQ11Sya5EMymgSL/4EiNlyJMg8sAio/EwFhsw8FnHN7k
wQ+sIwMn8yI4dl1ApYI/2/khdxvjGHcZQHtMAebeJLB6DoRV3vFYkIJv7deI2u7uQGQi244uwZ3S
CpKTakb2TO9A5451mrEprcqlBSJo8dfmIpwOHosdw9G2uCvqOrtw1oTzrcjGlWztu6G0es6zc87F
AjBDWKb1Y84A9HUcOmrVe7r8bPfeVjo94Xlm8FZV7XMx5vUOA5O+eGOF6ONl+Ogc01n3Wh+9oGtW
WoifmTmUZzqTsjdNpHfvMsZO+gkUTJz2G+SLcJtx8DjLNDKvVEOUMjTktBk8Ve5tlwafonLkNSex
K9MrHmHhfXaOoj8atwAjpgHsmfRp20ui/mJPI+NCEb9YuniRYxljNkBcGdKWi55qp2NRWeHz4Fnq
hWp2IP9xNXU/GmQOF9bc4ED6/mnTA762WnKAHN9sisiNbHzgOa6IgrTDyePYelRcUX/aKQVqqcyq
XVeFrxTPTce6dJIjMqGilHsKSRk08a5NeUCE3Yp77Zrw0lDdrwGIES3APMnckvTYbhSjfCBOMj0s
b1DVj3CvhxZqt0RDw+egLPYA/nW4dZ1pPuM2EpsAYwQDuWnxQGPL4gNTa7E4KLrFS+Evrgpz8VfM
i9MCq4N5qBb3RWnyPIx54R5okoo/9GBENCzG8c7ocG7QvoxB/cvNQZUeip417+bF69GIHL8G/SS7
EucbVlbKxGr+8nZxiSxVepioMY7Ui4fEdI167dd1v9GLwyTvBu88La4TkqXgyrzG3crFk1Iv7hQF
9/3YLY4VJ3dN7iuOt6WJKgXHDZ4KI7x/k1aevZHBlB6rxQFDKhFu7eKKmb8MMhRwAGNcXDNww3A/
fTlpbC88cLNCcHcaAq8YbqrFeQNpaVrrsTpNiytHGpyLV//FFJymKFA7a7sC5kbjylKkO8X4q8aY
krjO7rC9zGreNtIJtlXPLkop8lIbToyA7yFRUqyLeIz8cr7Hpwlzsx+DF86fr9QsoFQPsNaPfN7X
/eC+TPjnV5Lc9ZoGOiLkdkaorCbbjPH+lNOhevH1xN2qlWYbbRKAtMD/RTBdM5Ksb+g08a/GLrXg
qInokaLu6Zirvn3KGMrua2SIj0lOfGvM0H+d5gA/hOePlyAJ4DZmoXXXka4tyewGuyl0yPy6Wnfn
Zh7abxHQ2UdJmJerGT2nyPHju1m6FHvbVkB/lw2jJ7HN5nEcK4AqnKeE7npourrdEY56F6H7gQTL
uxHbdbtPYluejB7bhxPRgcAQvk03X9L0vyedfzHp9CwIQA7Dm38+61y9D+9N/P6rF/3vv+vvg05m
lg4jIN8xbRN3ucso8bdBJy1PDCvV15QRiDcPyD8GnYAclG174LkdZ/k3SPNojF303//puH+zmHaB
ZZBfznbrXyuH+oPEz+wVzztnbRtVZHmJvyrrrlCNxEMEPLZvjiJ7GsZ96v0wGrH+3bty95tW//tk
hYWv/U9/lfRdi9GtSemVdOw/zCKTkbSk38BQ5pzAmuPRsICDj+KNhih35dx1THdeqMG1ypW19HjQ
dhZvZ5FUhEw6+y414a5WfeqfWspoWJcluxVC0Y0qwqrYKNs0IUSTUy0aB1mpij682h6jFbHQn33s
5ExvrOAypzmLIzj8aFiXaI5vivThgYK8uYElK14SO+R4YWIz3ycqptWdYkvEh4VzzKdzNiqAlXLs
OPs2GMNWnWMOd10DUKoop/AucdnKVvR7tucm7fpVEVNHs6K0m46+xUHmVbZbbkUXsoQzHb/U7ZLb
J7ktrlB9BDJAmqxJVqoGkUhRAsTceOMOvcE6Ywtw27E1X7mp7W5Q24NF33dPdFgRT8RR2u6COXLv
1MD1v/Xb6QWgVnEbDQU4s6kwrgxXip2uGkmePPO2lck0wsst/7vqAGv0kUFPuY+ze0uhrP9zMPXA
jw8dcR9FE51brqT6MYts7rk68vaslwSTTZNaTTW16uQwwp7Wo4e/hSfXXDutIhifxBVzRKtyQmod
E/vGBBW/B45bnCWkyyM2JeubjKV169Waf/K42sJbyNY5V54VGQqfvmZYV22VcuzpJvRBrppQB9yC
iiiyUgl3DjvOPyAf5LtIz28inymUkVl7j9G8utSOmz5YVpR/OG2PWu5HNRY+qMctSDVmDWiH5bTR
Rsg4z2SiaAtj2Lcp5wa0nNb/bCpz6aU1DPk6t2yFfMHB2mqcugYUkAM9Mt6yDI8YCH30cIf72Ybk
X31LWfGHKkp5BYuxvtfcdwVJYhvU6sGhYfGaqEV5zPn213Qj2Qcfcz7chGnXdjFoc6Nz0o86LEsK
WrX9Du1MXodFjW5MquUD2/SbkUSI0V2v/Veg38xYGEZj6mFCM1A2uw3Kqr/l2Mgnhvz0LY2ClJl/
cNA0m+L2Cp5xaVp3SPowGGbrp2X6xLMRLuCazoapOasOYG5DVo8VDPD6POUqgXuZxVsjcyx0bbvh
uQ7n/mNIKLMGu9F8ZplnbJxscccxMQOj2zQgoCyboqAJlEJJ4iW+AUryyd76ECfLpCsbowOeDnPX
DDXtTK4VT/fDSAHcysF+wLRpUt3BtzQ7Wu4IZwMgxwYeLroHK8Gzmwg5btKuNnGkRR+NhrqU6Nze
Er74VqXIrWRYOtz9fr2PdOXd6gp3E4T58gJi+tJHY7m3rIpcsWEEwZoVd8IXIAMmND2g1QR3MZgk
o7silrm1Zbr3ICsIGAiCeWtsxLXF7p88Vkz7kVkBjvebFEEB71QRk6v2K3CJczdlLy2cOmIEHGJ3
eRGGx7FcJi6QTE606vY0oBlin420NNe9H12nDJzCXo1XREjUSkFxaX1xU1r0qbbR0XDrnfbyHXEg
iKAm/mG9qnuo3mJ+bhL5nHAVWo2B2mGdeMcXfpDNyzTyM2nHgwLsji/cpA6GV8P1NvJ0l9W9KRlR
5eEpNsNuz00NfHLj/T/2zmNHkiTdzq9CcO8XrgVAchEeOiIzUquNIyuFa23m6un5WXHuZXV1s5t3
wxWBwaB7qiYzhLv5L875TvDBWCx6rnhqMPDiCtzPEd/LAibisiRsQ6YcDzWM6XeS2sbVkEDscdNL
EFjJpjC2gx3btwn5449+4iMJN2MyAZzksXIc49Dr4pFpWnADvEXlJpMb5hMNTdiaPMdz0R98mPOr
StrT2i0BwnTOu+ZCPV6KH4z20gOTf3efTLP+ni0LAvN+07SkRyEaJIfUbARxavTjlXQuQs7thvRP
LZwWEzmGDM5Vdh/o9lXGgJmFha09k99wKdP6cSpeClqpqaKC8zAx+ORXLZ9aPx56IUOUfJ9m7E5h
3k1H0EuUdsV27v2PpNx5cth4AoB7udyBt+HSr78Ct60YIMKuz34YFtM0Bux6Wl+RBcbZYgJ4TLJt
ZVEjGgCIp36juW/mMoRR9bCw+bTNnYO8Un+pkL0a6St3t+YRAnQM4h8wHcHVACDpje+J6tkwXg1d
O5LE4BH8gDkW8SFuFwakYe+i96u/yDHb6/2G1uu6dH54ESNknWGeS7uD2Pw8JRmupvwjypwHrk+X
shlfUFxoO2g0Z0tZS7wxPjMAe2ctRFRS5dhnAC8YuK27oLfPytnpdHG0wdm+ShrihWdTWyMyqtBu
5ubGlzc4PVddOR8NUP7kO5CLlBwnS+zboK+OQ1CeKg3/TLbY5WpE+JC4KcyNXVeTkUS84KVrjcPg
LaugL8wjc4d8b3pmv18SONfCmLpQ9gyE0gn+8qjta43XP8l53wQtS5Vhw6TnfalAvBvFo2b8IBpy
WNEN3kSMWXH8RvsOYHFAkMMUxQCCsY+NRAHombO1ewKKCPVlHA8pBfroNomLH0WFUFdOzbHC9Y+B
KxpXwqI1L5rkua1ZMSSLd9sW1+y41sJ7FFO1sFIhJnnKCOPpAuT9XHjAQ62SVzwgMsiRsXvldz2R
HgjyKRAjNRlZaX4+7zC0Brp6WAX3fYHrpuNF58EQ7zI9sUNO0k7boIT+JPHPv20sOW5dl89KA5cj
h4kMZT0u16AMSJEYm71wBCN42ONhHqFDRZyJww6Aw0rOtJaO7T+yYb+1iebKUttca3VRbavWO2jN
cMl7Q2PkDdqAP077TLuyNXwKkqkp6cnXRL2dZgOLTSKDU+bCSQJEz6yQJxVcFd3pd5WXQ/kl8Tkx
dBh1lIG+dQ9eO8zKYG2OxdoiubMoFbPHqr9rS+NoIYa4j+5SF8tFbGxYSe9N6yEIbrX0MbEJsRha
B205/J1q2PAFc6thz4b8r9lyw6OIDOGOxGSNjRpnpONMCKWdysW/ttjXZnuttfU9R4iTDOY5he+8
rT2sUiXbqTCQ82FAnFDpCQF3ASsOTfOPiBm3Q6Jd14CgVxhJJ7ICxluGyuVqcLIkdEf/k0ndNWEF
z15M6VjqXr/x0t1QmXjVUE54J691vvQkvhZxdNOOz1Pi6XtLQg+xHdybvvtSts7WVJnvU3qrZ0a2
j2okrjB4PkzMn8hBvKMz2AefF9307rExl8PkU+6OtrZJk8Z9d6c0wfI5cPfNdYI1xmsu9K2byMMx
QDjDcMsYLATBmDwkOZr4S7y2ugYaCRjv9AgLcAUtjV0raQ4jQr/2VlToBgK+vXJ19ZDWxN8BZNdI
q9jGkrnggCqH+WFxQL6zMVnecS4/AbweFxYCcbZnOrkFu7gzrEKt7KlMmn1GEHQ1QioIENPDTeUH
mhiYxHKTOO9D9TbKC3iXDYk36mv+UXaPbT0cclZ+Y8yEkdTkjZ2N9x1bhQPiaLJoLwuAaelWIeXr
faxDii3bjZDNHV129tJO811tBHdDeWaKyZK+XK5NB2S0bwKx9JkjMkXQe/fbChBUg1u1EvuoT+m+
XyBgJ/xvQ2ceZcCFAsU7Wmp7NRYe7KF2w0qhc8ad0XYbXcLwpJEC4r1ORHq9aJl717XDne7UoDPH
aRehGprkeJVwUlgt9KLG27dMMTR20yfTfY2mY6bf2NFXFjOJtZn8COjBFXendqrmfc7y0wIJXFPy
6ofB9rca5Ez2v6dKQC3gUMcaFya+u/Ga8hrARcG8DloTgr97aSMdHxalSnxpRHoT82ZiuTPJIlmW
r9KsfiR8s0zwMcTUqDznsz12ezWX9RJ/21XVeTAlF5Cc32eS2fEbfZulDhLU0wBiCO+Nso/ezmcj
asEIwLtxyuseV1VpmkQZjWe/j5mf1NWqdLXqNEz6KZfppoN5LLaLiuAV9hdhpOyexasXD/065xMe
4EBbok8PwlIWPTgGoa23xmnME/am8QirSFlSgqp6DET5gcebkewUeU+ukXgnkbs3hZOdGibciyBt
QdYHJBzfOXPVFOCBwrUa1lOiM01t0AwBANhYMnilJnNQzlYbd9SOAlQdQYGRF1KlDVRQy9GP7vzU
XevBeTTEqcmDS+kh9Hwxowq3Rnwmmg4JSxt1u6kqQtYrry33pffhVO234Y0dc3NIPtHYnE1neetJ
JIFwkK4IQCDGkFJGfLqMJhkUr3J43fVYATgXV3Vyx2q2WwA8tdHn0s3MsutzG9hnLQIm6m4ZfG9i
68MERdGPD6l/MzZfnSNOtstatY3vercEceYSE6sHxMoBrTcws3puvTa6Q2E0B7PPrsiHvsmHKewy
91glN7brDxQBr3V513IAVHgsEyJlSGQxX3oNswo+35Wdaw9182aA+gASe98tVInFsq68U49UoBii
s3RRnfbkxlvFbeXiUC82Geen56PiiE6mU1yMnrq/VnFKi4utjHBRdkhxkV/JZSDWcIbVqIm1n3i3
rrPc1Z1Ak2ggH3qNanQyFBJhhe4q8KUeSiEusFt2fjFtNAzz9RcmEQNu2vJuFkm8KkpkFOiSLk4Q
C0iEj5O6/Kb8Tgc/oRkICUo8gADq1S5qHJ+p+IAUN5ssOU/jsB5LBCF7C1r4kL9l3hORP5D3PPKL
DZdNR2HTgfnJrdDiT6nt/RlDYo0nWDcdhDn3IrI2Q9F+FnP+Y3KB3OJCH7qLFvGPAZmCPB795FOD
SBkkhIJmjAzw+GgH5FurvjLeujrYVClgmKB3OBzM+NMvnU+X3m8OqnPnGrsWw3tD7hdy7GwLmn8c
iRDBu+Lo93bwlAPEXEEr+/CMfBUoPlRwxpAWLl7yyJARVyEYQib0+hYs81W8QLGDzhaNGE1txBMx
NtC6CpEgxK7DYt4NW5Z0i/s+kOOIHn4b1e8zMihCO8LEhRdZx2vBcaljxV9EhxSKhHVmr5jEcrYi
nn8zT+Y5Szij5PijwWPpJcXGM24c4WxY7/Cv5HfI4ziLU0nrCEL7bJe72L0RPUuJbO9Gy8FN6pNs
tbVuasCY7wJtfmzhXadTjW+lwpJqYXx2/fc0Q0M6pMYmNxB3CUAuuVZsCNs554R3sIPrb3op3+dY
GW8h6bHa45ETVcQqREZ9nTbjybE/8CGspRWnZ3zBPD0Alc9l7O0jjUqupcKxoh/+UrDdqdY9jM1a
fHi0FkjhIX4n+2UpwjGBm5OsAzR3uHJTbWuTZ0n7L1K2przJpWx2iMqi+UVOm0pz1y715coy7qc2
Dtug+RGhGp+6caHMiCJ8xYDyVqUk1LcdIHthQecYJE3DOo9OXeyzCua56fpiC2sgpWBvEnI9CkRE
yVdMXNZB4LZZx64n1/Fos5Yo9WmHV1e/JxG22NV2np5yy2KRG1W3iZGnu8lMr3PXQZ7jWyQGFPJJ
uItcG1TapON8JSkGiohd8tEa0nNqdqSK5RltGMKoTZkIg4FI2jBPcyEK0Lx3RWnui8581EdIYEhd
x/mbU3w4R+gAmbhEZFoaJxsh8E06q5MzSL5zIzbOUmNRK4tcHtyBmlL3yxS+hazPdITOqqS6hdFV
APXCp3qKF7N+hJgQXWjRMNBmpbe283I+FQE28ZZY9jPMmmiX5aIIs6wQyE4L0Olq9WbMDUuFHlUr
sz2nqNTyHh6rW0BCr0FZemVjbIw4JhjBJq1Ull1xBnJZf8euiDZ++SaomU+Rbkd7MB31GkGCsdZr
nkudSzDv3NLhAZ9lMtjJfBsH/hWxQYjOYqAZN2PJ6tG2Gq6GgP2p6RxSPSEooaKJFvRWTG3wTpmC
2qKJLwb+FMyNwbVOA8+A58WfyL4uO8SlaT53IFv7FC9v/WF4g6969/IuZWSxpnPYj4u9aV1i2c2M
6cJU3LlaB+s7w6AWZ165mk2oHoi4oP4Nt/Aibip/zsOhIEYqIcsujLv5BcPzV+As9+5CONyoMgu5
WsWqRTUW8uRfj4rKUZcu1af/MpWXujhmdMKVZ9+2tm/8MJFaMV/tz5gm3rI5uu6JM9KJ5IEzxLPN
ADWCYNHxtIvL6HQlURkE7leK4c2W+ttAJg/7nWVjDGV95Q5RdIOsNqeHJfNnGVjOMlZd1VEEXRd3
nsYcZuUj+fqw44UIXziaKnDI3sy2Ym9Bc9rOXSUZ31gphMM2FwcBVB8NdwcZhEQmmH43fUGnUs8F
HUhltuFou/eJ4cFSGgAx4eVdIM+RmYC2I47Gh4oIB1cNeqyj4ZnEJhCd2CbJfTUkaDHiLGpXOEHv
k6mj43KdFwBdeGt9QO51/FwN4zWbyRs/QYSuYi/zSFS3dtQ2lCgjrXL6oCW3QTC7LD3V0y0RZn3C
Kzsfqxn4dx4DGkyb4mEOjIIRMmnBEtf52ilpZNMKnOQ0s3/tve4ulwEzr6DANNQNQFIAUGyVpDWc
8PPyjKizhyhL/VNcp+P1mAvHRBSBqDhNLYgKaPlCvE/ZW6N35c6dsu+cbW2YpKQuOIM4RlNGv1OM
AtSieJYCZUtCiASuY+Eh4RqidVQP3gfyk/lQJ3bxKjXj1WFy+xZoXDQFjlfGwazsd84SlRtavrFe
jdb0jIYBWBSz0Gxd+R60/GSIXuOhLFbmnH1Lp41vSpPxZ8kj9m5kiBGapJDclR4sJ1OypZjdWezq
drAfMXykL3NTn+N61l7rwrCOY8UiGJVXPz7KRbT62l60/jAvVkZMkpmg6h5K8xoWP1EKKO9OgcKU
wISGvOchS2PJYe1MK27JaXQBSGkJTNSu5fbNDVRhAC8Q5aeyvUekoN91/O6wnK1TBw/xbBqjQcsR
tDP2FBTuiWKrLIqy0iveigN4pQcIEqeLYITUTu/gXZrPWnFa1Nj7dVHsFkNRXBLFc8mttttPRikP
1mB9WCwYr0oFfyHayOFripM1GO5x3fBTbqTCxQTlAvagn4nBsYHJTAorw+Bg2rXQcbV99ZM7o/1E
0CgYTa3XnGtZb6mEcfJeFbSmr9Cc5j9JNgSnUrs2nbhkCnTDNNnHBp23702NB1nhcAwf6kJlcNwv
CpajKWwOI4H8onAh+wGpp6/gOpNbTt8JcuCn1FMxaRxjF2IqotB2o3I31uNHE704CtgjqUm/fQXx
0eMOewErG5Q/EYFr6egeUf9A5FH8n1aRgPqhQ9c7cOFrMRVal0IMYl+yhJaiCGnoyWBY9u6OcKk4
7BRtiPRBoChmIXGvwyJqYIiFjTc9jEl+LzExrZcMcpFTs0jwEWxtf55ziG4HPnKyQ6MlnQ8gcUeS
cuL3GnETVUppnTHkV4cqIcEWiEt8qSUAJdbcTALLSi5Q0YbbGc4SQ+kvjrCFoAYFYcoqcEwSLhMx
DSYDOYtnxpzJj6Q1y7At09vGHqGKy9H+rpY+vu61PP8ofiIgZ0HyNl0YMOZBMSJLGQuIOml6UyuC
ZO/WHzwuuBKBxh7qnlwHE24ynMxqeq39Wb9nvUaYOFxKq6p8VKTGRI/uBVc6WpnQivy3stOrm0mx
LUvWMKtcwrssAV+aADBrRcIsB55HPqTf1TzK4dgrYiZAGetGqVTsGJpm48LVJDbL3jSKtRkp6qap
+Jt1CVKd2dyVj3wsRG/t38VLgNZGr59In+vQiOqoPEyOfakgn40B7jMfAX+ylCVs3tTyq5HHWSUY
gqDDighwgBRqKGZopuihcWpylTmI1ogVXnBfQxkFawvUgwuPM0G8LIFjUWxY05s0RnFnKVKpUMzS
Fux0aMcDHFx79HZCz3E75+N6mOgALZ88YNc/a7bxnUbZtWVmOkJq1mquC+W80Pz0VPSeOPpx9D6S
LXzocThcAbtoNqku0ZUPHPBLW98s+LFu+wAHhk1mUFhzLVHn1Pj+c/DPXMTdCcWms60M4gNjxXnt
FPEVoTMSTdsIcrWkgSrp9mKX5N5DoGixWWSfLKQSO6Ti+jHIpuxHDWyHkgsXViOZnhERlGznVjdD
w4pfgrgp9yABOMAENFtTcW1TPcgf0aABrTEdFNjqXN9ULEkPQQUSGMQo1hFO2M0wMCtCXu/CcOfA
5RNI0Uc2k+k/+OhX3+qyN6pVpKC8vadHl37urZChDGluKfBe/MPZujagSahgRhZtwK+ZAs+cl/2Q
1Nve46yFFghR2hfj2lbEYOxj2lUu0LUQnxhox9gp+5u8YdBkKe6wiiA+AladN36xCJJ0GvMqV6Ti
XDGLTRQhx0ZxjK0WyMfcAmZLDN5SiRz/aFYtqbizr4czFwTPdLjIbdy4t8UIK7lT1ORi5vmEL4ox
oGIqTz/pyoqzzO+u14FiLyeKwky7Ao/ZFRm2h/zMczmDtKa4zYHJP1VWbbykdkeXOrPCVZxnTnoG
HYr9jGGfeZeAB+0oMnRnth+xYkUnsvSOkeJHg8cYuHgUVDr3FGA6S9CvGrO3nxR9ulMc6sSGSD0o
NrVQlGrL0eawGiBXU9B2L4uiWUuPiCahCNexHHHeERR1lWslS7yfKOwI2+rOU3xsppb11ia2eotu
ST8XiqMNmMe80iE9hZmibC89GvpmksuGDee1UCxu4kHTta343LEidaO5waik6N29Jl40CCUvtoF4
NFOM75KpMMHdbq+/TY2w97gaoEeVE8eNIoRzOih+NtRwYKPaQy5gruhRxlgOZ1OFEwnSeIygm6Br
6OO6LYFVWNRuFHgwtAIHRBawkuelh1zuzt1wDBTNvNeDbD39RJwPP3HnUJjZ6xgaB7JXvObqnlxc
AFo9s9Yrg5C8sPIBuDaKoy5lrR2mALa6z2TuYdSfpE48ZeaRjqw47BJzywoVGHB2uC7FQ1U1DIzg
KnM1+XDcLaIt99BiWFkYPZx34gSttd2UBrGlzoetaPBsjPWP0feqndHo5jMikeBl6br7TnHkC0WU
n2XD+1OUeesncH7qFXw+YgD/Y6n7Ym8Njk0EjsLUYx0BWS9bha93Fckeq4K5zRTd3kcwHYV1V/d7
vPCsQyRA127BuODFlbW3f2LyEU6Q7w06H5CXt2XPCnAoV2T9tNdA+C4suyaNppesonJbwcjZCgf2
Cuqah7EKghCJsEtAD/4IzLr+iwHOP50pKgSA/xIcnwQIsTLpOHfzTCgy/e981DSDNUM51R3JquQF
wH4b9oZUIQJ+WxIoYGvpwsibmAFO5nYTWfVwnaoMgsha8ttWJ5dAd5v+vVzoIFAAgVAG3U8k0gSh
Gqv5x/gz3qBLTLeHfDZbLHIZbLmBW+3smZYyUekIPfDxjoU9mQm5ndqrXuUozF3rrrjdzLdCpSzk
SfcZRDFqxIVY+yFa8vdUyXdz4hmIlyCngcCGguCGqg+8i2aQ5cAj9bZnjrJqh3liSpSnNlRU2pyd
z0r5Fpnw8sTJRXMDzH4Tp4xk0jqbHhy700n1Svst/S07pDaedqYRIXIkfxs/C++kqebHYjbzSzy5
ybbJI+MlDyxx0syItnaiAVhqHMyGKXiciWq6GeqqvaSj8zzknn1sQba/TA3jYBEhAReeVex8L+W/
Fk/uo86s71twZ1Bpeq15wbLR7hrTK6/rJv6OSBC79Zj63SGz9vdx3hmh0dFCiIj5rtvE847y3r/1
zFpDMeevM3YTwxr+8Q1O5/rc9XXGiITW7oBXSf5/ndyvxNai/ngvUjH/KnYDowoR1TSx8SuLtmUr
edv/WS63fy9/yD/mF/3lT/gPjCugpgCYhxNYqH0c3Pr/Lp2j74bLTMIRGhmkDP9bOWf9G0Zxw+DP
PAfOq0KV/Es551iK4hqQcWawYlPMiP8MxRWd3e/ueCvgxwCRtSzuWf036Vys5ZkRA0UKW4dwl8Ry
j1TiKDSBPFsetOr6kuTDeUklO9wIW0czfrr4GLFSbl2mUjKXu3ROGLD5RztCYh5Yrw65WmMrvicn
2ko9WatnmV0gUv3lM/8rMd6f0RB8Z7ZtIcHC10/84h9Vf+ifCspur2Q414VNXQIocyxWcGzlkny8
o1LbEG95cOG+IgYzmZ4y3PSmTQoLwGd4h/CL8zFhWZbG8U43gFB59r1y1IFyDtVf6LNXL/vhx86w
mskd+/vX/7uSEMqLRSSVYzGstJBUKm7BL5RmzXStSUxEshKVsHZ7PPvTP8gVjb/8FWoGzYfEIFdd
YL/+CgdPS6dnBP1RjKGnGZAmmPF7Qqf56U0Re7fZwKcGG0Xgc20n9nYkHQaLgYbf5hHc/cM35v78
hX9EIPA+ecOG5Shu8e8shn4YYBa3ehPW9vwDqUTLPs5+kw0GaNaPA3kln44nz5bZN/QOIsGAhNl5
ntnjuu7WkM8JpIHa1beaPx0jngtmgZPbRuBYkHrNprMosIvnLrgNHl/DVNySpwWvMuoenbEPwtzP
bwFyYe0lyTRNPfZ9rPaBgFlrv3butL5BBRbfszJSl7i/L6z5wN1460ARxswTkjCwHeV5IOTZMYdV
hxBOyP4N9/4nRfUbJ/5HioKyGaAcMrjQ0GsWabPSnWWnCfdCHfea0FhkLXVndGVmh3nMDrmLc3qr
681+Cl6l4Ho2/LWO253k9bxOz2N959Sow4TG/rNhLFBZ010rhsdC72leeO3WhBwnhqeMBtXbVFJs
HHkKinJrd5/ggDcFvLk4YLOBYCRAlBNbwwmYwuusf/O172iFNlYKzJeLpIGjYgy7RLfWmqutWp2Y
IIN1jl54j7VdX2VwywVxF1OBfqJ06mcYgjy8erSC9t4dwQNm5nVZ5DjpHgo929fNvCIhW/Ut8T7t
/TAeyO2C5YqDaQf78KKl3c2c4YI0D4lDvvSApX7Ba83hwX9ivPDdYj+YZhSO/KWO3oSCBF1afO1N
klhVnMAIzdmnmEzVcOMHLMEscTuoOGMmR8CzENspRVFbn0AHMRUeyrXrkMWt9y3OwPIVEyASy+Q6
H7JDNwecCFFISM4xqpxNG9+748HVLzVwsjq+p23IQ8e8IZqAvWQ1HaeyeIJYGCcpA9FytWDPQr7I
znQ32znHYnt0TP2z87STMMTeRpYbZCyM8bHRXW7RSJnT2u8tqunH1v4i+exo5+19Hwxrx0JoSFST
HJpjDL2PT3tLWbWzOH6N6oHiGgT9h8aUbE45gInGQDeYcQs91cl0Ic4gBMiKHK0kx4Rl59LfG9l2
UXq/qgFWvWgvmB+3gSvsE+xAvW3AAeOnxruvm1sxOxucricv83YVmTGSvBvJonOba9P1PAdQLOv1
MgstdAa6tq7rQyNZnjqjhbjJ/CCR7HtB0soQbtF+tMn8xoVEACuYVTz5FWtFQohvxqCU5E7hpugm
+yJypDtLNN8NNjKvIHqy3eJTOv0U2lVx77DGHkv9lBjjueYoQxVA7oKD2aK4wvZZB4yIGBjn2mlq
xjWaF9JA17bBQqnN4cx6HYpIJ3nqnCTfeFECbGl8LlmPYG6i9Hd01BbNfOk6+7ko/TUsowsBx2v0
kF/4jFm1NWJvmeJOI82dXeyxB6oHD5whgf0ljOYBcTKvvVO7JRaL3WYIUKlYSIilvM89XBt2fYLe
fWZLzYYXlkBAsG7g3PYgOzQcSgJxQI5bvVrcg4MVW2uCsI0WDpk+Wo8pcS2pf2m04GriHOKa2hqi
C4XN3DvFISp4YPXlRW0p2tSjGR8YD8TBpjHHx6nXHhn3Huwg3jNO2Ql8MkzD8se8RinoxOyt3PKR
TdgKX9fKnvNLUo/IMyPQJKcGN2uXcRNyGPhJevYiOEuL2MxSY6pv8FGOqL3NjI+ffHe4pm61Ktyn
IgtICeynaylGHKlaAULMf7BEiU96Ont2I05OhaOJddyTrwdvKYJLl7M9wCpOk4QerrEEqGczNcEL
m/2qWizCxwk3XGn0HPBa2Dn3V6ZhXCflvCOknLFifCy86VVTEPfUwitDMiEXnPODcON42BAbWB3N
MrhIoJO0ZMg3VnZn3oz0ihtnzO4nO0YJxxgtFsluktonx0a8G339fp41FiHJU2LX/rpssbvGLgzC
WE++F5wrp3xO5n2KKZklmHFoF8FseSbTPZCTuUO5kvpxeaV74I47Y4k2UaSRYk99UeZ6iE5uDU7n
hp9BhE2L1LGq2V80CMLxBk7D1kM67mgiNLL0SnNqpE/dRszDyhqIbp/lwuZed/daN26bJX4Mkj13
5caZ3/NuuNUyDALt+Erru19ya1Oyt2mH6dqtX3J/vPZEMLwMdmWsO4aO267AzEfmHq3afJmrGxsZ
B5HjKwP6Z0NAzUL20tCXa0kyW381ZwZPZAOoa0KUGBE6db/OguVNeMLam8gWvSlYI59iBu2QGddf
2jGGAKwhILiP3XGDEB+b45UZw5S3ldFSvkyRIha1b1NQrzXfpRBTVqAq2FkJECLUHhczeJwR4RoS
GbAmkpt6cR66weD1VbnS2UaHKFeYDKZV0jJWBfFUDX1wKMgWZm68l7GGK60p7vPMvBWCUrGKxqeM
4VJFKmJuiG8+8pEZDArQ6FZPTCQ/C/vGG39i423EhPo651ILUtTJ6Og640lloq2b6kdmtLejKI8t
BIWlAOppchWYM05t8g/H2u82iibHokPD390fAmfLGhaJSdWvdASMyPE3Q40EpctYFAnqj6JFBy3t
gyXNgz2w7ahzzr6nipkKWUj8EKvZp23O1s66LGUpUSRM1YEop5dRxqeZe69kkycXMBRylo+dBjGl
pvTpm8RYT21f77KpvTfq4qX0rEdf41YuKn09G+1z6kfpppUuscl8dmWZ7mc/eRsiVUn542awlali
0e5/FsT/zwxa6hd9UE907HNE/z/+279+8fpdvP/hXzaVoP+7lV/dfPfVy0L8ewqG+pv/t3/4X37t
Kd8/y7TiyAAM+CF+bSxxCRm0J780Bup3/Ov/e/1efv33/3r/kRRfPYwxBL1FL77S6i9/wH/wJi1q
Z2LHaQ5V00rF/796Se/fMGd5ICdd17fJBVEdI2kDymvlOP+mA5sMlD+KF2MpT9MvzSRS+sBzAsc0
SAT5z0WC/LnfsFQTje/U0C3c4+rPf2lpYn8pZaGhnM2N6l4uk/VgG1kIh8DdBgjyQb18sOW4wS0Z
+ghxV3JCLpBniVgXAI1WUqDJK9IYRKrejd+eI4x3r5Uvfh2wjVdpq6LOnB1ipu6h6/0zC50qpFpB
qW27V2npedt0mYpzKr3upVI0fzi69gaHBBgAm80t8VfBdSEWE+CtkW3mhOxv0VZvhRh4XmqTwx1l
zvEe9j21nIEF5my7ZQogzKfU9FwtjMC0okFkzm4M+WF03ZnTRFPZ5+qRyelKTkq5ZwFJBFQJEQpu
vtrJlh9DbyDinry3zqrtQyWy6jbPkJuFjM097lAKyx+j63hXSTJaD/qEM3rFiEmyOQz6O1+ayFHr
Akd4HxXaptEy8x+aRfOvvjyXYS9dGTsFz/kNGlhqndZhkq0RKPn6UxEHNlij4Ip+YVzjuCnA5DYp
qpjaOhijGWyd2fZf8ZwYp0wn1xaUpbkuIP2scbZd6Z35rhfRFWpgKAmz7k7Ij6LnJo6G53m2o4dx
gjETFHO8++Xm+YupgKEMeH9oMXXLsi2d6Yhu8m7c39rqYZysSEp0Vlq86BDbev1xiSfUauUkGdv2
8jA2jPRGthIrMaiyumMK7XQy2KdRsqz//uWo2+63l+MSZO0GYAaNwHB+/1S7KK8D1kjU6m7REXbu
G2/skdgW9xWWEIuxqFYsezcgSwrtQc5MQkL00dz5QNzrCspU9lTI2X4a6ItXwKSGfTkyv6/SFmBK
U2lIrZz0imy/8clokb83seNvizpaS480D9NIiLshM2ClVbxfySAfvg6JeKQri+zj79+rYf3pvXLu
ED/MUYMd80/A0MKtPU2odZGfYbIh3yOnQKWlLklpYcsk+cATpuGLbIz7tIPpICs0VpYJdd8wp33G
I//p71+SYjv+8WJQg7mAS8JjBqf/6WIgdG7QyqQJu8onolCrl53uFUcLXdJqduDwB7Uv2SvR0Cz+
lP/DvEPFkf/p12MtCnTfBXfJ+cqf/3IeynYcDAQR3FKAxa81Z8g3KAd8DFcuKugapiIIK4K5MtF6
z+NQfdda9a67hX0ZbHL6Elu7GyfdW0PWrsKBaPuXXh9RYVNIsLJZ/mkiZfyZ+OrheCXZ3AEUwa7k
9/NbVrKBvcDHEr1RVMZHh/TC0KMtoRksz1blkcjQOA+irz7EAkng778tNY767dsCouzxhHNZWtv6
b8DZZXZxoiUpG4jCKPdA0l45QrR9LDGmoHJYdt7guqe//53mX0wRDU+Hv2s46rRQnOZfv6Pcoa7K
Vbo5WFIKrg7zpluNHHTFkL6PGguGHm/zzu6GiAt52ivo7Gfms1iqoJZOfUO2mvZVlln1bJlztSvx
25GfCCdJ91a6li0huHd8SPmyL4a2hX/UXiEEekTVmP0DsdfVf3szDEOpCVzPs3nqcScq1/evb0ZM
JvoHTERhyyXJCtXRN67etSc/QcMoO39BBgguFhaBhUMHCwAyFVP1WZjZPurJYshBWED0FOjmp1Qp
tnY+LA+xKlphzpHtaBnjqeSZuCeP5X8yd2a7kSNpln6VxtyzwN3Iixlg3On7Ism164ZQhELGfTHu
fPr5GNlVU52JqUbfDBqoKiArIyJT7qQt5z/nO92mqLvsrEXIN9h6/epR6U665XUEXia5zYCwUZuO
3GzQmRiaetqEsbmVzPBUghCUYXFmtrQkzbAGcdyHBsFatxOEovc0/2UPRgTA0glL0qo+UP6hZVst
RWG9unrrXOBVN0ckg2lZJ9v4QP2rGRQGTBVhq2ifDnRioWaOAvZSGWIn9J5zJtC7OiZZ4VIb9JrN
UQKYIa3rczvO7ROVuLRZ62r82aRFt6ntSQSg8CliKhkg8TumjVMzVWI0VCTrxOKK97ue1kq8PMDM
m7wVvFf38N/o62C2dHadHhsrL8FNsyqxoW5Tu0jiECdINItdOoqtQ2EUvOITt5R9ozNdBzUp+sWe
Ud7JdkZKB+r/nluEkqy8UmptTiheOL8QoLhTE9LiKE8Ji2klW0quxoPhJD5WVWm8Q9mqrtRupjeX
/iaKnyozfnQkCsga54BzpBlLE6vQiXX+6H7+7NweCkreSuLTMzRW8HjNxGULC/yhpd3oZfR68az6
Ubur6kLe123uUfLgoRcuKXQy0VNS7clqkbOoTXfEDhY59aVUoyAbZlrkMvNZBUMyFvi5+uh5NADw
qLmzTtz46t0cN2xyeqk1BVdDz91XFsGLhusnrvwwte/K3sm+CM2Ie12RmxR0dD1DxaX2oZMU8QZz
McojOffwDJZvuqS5HW2ob+jPbaFNb5I8/30VWslDz7TbPuux2eNXwh7IA+tOw0tIj/vZK7L6uYX4
fK5rA9dzVZMcsWLumvFIwCY0tTjQ9DZ+1JqkwPmYOUdcUxgZRafvmsxtrir7NGyl4PJoYFQNXz5n
Ns6XyomGu7rPzI30enfXm0V6o7nHuuV6rq/zNBpftLJ25lWiRUD6aDnRyKK5lh/0TSXekizPv3gf
ftb+LB/G5RHJKONBdXh3GqJmB57bjl0idsUbTCP7PIK0vPm2h7cq4fa6Muq8finn6TbSu8OJOSLC
3O4z0y6uZYnsYMNwfxk6S+0dMD5Hh+17ZVDusjFcha+M5HK4yUTsgqaCZaQzMP3l2AkOY6c1g1o4
JvnVQm1x2+IandEhSjNiGBTJX/5IjW3XDOiuhZdsih61SvFjbFUeYfiOyRIZhe1s85ajNpPeiFao
hIALH3ySqSjgSXrMSTA6JjjImWrOqR28DW0iQYGziQb7NNkA4kqzdd817q0Aq3UwgUmdcyX7lmRi
4X6ik9xhg1u6oD2XXoi+2rt4c3eUO2sHjiZTsFyP7tJKWTvBEMscHA8XB37krJ+vLeFjTJYeTAKn
o42dVwLhjI07GrIf0l1ye73pfJKVesERdddq44NPwuQa926MsZRBvjeDTGxokpaYVqnwXhchOb/+
DT8hQWmv/sHtZcfjDlq5unEMJdi1D5cXMdbATJVJBdbtpaYMdrSmLYr12rKoBeNzTPm7xDzh3dfN
C0CIu0j4JEa5bZBGB1cpTROBOTJOpD4/s2F+irA0t6nzlihy5GHCn0GFMi1YRnXXZLhRPKQVgci2
SlPjBE4pmVfAJ/m3ZlYxBO04uIGGJQMHe8fqo4VN6GEwp9eijBxvJehE2xAYBccrQnqrdWOt4yOB
C/RTqq+2+bbcbk3o9IvRvrqC6WNtt6ut7MEN6K5mPxpRlz35g26/+KPwLoPpant0UGo/SgvpYc4i
OtFqUxwp2OHfTOu2MB0BLS86OjDN64BpKV5lVqE2Nr0i18Zo3SPXuXw7assgpYy/ettRz3kciUuj
KvUj7L3qnnS1cTFF4e1yzH8BlDi59TCa/RQ2PNOV4YeK5GaRdy+QOcZ6DQVx4IqBuqV5oWJ8Uh0K
K8spuGcP9ZKwf8Yh+QPGFE9GoR+FPr4C2fmsK/lYmY6AExvZjzHRghNW1CfJY3Cjb7Y6whskMwXt
aUVYpth1hd0euNHjeFbYONjMq2cunIEa3flRGP3zFMfakXLM+KEIJz7MyvS6E+VnErSjQRzYruND
rDQAviDv7jSzB9Vb9x9a4+cPXlFHP02wq09AX/jHhtwX9lNEKQyjt/BizLqx6fn5iXcgKUY+q2O3
LOCx7bz7hjFddC3M33HByLNrVfULxciSKWuuzqiRJg//kJ3IlIGyDK3pYegeSiMR1UZ1Pclx2hOn
72Jym2WxnE+RqePljWbzOGu+FnSJwnoatXifchf/Hu9fstOcTtyp3MdaGkrY3yHxjI0+2uHj1DYh
F+SeEWqk+IP40v1jNehHujLbOzPprTMuPEoAJ709MNhuDnFvjx997voXzdKco4Op5XOKSjfclfi7
DjTaiWsxDv4v7iihDErN8o+Tn6mAjN02nTV5iWcirELqxKAbgArSXSjTPCBUCiuHOg1n+qXPUbM1
vaZ7F/aA0K216RFeOWM2I5nw8hCmhiPghNE11ghaWJFpH2y7si6toXSGRZC1WWt67cRQWv/w80Lf
lYYTPibcwR4y6tfuIqMtfJ52s/PX4Mn0X8lUshjZIgb+QSkyeX1ntB9iR8zhyWcqo7b2IgRdii4R
d9IR/VOBeZpy9qVpXkvKa8FY+l3SIPXR+QK7okGZcbZLMw2ymyyaeefmQ8KpwS3IqDacGD4dUtYE
1gzBzVXkJCr9Um3cyRwQTFv3XsARPPpDYZ68xBBN0OpJRhMVy0A+YVEnkl51u6rA2RvhfaK4o1He
Dx0Dzxvwq5mRZt4PayptF+ynnZ6s0s051kVTYUJzl+Fr2Kbq0ViyCq2hGUEa9c9G0pjvBnjTjS3j
8BQlBrWyaX0Pfbk/DVNSb2UDDoBflpMJtvp9Erb2saDIa5+ghlPZZs0AWvosFvimk9o7WQU5/nwe
z24/pGcpPW0/LPPDQku8Y2/M/qmPdEGBFTVkhOkYmFr10ARxTWCGCp9koSpDd/V8gZjERrwlLYzf
mVgEP4oEjqDHm3LhNxu/Uc4tWqOkmgnlaIMdHNyzXMjPv68+/9/01n+WW//X7le56JnNb9X1Hyrs
H7rrP/7yv4soC3nK/Jei7OXXzzT7VSwuH+31V9P+G3bwX+qz+BMjCzPP7z/o38VZ+29IqaaJ1uNR
YWE76CN/iLOGTk2QjSxictM06cfg7/xdnLX/hmBreYL1DdF28ef8X22W27C5SFkocpS9ef8Vo89f
7/aCLhCcTSQz+e9fijnmbHQZQJkzXsj4ZuMxu6jFFts4s7tScSZowRuQahJSh4q3NIv7639y0/6L
GiKQMt2FPO/rwqPd6D9eTjNCQ06mR/O61L16JUKfjIhM7xvdhBsCwXXNupwzVFsAyIwxaDOgpcHo
6rXNJP5Y+U793UzzYzniCh/6p8m17w2HF7THhHqXwS+vTfOVHtCDnpNqsDIT77GcqXfwikT7oaUh
Bm89J/GecWj81z/bX1xUfK9Yu+CFIToCI/uTdtpTKCrpFpq59RndOpud1wwgK/DoKf9P/kl/qXbh
n2RQNmVxz19sY3/6EGeT6EhfLfhmAxuNQV0g9YFMYMdh4VKr2l73nr7DX//5r39CWsL/8kPCiOXJ
YWfHfMbX9yd1yOgURHrbUEtMS11nMxoPlo7LvQ97GtZMe8JMkDccSTOnDkJP/2hVC9mrOUlRK7Ga
5uoF1Je9ojA75/PB6+ERRcLUaUBB7cVO08Nvyxp/GTNh7sJI+w2Jt/Eemv0q8Zp61UN6BC81dyfb
qs55Reqh1nQjsLzJPCaNnh2Fm1RPMTvixuAeHRVnSjawiDs4J5w+K7emQhN1523XKAsKQWhdZi4H
/VoZ1IxUBDcoDTZPk528lnQGr1zCRABBqbraitSaj64/LCxT+gN6y7oHAwnMZzrxvuenzKNnKiUB
oE+KIUBCaDwsccxMyyQybIlv1cVPZ0iB/OjeeZJ5cjatIt+VSZQcXADJ64LD2pxM/r1Y6m5bK8L9
YWd3VdGYrz0K48Xnc7kPx+51qEvzHLlWgI3UWldDpBigqvGH7LyaPGGxtX33qnOBACrTkmvSkApP
Xdg+Tgz995rhHqtQKx6toiqxvRXM2udZYZQZPBWAv8oILzvem++M8iISymQ4UIhdw8F0VagEATVz
TiORYVLVcMWdOHyq8qZ81pZkiOHX7FuZMKqtCR29sQcvGIRSD9DyrEfAtB7hDTwgVgjIb22qTvsR
g/w82pUfHbFCSg+cO/RwqjLU2gtdWCUOENRji//k5oGQXq7RtIF0Dj90pNySZYFzOeJg9ZQMIj5x
KkctSmM6SH3UMgzNdIwDINd3CEH4vbyEkwa/vhDHRuuHncwcQNxCuZs5Seed9Ef5lTn9lSye91xR
c8xnmOruBZo2g/DaqNTGqzk5TlZVAsZWFDR7U3VflbF7GCk/Ap7DHT7IQ8nmbzj2znVLHkXgAtmG
OwV5B+6PO1cjomyFU7/3a2+idLgxhm3NdO8FazRaBzOnY0Xdxc7OqPv1gAigkZGt0nMD25JGjrPL
kqYj1t2N31UpaqR9Gh0/lJz0V0fv0vupaf2HQacwoR5bAzUmaT4bjHlccCN+kMomGW8ORLjGxNEf
CaJhRhC0bIVV+DEP9vJdyyV5GGk/hEMZr25ib10N7uh9yahLQROAAatzyPCwjaCPi/GLoTF/KcmS
b3JCrlBafQwlBUB08o+kuR6SjjhsTGhpfIsFYzoLL/RK4XlnOJANqbkya8s6Z6gpq6TpcYjn7ryC
hz4fwqTyv3wlwq9epB2VnNF8MI0Ci0lkRe2TP5bGtordekOMO92KedJfanMMdwiOCWffjCuZpXEp
p1ndS3azVkWBhxH+qYKk2gAA+m6lXBob+wgmjhyRM+HS/QCgke6bmuJVN0ELCXXD+IIM2N4LRBV0
zfJ52ePXhtvP4BweSSajwfDAcN5NQK4hDxBvxOAV91RKpn229iUOhjEfDMU1LaPgVYHrAKJcDN4b
dy1z3bAknAZhDF9x1fo/BPHFZ79Q7ICWJvdabvJr7Sg6IaCX26yNo/eiSYjYoJpWJ+nAhrUyP6f+
tdV+jmMKFgknwRfXsuFXojLzoKKiZcLfaRKXb2pW2HkF1kqwrfnBHYFpeYoYmyOgnMX6q0WpzLag
kxK+oGoOJZDll6L2uQ1rrTSvYT6aK/qBXvuupSVDtrfW1T2WVbpKJwXCgovLeWiSRyNuJM24Q7Kb
Uv+rm8KXIuQ5NmYLUI5s8g0M3VcbeIJkMAZzuENiKllFJ4Jt+E9asW3p8ttPadyc9C5hjlMTnCTb
Qi2Up+XbGgvzqUCefjRr79b44T2DCipcGM6u6nYyzq1sojXyEMebsXhpbfPbM+r2iDnkztXEpeL9
x0qX7SqXjipbA482IW4Qdy6JhJvGOpqJFhV8LIdBcwv6DbpVGtLUk3TJl5yjZ3CYEsIUm7AaKC5N
/ewYGqEjA2XAszfDfgooECiBfWlbwg5xkJJjWPOgWSthCvqOGPnQuu5cowx2EOzp9GpY0yfOAjxX
HYFps2JfL/v6aQEMBG0vLyEVrbc0TeuD3RD8plh6nbRVd1bTaLz2jsruZ+4wLBOudVAoo9ny3Ptk
/2HVz8cs73E4Tv0d5wcaeDw4jytTUecCw5N+jNH42XKKe5UQI/B5UGUDuDladWVoPeQVRci+3j5F
XL7XI4DClaGnSKd2yoetRbsQrvIOBsm4ITXH/zUTUJdNGwhMCIfY1gCEQTHejK3HBzlg3YU5uoe3
px/jxPaCULOGU6acm5ngTpzLmQZqI4UGP7Em5ZWfb/M5HfYxn+N6HHUWPtsr1lbac+m1+vxXLxta
DPolbZl4hJ0msAFTTv8FGe5jjpORcDj8jK6MMYFqLGlS7GzEh025tLGk03AGxY/tDzZ10MaI+HCY
5jFIJp08nhebl9IOf/cLZCvZ2Fi03Po5zYzPiUUxBytx6bu++xFmUh8CkyjsTStCdAFeIOMncklz
8RPfvYMirdGOlzrMXmZugu+UA/mgUDocipuwcRfRFt9SFMQx6l1uEaP3/Mi5Ywri4s6CNZquRRxm
OIpHE4pfP5kPA+aP9YgsuxZhx0QboEdHuY+7HcoqZ65s7JwWwa7W2ADdkbt6RqjR5refNGe2X+xo
Mt9aR+sehhgq9dbOPPezBsEZJMrpSIVP9Tr3/Odk6CgGB4k/jt8iFagMmti0bR89FRMrdxF5V80Q
mKoFE5sc5leA1PutcCjv2TnioB3mGxFYqEzdbG3sNn3CYQW+jCYGSRO6Z+Vv7VDsIqZmxNlctgEr
/kYT6e/Lwmmf2P38TexO7qvjcs6DqSPWppaHwELkQ9RkL7EOo8Z36yOldCSGXV4f/k06jI3W1AQD
PttsHHBkYeBYuXPV7SnNzlakMCCGVQgNTOLBYAGjat1yTWT2u7aML3POf1Gg9NRl/itjMTheSyBH
pvEIl2e4+IW860g/aChuAb1tH4ix4AtDi6oiOze3Davtx+xz4AVjAyTHno9S2iZmL5MmokLSCSgX
2JM2+MVh6hiqDY6svuNuFtcu0RXObNWeQ5IawP+ogHtxzKQbADS0JXRuQ/JqpJ6ILhwhqgPG7mgj
iAmeE8NoD4Vr0JrkR/oJK98jZ8GQQGTiQwEp2ZdHs9bvpauZ/qota+uQN6I89MU03JJKZi/eWFdQ
0rUarJJmtu0X+1YGOYUMo1YM2Sv9WfM60rBsW/mYbNKMGgdNUqLl+Jn/wdTJ/aCfm4NyW+K7BjyS
12844+0dXU0ILH5Y1gfBbnUeEhfKb4PrXLZy3qfpYJ80XYbvnVElgZP02h1VO5Q3YG5fj3T77Zx+
FtwyquSFdGbMqSyON43RtKsym603E4Tpyh+H+igqrzmVRjze+0kfv0Vlau6GKhRv0tJHwpCJdvQB
ML7maVpdYhvoiQ+LCCNG1YcTRGJmKrXuGBkIhyY5GJWX7nRJl3up587a8si69YDhCSpQdN9CPd8a
DtPWoHKUPgdt46o7vDv2nrlM/USzfBEYDTpqMZvwEp0kabDNAtTxctGeaUHDsTIWIWpRRCfJbAny
1HgbfqakIAOTdsFVWiC3p+44ny0g7k9uXEawOdhtO1eHARenhXkYJp0ii6ioHyk0KfczraSr1ovF
i9YmL1bUac/KmV+MdAYMHxIfGVbDoOHE0kK3vnfKWARO3b2GRAPOmqElt7b2xS4lQk2Ru22dZVUU
m44KgE2dOQWQ27jf26Zqd9nceT96sMsWHNlXBSUxwJjVvKeNZ+xCqjl2dHRkvA3zCxg++1p2Su1b
pzF/TNP42TDrZxvyBpM3lsQH0LE8gyKSd7F1S8awvZcp6tmgdRmzKs76czkQnmYR6C2fKa4Da6OQ
g7mt6gwGRc1CB8aozHdVY88p9Tdd+zVLLzpaTB0YKTRsv6qygO85+nRf60kT5HKIOau5pYcmFBdo
z4JDXJY+GiaVTqsx17PXYUJIzYiWYDlt6ucu9F9rNiMEUPo849VsePXGTBPgCsqhJMmNa7bYOpw8
hOVU3iYkCH6IptcPUcn+oYhl7RgzpfekXWEQzeBvnvVSIVYzOdezlavchONYJZ9EZkPdDWG1+dCW
P+Lc6+6iWlFraA1FRh9LkV+zPAINDdgkq8CWDON7TynpRlAbtMXFnQQRG+q3pELzO6wtYsH5cpnc
LtmYFXaC4ki//fjFeafjIkNC8wUsR3ypGyM7JCRZ5jXCpHmQjBoDXgLLuOt9vFbbWcluX5RDeey8
MtkST+SmztqdfdCHVt17WjLepqbIzmPSds82FpOPiTm0sbcjAWqxshyeG8ToadXoigg/9F74P92Q
w3DxrViSV2bqzuI0aRw3sFttTU15G7WcN0onr66eV6ZTEOMK/k6dKfs1GJGFvjtq9oeYLJsGh8Sk
Fi038KGV/ViViw2UfvjOQWUQng4jonIFSx2ujOzXaGULI5inMU764lckBdkyvtjsGHXM3rGewZzI
ZYFmK0N8YyrRbI46aUKXSC5g+aWuD36dZ/aURZnxszeT9N4ci+IaEjNgWBrN/XV5xc+40IonhxHa
gSPxwunyR+OgOiwiutDcLb4pqBRoekd7buH7lh3jmzyeg27EQlboHfgW5kLudXANzrpVztKgl9ll
nLX0bIctQAZelmJOmjMTkWlbe+NwS6OsOjMrgnWia+IWtUxxt5lmUfKGbnFsY07MoxrTY5TM6iBm
x9sje+k70FMW23LovEdeRP1NSW+Op5ppX4DLumINWDe9JLvgRd11chFOUGloNFQi3/uejE9yTL21
YU6gsjwoeL+/PNtI3cM8tPYTpRX+oWyt+TD1KlxjtegPXWbn14mpyKYuZ6xTsd291guwCbvdAvOd
w3UTzvfQrKx9F1Uc3/LS4zZUWxFgo8ZrzyN+fo1UWFQlW2fxYrRpyyfz25/Rl1UVxDlWjdTCyBHH
SfRgV3Fyz4AMwacvxl0Tx9UbghOX0QmhYz2y4z5ZXkVUQhqO8VA7hnniVZu/HDrWXpLfjpNwwDG5
imfgrK3sfEzis/sji9JFLJE6XMvcHn2UsAx7YktrNPihYjAuzmKM4cujS1NLmm272GbaGJ60YdkA
NhuwGqfGsbUyKBfXjRlaIEVB6dhrqcfzU2OG4yNH4ejJ7hLuu/TbtT/DP8w93mg+mHVv7kECLner
ChsQg1PoRlNcn4hXcdo2l7ZJxm8QL393UMqEOsqFRLPjMAkQZ1zaKnsJsjISVfqkF3ScdkAigkjv
0/WwVF2iGXJVIIiTPODySl+TDvIi12TO0Fajf5ZLZaYtKM+MlhrNjlk1MbLf7ZoaXvN3tVRuzjUU
HN/hBAHcYbhYSzVnu5R0Tm3/2CDkboRj3WUS6j/Vxtpt7ij3hH8JGGOckp7OOlfUf5gI/0tzkkv8
k2x/+d3+eb7xH4YgHFX5z7/8Jf/PP+i/p3vdwVT+T0LxX93rn2NZTNr/LqLPrP2Tcf2P3/uP/hCG
JTrGYss1CD0v3r5/zEYc4btwUqgRIQxr/tNsxPqbjqONaYrD5IJwMhOFvw9H9L/xq01mI0s4mqnJ
3z38938YCpk08c3IX+W///W/QUCBDFC0zf/8H9g3mDz8B+Ph4tNnLGExFoEJ82f5XnI7KzUTn2Ym
BqYPVJ4ya872eHcxpNCcPZ3wCDTrwq9fMRd5q0h5cGZS52rOxZfNKI9wYfsZLj3FZRaZ+1hXH1rC
dEUMHJBM6GFyGKMAYRwamomNLrTv7RzvmrSCiWWVIWsCjhJpOMBwAeSEirxnmjGTQ68hwy4jyHqV
YnjJyDpP3smcLf1L9gk1Idh9Aty/M6RADMUmiNsjYBqODXadX8MqfwlbM9yZRfkeayPO9ibvD4ze
saGQ25M99LxpUAN5Jh/isG3+8hviRrV56WVSXUGjQgrvpms3ef3rYNF655r6I6iSFueIhom76ILY
M4OhTao1VJgEplZ1ZFcgdtQ61BcsUCFAM0teClNFilY3Edjx2o+JNNCBoryFqj/RGGHJOwgSYMSL
MQuGCrOOTNNtGtP12dg0dkkJF1RxBK31xlkD8fcfXXdQJGLGW9aKZpunpKY4Aj2MGeBTm32cNpDE
ODYshLQxz2HgVRQ6hEobdhouLGJe3fTcVLqODZlMbwrF57mki64ipnDNG8rTc0O/M/Vq/PSEChB6
osc6G4i0KhPykOwZOjc/yrQ61dgRSMum7apP+Z/amrMgc2tn7aaMgxOP28KkLzdesyFv4I/+o2c5
t5iB2E/PI/VcJMV0NLBWME/RRND73peu7IGaYovJcR96sPM0zjeogGyjRgqPrO5g+YAEpQ6Roxt0
bwoQ27rvX0PImYFL1tIY3FecvvOuoGNxD5UEN5cZfdI9X51FTL4pG6y7agbQqHsIWorTdFCnYXST
RWdSfVtowWTRjUn3y0Z0SII5S+tqNBq11Wzm5hzXvKWrOb7y2BLE4qHwLiFu/42fdqA6Kuclrv1h
V6Rzt0OkInvPjGrFCzgGXV9o24gvYYedFe6tr3ZMnCDotvY3R0SQPRCX19y3wHloWCtdje6Mqu3w
i3bhZxq7mG7ibqsUHhayq7JTnFuISx9lP8PMDEe6OBpF1FZ24EX4NA6yHJ7dTgt/yAlpyPR7JEuc
VwTJy7FfO2lBFJQ9pAsVvtIZeCLyQ3hAiIl5FPjO7RTGzRTziI0Nxg2s43yUsdeuLT0j4stBAY5e
wQwmK9pDR0gKo4afU8PYE3UpO9Jr1JIyduWUlDM2OOYM+Z5yJyo/04m70iLSQ6rBYuHh611H0H/J
XnGtTOZc37ceJF7GgdgcjajOtmaRASudYh99z/e+mS073HDh8GtclyrRGTjplDx6hbh3kfk2VB93
VOC5QxKYmWc8DlMB75dCn+Em3YyxaCqWmvI67d0jlfTTq805DBpO3Z3t0U4ulYV2K7r2zci0alen
eGHTtOwRQQUQwbRutm7f63cYkrEbk5VdZwZgNhNXrYdmvO59uS1SutJsxN61l473XutTLFl133Fs
16SrGfa4TucEOq6kPIgXvJfOTOTRdGV2IDsZnewh+tDpSNp2eqetbQ2ddBKEPLE/ztz/pLaufLtH
hkyrm1khM6VgATaAAzjEFU21Kfsczq8XUvvdVfWulC10H5EiRMTG01zG+UPs5s4lBU0JXNeX7005
6duClCeGacpYhCo4U3FuueDR9XaqAkKV+sCMhsrwv13R0JadKkXzUnelDxnRklnJT3O0tWnxBNnn
djAYeU8ZP8BEDRDG8IGJS0123SZ3YM98V5XvGgdQrQwri2K6cOlmSEnM8BbH8aNOWdohK2lxtPzO
W48Gce92ZLxhGSQswtDm3FiX2JBi55YLoD6DYN1zUTxpV28dQFF8ePj+02MW2x9YWbcYCO+YpFQb
yj3dj7x0eniP/Pi1zmCVMiHadVnLmfJmvHV2egwZGFD1GSVcIQBJ7cqWTLHfp95Lhfz6HKoCW80y
TU1TLT4wieWa63KwTmtiXFMj7vGIpl8jOJJ1m7sIv00ibpXlLc0uUp4qyoV/KtyKBSdmUexHRURr
1UcopHzE8gFQKYaj3zm6BEfWgzHP+pk7xVLiXDLpmKelFdD+Jpskr/mcUascTuOunR2yHnqeLrA6
1QOrAjlpR94TlOb+bh5YAhQz2K1L79y2KXTk2NxdtSbzmtVMUz3ZzKPd6DZ3ZD27WRON9owT3Y2r
VdTc0xxV35Wh3b4aqZiard8219ql4WhKSpdOKcyqK6B2xYfAsQDwDEaYtVQekcNFEhq54lkdqLbe
xa5nDbIHfZC5H9R7Uns/Q8MfzJFoKjA7uY41NLhI+c2j3cYGGfNFgSzwHD6LkmEgGU+7vI/bkVGh
dI0PM2bP8kQ1HUKVdDGTuAjTAOIzf2ietDyUkBXoqY/Xld6mbNtlsjc8XJJM5aIHRTXghme8D8aR
WezKN+jznudllUgGqYFd6FMuAC6u7xvWOLnvWSPgsw4ogSou6p2dKvJ9NEtlG+ga4WMGh47FDXQr
fgEL42maW95BwVX61tJWX5lgx179yqZ+Kuoa59IbU/SqK315IRA4cnBdiOhhDhyjpmbG51C29/zO
J6VHCZFhgGrtR9Wu5FgfS+jiwwr+43s7KO0e11h0cJazWduHRsCgkTOJZg8bvsEn1TVi3zZTdteM
NGtpHcWcqY07n7uRogM27opNX2dFkJkiv4PX1zB18fylBK1jAm0JSowwB88HXUe6VY7+Tdtvcivi
EZqKF2VXyFeGvtHGBDhJImoqvAnAH+pqShkPFbCj1jmG/I1e6Tc7LsbnxlLD89SHxW4c5oEVsezo
tBzoKtYiprcTfC63NdVOC/lqmQXSeJHRyhlCDnylPN5jWy/CHUAf1qHeEzep69WG3ashBRdpHY4Y
5ZO51sjRc9Ah9DJRx+HVl4qv+YXhAiVTmCa+kxIU59yMBh9upjOZqjr3jJkZmHFD/0cLu/bkTHMP
l5r64c+6HvDhZnH35FFvviGVDPcQ4/21cVJnr4Af7yN3zi8ijdLAY7LwyrfOIHEC8POmDzDmlJFV
T7RPl4ekSE4KVeelTvLhFi1I7U5PmPraI7r7DHplZr8OSrx29PJwQFKxj9PYZJhyG+rIfxdWCoAA
p89DOGnaFXr1sxqomfBZXDimkXYP3bk4gNa11qnsxBUd5bHVhPUaweAltpL29lttAqiL0QMDgoJ6
uIk096mfwb7mdvuoWWiNNNT3d12WjVhcrPatF/0mjSkZCWnBvlCzomFqcm5LXApPRU/Hig0hvaNS
Z9/no77RC98lDLQU4iwBDuEVD2PVX6ZYXidDbURpndGwn8befULoeaIvrNrqQr6ADdmXi+2JbEV6
X0r/Q+I34mxJB23PeWzdT8bwgZoC8pWLfrWZamvh1cmlfJPSBRPsC7URQTMM7yHX+JWcijsFdP5S
0Ri+Jc6B/Rvh+VCN/ocYkWsaDl5b7gUrjST4JstoOWU5pZc7wekgJlL+VioJpsosW+udi+rUCede
orLgYo+6YJxn5siC7NPkdIyxF7i+GTFxkI65/z/snclu5EyaZV+lH6AtYZzJrY/yQZJrDsWG0BDB
mTTORj59H/5ZjY4hM34kelVAbRKFzAq55CSNZve791xnpnWOPHBpk+3hlxZX+DJCfJVZuI4BL13h
sA9I3SQOJIbuJa/UOeBcdufCkM8jV72FTf8+YipZsdXCMeOv0N3TDZkRBplKx2BhMWLVfpbvmlHY
uFzsfQEZfe0XVLiSPAyZI28pdU42NNGKrUkucQMVa6sJHD9Mef1cIOxuVRtgOdBhCCE9OweAIXAL
mC99yIuMOSfq58xSWtKNnYfkF2Zn4erK5BVoCc22pTglCgZOiJa1qWf5mRqYYKLCaG4TjzDSNGER
jsfCf60m+BNFLT5tMXbr0F/6YG1aGeA/DB1w5iqw0k3kEP0f4tpaUXzJXkLSA4zG3a1t0Pu8T/iv
mGRvBpljqmisNt6Dsp7WzSTK9ylO4V6A50Zl55DUHWRG9xp5jfrVq9p6M9De5RnJXavD6ziB8Ol6
Y7WWgRhuBK+hZ1ljcopn0Ox/yQb/kcjy/yOf/KTD/Lcyo7oERAkd/nvc3M0S4/9f93FSfvvLjKrQ
Wn41ov7XD/mn2BL8w3ZxlEpp+w52VDvA6/pPscX5h+86OFAJWfK/Gs7i4fu/RlTzH45Jx6vE/23Y
mERxHv4/scVaoAO+6WL7w91o/idyi2//ZgS1rcDzfH41tBtcWL+4JWU+JUOoiCEOSd09OFhxLo01
qWv4j8kL6WhrwxyaEXONku/PaX5uY5KWmHyuRGleQzyFTG45I89qF1GrNIBBCUkjRiqpr73Ym9gz
JM46j6Zk3o55XRPa8l9KUX11bTPYG1727jdB+GJq4kQEE2FW5Y2EhuYwRYJDdDY9fKRMFwcLyibK
Dj5LtwFL4+puC8N/H1Cn+Mpmu30dM4QRqqVYMjS8Z8VQc2vGoXVfx624j7GCwb6hFBowE8ZB+RVH
Z75zYsYahnaYOlMduC4r9WH1XbZFENArasvzx7CjyLAdh/yMkaC8NUyzeKhEDsUg8cZ93i0KRxH4
dbrCJpgDi02WXyyZHuDQs9fjO6tfnLSyPyH9m1cN4g5AZbYJq9rrBcUwhB7zFvpYSz8rElPlM92b
aZQ1QxnT61fhjy2EQlk2E/XcjkISvgmab6hZ+SEfiajVbIR2pkIjmRWcg5VtEzVYabv3rpI0FS+2
mwY7u2/Yh3lRJO8bdg1AoROTU3JVn2zVYsu0oJusQKk0D2PPdtOMZoOyttJYZaqdD/7siC3GPeZ3
Rf1ZI8ggKpT9QOQIHeS1yZlmCeUzXQKJ8RWlvfrUpRl8b3XWbXsG1h8z4L0vGBC6gzO0AVMtY6K6
NSVK1avSOALO73ZB37p3pY8HcTX3rfVNpiPHaLJLb1UYA9WNc+bNteV8aNW0I87XunqqjYhQI1bH
c5gN76HR9XdenOhnMzXix9BPomMftwauHW2OBSx8CgtWnKgZEVaT195T3cvOPZTsrjak5kZMV4N6
jzLou5ifBLYRBk670aKQacrTEVcYVr8rpx6flRrta5MQeZB2EdBjVcOlnYAuYRfe9GUjkHLM4a6o
AcWuTEtkdxUDCObj+qnvW97QpaReqlluz7zUODQ53E7cVU5vSEpvZ4g2TocYKJneALhro+otTDhu
R5pdEWAFvIfGYF67nPfua8fPgCVTOljBiwW2VBjoU4DLZYhghHACFK1NB+O1ZpFiYDMZe5aECllK
XHFfJB8k8Pz7rPPOppghFUvG50a9XIu8epJtK06mp1APoxnyipo5puWW4WyBtQoYeUreTsqYy81k
zja+Z88prvn+qp0f9QpqLELtFBGyg+g6vSqDPjKEmdFl6hfBisyEwZBUOgFlxmrAJmfaCGlFX8Ir
auJ5q90wfzbmBCdmlXucZ2tjm6e+c8FSQ59hntWcwqWoug3nne/UOsOl45SHSMAj6IsEjNzc6PNo
he1XEEFoNTbOlpGN83bsQ/uxMsk7D1MRb6K+6/AnQYUba0at6MCdCfyj2UVOWR0mr/Ru7Yl9rm2B
wS/4zk/tbFdPbuKjD4nBv6YO10m2pF88sAppPS83Gq+CiuQpPKzk6EMyesicJv2CiynaDSOE+dXS
DAxr33XO4+ia6FO2vOuygkWBVoudrrzoaPLwrJrKTtkml/OhV9EXcJtqx0mCpx8O8af0iaBS2nJi
raoBg+aTfqhpITjir8L4ZbtDv+apG5rYfmV/bHrg6NLugwwhi8LIq+alUgROK51NOKfb8MHM2hbW
15JA9tULtPcXb5TJCqHk3g0WBXj0p51t87PjvAKYxunguzbzxyaZj5UCy0RLcs5Pdqv9WItpg5mU
8XsW86R7bnYNSTXCoANvDi0quae8Yat5S+7lLPKvBaeMay3lJ7M8BYKwOpNJm9d9X8/rrOs8dIdm
vK80wZ2aNsjntks9ptRBTt1OjE8pBCFCYkyDy49KAp/06zSLp8YblxoiQre7yCo5w1tNBuOrzu+N
qi0vXg5Hv+jwv9EsCzXAGG1qPlrj1GeHmlk1GMEwPbVe4hAPp14OYCXCbuE62Fs4gtIIrS6pHZIF
jUnq1Tjs8BgTsVjlXiMOcSmKq5mN7bchXjBd3Go7EergnpmrAF2D0wEoXrkNpYarn8XqgdCcXAug
bh+DamPAU7wQkwSnN90Lzo1NGpbhJXH/KzHaCQKnsVwqGqDHYnB5qJr4nXT/0Z40Z9RsJsGRe4Pa
BSKwH03YAs9FBYzFdz0auRLhQbmPbWVf4cIT695SdH3Vlgcz31l7LOLbPKSexe5rkr6CwR7+Tr0N
y9Td1XrpcPDQfKO29A4NiNMX4VIRGTHtfSpdosnULC1kaXo5tL/2oUl8w+2v7uBLVqd6hDySZXn/
FsVDQ3lQR41TP6dPNZHhE/gxcxO0zAHszuwv4Muuwmlob7gNOZ9FwQ6Z7+CqDrXDk1H/Uiqzwwbb
UpAZYA6CEjVN0WNa+KjJdG1En43tDzdgrzkaBOi/6zmd33zM0QRkp65cYzOKnqPQ8DbjnM0tZ5rZ
WqWpdh/drOdP0jL6ardjsBZJq5lqzw79OQ4uF3QMSHxhWe1dRPFhO8Hn3U+O60PDQ7bYOMr5UEnr
P6RI6MfZmWPg8zM4JNx9U8MJLk3XtR0WHgT23qg3di0NzMbS+z47lNAOaWVdp5aTXgAI4HyHTU6t
NuKGWiOvyg2CQAoTD1uy6aICRPVSh0FY52gLcNiwgWYstVZ4Vqnd7DTnj1s7toCrG2b7TtTJwoJL
troOoqjZmHBqT8YQYHkKfHyAVAlYkgm6Fy57iqR+qNIgFxszkfNSIeNG8dHlmxg2Xk9actVT94Fx
RDsnx0ObyIXEAeO4WCrUsFG+AfggzouzLEZO3f1oaFo32CuyicESEVGvsSnmKNmRTBKvtQZrQz+a
O+5HlOw3lwr3U6EQLqs8hKKJw5i0Eidsaa8KSXLQ6WiPG5ywex5N2XACK8x7U2j/KHK3f1YgAg+Y
cwLCwX75oTktb70xPEdhRmHeZNd3WM7Du8LLaSqvE1Vf9zlz+a6aH8cMY7dwZIJHzaMgwprCz5r8
PcjbNlxPNA5Tv9ubRzhww5I66Klv12ISe7PPv+V4CKiGxRaZmMzt3YbGiTRX3hcIGtXR4310VmVh
Xgh6xEfY8V8DSjQe4lZ3X7OkRHaiuW3TlfbyCDtAkpu45f4OO88D5VGPa3wWe0yC4ePcSJtiA4tS
CYOsjoeudvEcAMuBaTF+siZ0SQ23Llfqnu4V9hKAGQiMBDjGrdnfG1F2ULiZTrYTmAdRT8azHdnT
U8p3Swe0md8PYzW8aKXCbWR4A1tpGjpzml9wX7ZwYSjcI3DbJvo+8/yvmT9dBNL4nmFV/5oZpGKb
qvNvpwkWlZLqaXIqny1UP2H8VdVmzKsu31Ru7Vcs4oja+EWD95EwxV7xwWdjLNsbK5SoT72a4EUl
14UBGt6NRci9ED8bMrROnurfm8ykBXJiCgpUAGuuPk+6dje9tLqbbG7SQ9D0jxSQ15uibNSbl2R0
+ho147I6sdur2l+woWRdVp2lkr2dQnfchX1kbR0QMj4CNis8DnT7nRFldQUwEmuYIyOcvbka8Ifk
MIJu69zFWOOyMpr0ZR2NEt+bATlh1bkhNrkBwV4EZbhNQ2Eeuy5NLiKIiD6ZRbXu4lp9GXN/oNtW
3gk++poZD85nb7noHLdIwsSmcVSCQ9RmwoV9MypP7lpmMZ+2U7d3JWnni2j6IzFflnS6vcfzxMVd
dUFHDQe8SPcLeaiI3K0DECqrZus1rvnjOuAnWwTjiAYoJ0DKiORVU4XOA+N3eu05wc1rn0PMbmjw
w4yt4fNen6ejJF/9lf2WxeNOpW+KCwQySoZDOrDj4CJNSjeneuhfbJ+JZKE0du/YpAq4Seljs+29
AbMMqmnBsBGoSH+DyYY6yHIkuuEjg2+hl0wP2OQM3r/htK+XVjLqC+0nrv+8n6y+4C3L1oXSBWNd
pV60nwFI0Nc1pxCt7KtIDM2710bGxmnMZC8Rm7e57dLWDEj6UrjFG4dnEHC5H697FBkoYYN7MpiK
M7WtkIkp4sAUHPanbrg1Ei52OEsKR+grY964yITdHNp32vQWLQ8bORiN6sbueQA4rzS4Y6L0cVJU
h+eFvgoalW9ro2s3s/AWD1noAroMrwZnvopobNq1JIdWSup7P7XEI2yu4GrAV0fkKu+24ZBeCjOp
dhONa2sSgunOp5z+nVUBAkVN60w/JRR5oNweWjYqGxxE1mOt3Fvsc+O6wTa9DRNVAtpO80PBVI+A
FDKmouD2ypeh+lqH6qap4vJog9VYG17A3ZtSHLFzCIhcCztsN56KfV6PnMzK3k3v4S3hGjeiN0MJ
61TV8y0gHmeTOlnxov2G36bQR4iE3yOb4HdSsDUCj9TcBLOHaElLCjGkr1QiBzsTce0qbRAdYfLG
+7TKBa3S2Tfd9Z8M8Xf/I3b9BdXkZgJp+VH1ZbfANSOKRn80BQXITf9e59p/a4q3cvr1H/yXgQiI
peUBvvQt32QXs4hGf69p8Y/chSYmsQ8ZpvGDgcj2/mF6iFye5VjOImn9ZxaiXw1EEi0BKQt2Fv0O
jvVLNJadSgGveOkJnSBTLHUoLCL0PoYyJX2oneYaPr/+MHTZHn74iv6Feem3PLAkUx6YPnFdx3UZ
sf8cqvbGNksF9PF12xZFiGAh5XtNTae3jSw19aCF3aVjze+yb23RI/3++eN/j5UD+iQIZ1lk2ymk
tn7JIy98v1a5Kcg4z4Nnh1oHy9d3octWrQ6eiF/l32yeUyYv2UyjDEp7te8YqP4N9/G3cDJ3h2n4
2I/4Zbg9fkHtDbLiNTEJHBPp7JyklcVfbKsfkWI0TvI//9GLPvmTXUxaLrgjlFXXQb1cUAI/UtbU
qAgzML5eZ0VoD4+8GvyNk2GIukYK4DsHzKwvf/7I39F4/Hk4kAKweABgF+7rjx/Z6pGVSC5ARdjC
qBatdrID2FIGoB3Grn2jE6luvLmV73/+4H/1vdqL6isdQJbIwL98MBS+yVTE9cgxNS79sbjIj5YW
OS+miH3Hnz/t97sZARoTIIgEbib7t6uIw6YntwgUNidlDEvnM7Whwu5mzQZ4MLKdmCCCpMw4y795
jv7FF4wqzpOLAYk/dClp+fELhgBFjBwj8DrTrnMaUg6g0QAJJ4/Sz6IxAnCc3Fd//muXi/bLfYTp
0TRcJDD23N4vz46emZblFoRlJR35DoiQOzVlpfqbj/n9EtqSid0CX+AfU/by859WWi0cAUVgYWRs
KFci4/UZUrf4OZcxJ/o//03/gr/K18fHOCBZMDH9uiB4ZKBKQAwIXKmdPntMgaM1Rrp+j1zQt3Ak
XTtDcI9jXu69hT1m7LrOX1PMwtyYiBcbtbgc67/5tX7/DoBesEoy25C8QP5qSvl4u0/KCEOo8b8z
X0ZVF+Lw7BmbTSdJi++67IJsvE6SOPiP16IF5cGKuMA0MZT+8rASP7ZjHS10UTU6p66WNF1EFkBE
8vDq9c/f9+/30PJyM2yUXZYkywl+vrgc8eyUZ4SoWtLDSU9H7qFCqUit//w5vz+ZHlU1FjZQg6sK
Ke/nz+lCA2WOTPi6GWksTieR7+dxdDb5DPCV+oQg+pB02T4WoRjSv/ns39dbD0SnY+MeZm23/wJT
/HDxurKNOq34G2MIHO91n0BXMJm3Uk1ipmZ23ROulX9zw/yL73UpFzKxJi80l18fmtrgwFGGbrGO
zVlf6JjIn1l5/c2fv9XfVh0oGj5LQLAseyb/58/fau+lyEH8xaQ4DHHxweldh7VvH3GvkTawfTQ5
Ht5/jlr/rd/5d04vaytiO+hAHlQ+dfm+f/g+K3BgxD0WoD3qZXAKrYimG8ZqYEDj2b8CSAyWGWNX
Pm7LqueGmnI3+kzKorxq5TAHhxS13oIfmhrz31zq3yuLuNAuFHPLhwDx+37GqrKAcgOKGGdHVXsf
7WnYp64TgWAD74XB10tPcO7jS1hEAZW8GDkYM2C4SObsW+IFNW5O7dTVlvqH5O+e698egoWhwzjd
NJc1Dlj2z1/coJOZoxGFAJ2R+i8N+GhSnb6BG4wxyh3uECGvk1xwY7JPZBtoMAYwt9NsevitlPXi
eGNJNYI3eES4BvPoeSF+MrthXgM1u6H4D/mZJRn7q6u3+LYWS2owMuHgMrp6M9Fy8Fk13EzrAYfa
vJu038EdR8pBlhPU3K5sKDs0CqAbXuNA9L8NhVHqqzYEYYCyj395p0yf/z9M6cjFIDzyYzQFPSrT
8mwhpXJeV7Hmlwj67h6aTnKRVljuIDdAkZajzj88I58YH4wYKHyNuXiNWsFPBGGmLxVoNNqcAZOe
zMiuQV4pmlw33Vz42WvqppruQYsx6p8fo1+vC6s6+/jA4+IA2eY/f74uJJOo8YY1sRb4rXY4PQmY
28g6/d8sCsvbgh/1wzubaTU/nwEwgQXmTQsw/6dnJ9V902GtoXnKTtz4TZgiaBjmThWClkxoc5wb
aoaH0ki2s0xVt2E8dAmTBqyrDKlNaLvGOrt6UV1KgpRg44L4QunmDtLHmXpjQQ7Pdcknj6m95p0W
3s8ZE8MNkcoZQaLA5TGXBQVImPgxlIZzsxu75CtxUiGwydFzTNcAZVVqzLeJVvJtJKFV6Tr9Ipss
alZ+mI0PiT2UEfPYicEd3yacVwWGt50MnDNuXd8tS2KyqzE2XoWhpy71bPrDOUngDCm/cpt9iiVK
rzrcPQDq+tA6sh54m7i0AWyGnldCmUoy5FZ4G97dqDBVZzmKdyaku+tjQXwwDESt9gI+zz6OJ72z
PYcGAPpE5hdcOQdF4nt+46JToNO6zpKZ03m7F8x0KJfkzYMLHYrBo0QmQBQhs9AqbLV9NxE+woxI
nTq/xbRlpCjcq2D2xVEWc4U0kLd3oZzUfc246IERSvHNJvKAxTGuGQpSKtfS5oS9jdwToe5A1da+
oQqNEq+2JceujIY6NZxdXyAHaZh0xkzLbmKhvnZWa2Gkp5bqIpOwvjNgDtE+ZyfnEhLnUXS0hzdA
rxpLWye+fHlTTjbNdbZI94nP9HktDOavjDGISF/hw/gWhxM5ksUw2vVj8KXhjrqPhaNWFZMpJkkJ
VOV8NKzXTtbGFZD+eVXm4bNTjuYF72SLIcz8NFLMWXTb+yPGAIGjBw8mqKYmDwCP2p55PcE3ORWF
49yDDaWtB9XIJcqQWrCFhdN815NX+etKsDXdD35vZDd5qD682F2qlf1V35jjtB90weDCnnOUPt8y
ntWYldE+xHK3U6mSd2ZqY5mSjiYfrqyl2P2jGRdrn5NGqF4JhT+Z1d97ueq2Ob3w+xAuJvlhyhv2
dgUu2uVG7Jj3ks5eZz3fYCogbbdYMY5G4HfFtgyBcqyTpPEewYg/0lDY0ecTNpBxMdLF6K5JuzfJ
JaTbuZsoW9Yds74qA2SDNzriNSLsfK1R0i/FLOQeTIDc9IY9X0e9q48cs10e7uR1sOIS6k3zEC4x
mA73VN1bu1jSfpUCEOfkCH6ReAn43gPYSr0deY+vRhYuultHRZihyHZ53TPNnofA+TQpzQGtgJ06
3wCA0beqamGNz3E0gYdfSrrRXjGHgFOeM02xFAL53aANcWs25C5y7CmMD0G2OPFT6QCU9ILoQdVd
fddPdfIZD25xKCta1Lv2MUigkriFyW3qvCk9v2VekwOBK7PhK7udz8Dm5abF8A6vwf5CuzzAEE4u
Bz0DnBiG4l6jMoupKk/4wMRLGs63jvbwRUTJqzF/NmXy5EdYLRiyrGd/Ok4ShhQw0pXXk7Pt2n09
M2qCzlBudWu/RpTSrXPHvDVEy9SDcr20nMGpdHpdSH2KXH1dUlfM27R6ioRh7amm/t5PDlMd8xUJ
9V3GyVOAx452wMpdFwwL122k3yg8AXKUka9hf3evrfnRlxm+jhb9wzQENgelmHmW1K+lbXRW3GN5
HK6GxrivIausY1685wpfS2OobmUO2mWMkEab2DVuc3viCs1EG+M0OrP9hJuaV8g8iv6LEaAZ7Cib
8DI1DSvDXtTKVjpHOmYlpMsRUHpR2aDJxLqOLGibjJ+obmaQge7PmLmz8DhlQDCt9DEa3T1bnZkN
glNvNc9JnyzDXRCypsUz5JcVhmBJD/ZYsBNOvvmI2gd2b46/aWrTblep4XxmbDzofSyE/uxyp/vi
dAbVdjxnZ7uacRaU2c5QUEZGLYIrSllus9bARCpM4qRiwRsV5ZOchtMMxmvbYLnesz73dJqQuFTz
gd3E9dziyglq5LrZIHY+BvY2N4vTYLRfmLUfQeuE+4T4M86dftvZiEWIOcHacTS4hyaJt4p03U3u
YWVHUSzWtiG5MIX3WJMU35Rt/5R2xk440V3O/otEuEXI1xkpUPE/IhdHOWtsdBa101GMEn/AV8C1
a7IiliWRcq+JlnA+0avAzKLrVKkPE3JrHWf+MejAouu8/O4LGgL57ATcB44aOw/l1p+q+BOHdnki
uFfskOrzB9vp8qc5rLko5sK3UnhDpSK42hHN2WRRtpszuWfXvFcjxSfcE9/MAvCHaSBq9O2UUFNT
YnxXE85mGzfM8FCU6tz16r5sdfpF6/oO1rID5sODXKP8D2PKSRXGuXWYh8ZEz5rIsFCzDs+bwuVc
N3Q7Jzczq/N9Uw/30qkYf4wa8NgEQVFfWzU+a0eRbcs4XPj4//06uqRZfKyFc571cGfGNQtdP9yY
dnZDFOgxnGnDgXDpw9AfvldzB2RETec4Mlg3yvI8mPBlAB5iaxLyu9sGjMYCy7ROiVVWbFXHU1a1
5BAK2pHNfDz7bbSnbQ2oO8aqQ9jqOwvOvbUjS1kzueSCF92rRxhx42l7TwmrXYMFirMbGWGgshbT
UlCWT0FXfHCyAfSDFUusMrPqNw3CH/fibPeryJtu6nY6dk1Aw3ofvLKAO3iL56/hkCQ0PgOJW1lu
yj5FRGcjMeW1rWFCmTQlVv4M96bgpkS6KFZTltP/lYSLUTZcaj6XavmKAvAyTHdDkGxrme1Jwa8t
e2kQ6xJs1QFvcjIi60YV1EYE2IbIhspEdCvUgGDn037i2yUMIxvSGHiz25J99HpkhuqW9dklwrEK
mdXi61NvjJlOAyy62yzMsH5FtoF3G3Mu492XQbnJdV5M3rpXIeR2fEcGAkNeZAeJc9ADGz5Om2nA
9V8bp0TGWCLTrfQb3sZlSR9jiBMB3hue8NDaDnn9mQzxh+slh78QNNj0Hx0gDOAabe8wOk22bouG
f1EgwzVmvgB2FX3cs7unvYAQdk6yvjEvvsFdJh9qhx45Xbd71xLPIae2EbMHozDs4B6ZLhgwdqY2
KBqfZj4c26Q6zVLsG2kCv+mzYNU6Yhdl024AB4aq/CSL8DMtSd90zhblaGtjg6kq72F0KDsEJ0q6
JnvFCoLbZ3yq/ISlmzdsWxlbewCTR1ICrLKfX9BPqSDsh2prFtaIoy+nBKNMQnacXA5yURsaHdqb
FMI5ZbiMl2LWdyukY0dzFyQl5AOH5EE0Ng913W4bumt3PnraCgwNGx5RPcsOzgeDqjP+g3sz8m7s
ArnJ1eJkVF26zWXWHd0JoFY52BT95dGJ6s4SfMXMF9QJjPjCpQcRtWcbZoz9eBU4Gx1MF7reT7Nf
kibSw81QQiSfmK4yA0zPlc+OnN30i1/UF88fy9t+duMrx0x4anDCe0RnGgoLrjAPiKeEU8lj5Afv
ROCQi7zDIOt73xUAKMS6axEItWt/Tzwf18QMPmPwvK8ywCuauEweR68mIWzN1+R9S4b3ESBjb3hF
Xn/rOx8gdANzDb7/ozvSuRkb5q4q83mvZ50eIVg9ZpH/EMfwAzSuBzzJdx6W2RtpOs0aytdXexTH
plPmOqardZNb3r3OCUB5bRhui0hdRLYYXUOdo5B6BOH6/ZTiQaXU0WHo4eQbRPPbJBy8dcs4f8e4
5a6q0/esgSYHOuyWzj/2W53O9QqW6HfboBq4xRpCV0WC4RGbqySzWE/qs7LGO4M04UH5k/UkDNpM
zZEEXR5GuBmMVh+Hcb7tPKcDiRQNOydKAVLXE04aP67f0qI/m7m6JtHtHetZhBuLU8+G9xV+QrTA
7Jr7bj7pZHjtytxdE8RinWM7MrOEnr2AqhKCxy7smrj6ABiuGdQHHT3JyS0w6duyTY7jAL1LFWmw
VxUlg9nkkTWxx6WHV404iGMTPxfhOWCEzTa13BCEVwbIJiVTM7dXnq9ZzlhZVrL2tlMhSooOoPyj
e2AiLJ+qQnzDA+RfJNy8a+nX0xHEpLkrEi4zLmyxzd0xuraGerdYreLRJL2LJXco+WA3F/ug8HiC
/JEYRy4uqV/u/HYpRuieqyBp1+MUHTyPCNMkNhK4A2wL61x17R2UrnyFq/VsUZIZOKQrs6mEZKbY
5GRFfA+Q/LFKtb125uYClOnLVAa3QQ/8A3fEofH5moTv603ej9s0agHNiCcjqeUJe8fd6Ef3tVHh
QpmYnc/JqxzqvVXy3M2OfYYOqwkcm8fGCY7zrOFJKQyBDccSTjC8qndxB8pf0JCLrXk/Eu9Cxzjk
c2fwYmnLG9+pTGPt+uV0NhsHNNIQHJIivDNsfH+Dt3hnx/AQKAJ2xfhcLBWzUW5syVPvBWAUTsrG
907p5dlVNL9B/6WO0cNHmBsM1lZNSBD9vq4GawlkmVm1IcNCrZ4YG0D5GMKCJw6M3UMgwzgnwimy
YiM0BHT8k2mowJGTOLlxQEZl9zj/eE1PXZC3V/BvwIa1WIV1VMFXrgYWP9G0bBlrK7FuzLypULOS
zhbHUKP50FLmmJ8oOc6zIMd0JWQ83nSWG3V7Q3v6WWF+vFUJA33Mwgm9rwBPzUuoRMjL2hjwm1eU
dG87CHb+hkfKr8m4gZRTvfFY/WVU7AE5PeKwiy8mqvKmj6bb2QwfA3+6M1D430kkEuPx31jvaAeY
3q1mvh09gL5UG6dHN5py3vUxOdqdlLJ71XxB3GEtOLCwcjnxxsOdYxYL0pfr2XJYSOPrUESP2qZj
u+T31jq/Dzk8g7O6mFFwhxBMRKcZAdYHzq2Oc6SPqUqvyWbiF4ig97wvZSm3cUrOOPWydVpJCAWp
T8Wz/V43vrctzHA85AyJWdurEWN9ODtrKbh3107DW6YZo+NspdG2xAB7W5XNCYzgC8DLatXWsn9s
PPO19NWzR70GVdwlUriKvfdUU6c6VmANGFPNpyQgQJ568Uuc0Q+0MhpJWxxrCWZ/5zmf/PyhwMdr
Fjyw3BsLJ5e/CaKMRX1hB/FoWAzEYVV2PsIB5s4oqjENYpIcIWOVV147HIRV3ye9dduRmd7E2gxP
jNeBIKTVnoiRfoiVKIZzr/vyjXNZ9A7Wz7/kKqt3GpTDfbSQq+dEk67sBAiNcbxHoNzg1T7Goztf
9IDnUzTRtCczz3qWGpykiOeeZRk5Dzzgb22jLwm7+dsyaEAqYD/NttTkiicOwiiuIYMd2iCa+cBr
sVk1vFhxm3HGy/HkXDyvn47eHLzMshRH3/AukZViNQ76U2WX1TbGc/Is3IIbgU1bu21bXz7l2KNX
fQxUbyQf+BTMCAhuUjgPBkyKdePSew1b0D9oMGkb7bjjRdF+A9nBcz+cwRmeqQiyVnlnP9eGpPkJ
G8ptGgn24Y5Or3M/xCPrM0XH4SpXaU3IMZjoSmjwT2vlOCt/bLcyhuTXt/oj9dprLgsTtLF5Y7Kd
bxpH3QHxGt9UjPrEE7MrdFCjtdnxifFIuW3gQoH06/qDX+XF1RK9uaqUMzxZesI73ATuF5IQMJbY
RK/ZShk7OygMrARmvyX7Ti0sZMoEaYgukcm8skrXJ2s7uXQIMfeGtvjgDkm8rkCkHWfZDjseQPB5
Dn3znsNGpvHbLzRRfU+tcjf5Fn0I7BXXeW+a2yS2rE1eTS1o2IHIxkPUyEJswD421x2B8HFlWYN8
sh36FExTJTRQBClucprXyJZLesFdxziZiQbvDDhhLcTUr+Ouv0wAcjkiujR3AR4gTiQDWlUa2pQH
qdqrSTne5gcQbzW56U0DNf6YRATvgC1P1a5ycT5PfhQ9AGlyrsu0P/9F4HUtJ3/9Ab4LI4m4DFa4
NzPOmh3lmtY37FEGQwJL03EaJc1bEKSxfU6XkpIfeKBqUZo5L9UpGdyejQrPTmSvtRmn3JATlYJL
t9HEdpEYpmvR79xj4CfV3VU5S5r9f7g7j6a4sbWPf5Wp2atKOSzmLjrRgWgcsDeqBnqU01HWZ7u7
94u9P3UDBgx45nrKdX03rjI0kk5Les4T/kGyLjI5SDEAqXUeyGUvBJ0Kia417zfEQ0BtobMd5KZH
Wgzsr0PGbXu5u1b8QCDz6FajqbNMb3etVHDOd1XVNry9VS1QDUiGVHwJOWZ7hb4ee4ESVZp3jfRW
0B3LQ2UGAL9riL4weuKPJZrP41TCJNrVaCRIk1C1c+DkDdkberoRjRRMTEaQt6sZK/YKM6MEMr3g
UsZQ7tpLPPMcoN/gLa39OEFAIg5XpKc9Ig0J/tW1HOT2Ba58boNKRWNpC7cqkYLNIO1+ysyYhyqN
TH7QNZ0Gwx1i6r4RYknh2le7Xkz9vtY0f1qqnd6tW9HHyamGmPd53GM3AxNf1pZ+00CWwiHNpb6i
70g/WyS9fJ0Uo0dXItvZrlKlUj/rG1NP5qGR6AajMpCYs8JrsVgWXYZSCG15JHY730RTmeFl4qBr
iOTDBDy8E621wK3seUhXdQZLYEa5faQM0kWvd99aQaFV2l6N9k+yo9yMvk+A6M9G06dGlCZ94Zxw
85LZ0+B/9slqfcye7Eoe5hFyaZ8f/J36EsBrNNC7o+J66u3UhzRcxiLeX+hZblFqfhF+i5gK7kyM
jbxSgTg0Wjs12oCblbgNHHvZSO0XxavM08xs4PY7CGs+GDrRMo/eI1phfJTR8lzWRneNijZbtw8V
uiDbnj8ydcq41kkIlJdbTJtyDoYcKvAkauBaHOlylZkXLRr1aB45DdGgE2YPXrSx0SvP+45XxCwS
7bi25PTa01uvwF0Yp591UcJSo9cwjlsXKESE7TIsAwp6JL4Fokt+RV2QWRrlCXVjXdPdiZ2jLLN7
/Tgo8NSZFznQVMyFEEWYa3hMWShOSyBrs1RNkwUPjF0utKbp5I2VlJJx5taNZS7VDKLDHDl1h+Ib
2vqJ0niyuWkhCmYrp6U5sYRRpQ4zt6u4bstCFQnlXOYVS9AcXguwEimKCzLmzntfxX2sHUcd9CwE
VyT+7ZEABxssZ0410/ISaO2QusdCB5O56FKn9Be+oSOAD8MfZf1M4P99nChDr11GWiuUjYP4Zowq
XDy0S4CTUV5AGR/DRGOHdfKlMc0iONdLLUxOooKxzkxu6xKfCS33ymGC24MsnTgmroJLjuzSwBB+
vFEqEPQQgYozTxdUWKoV9WsDE4EbW4/KM57hoVoITA0R5gOo0H6sHTQ8NdEBycdkoFxCPQTFDzfG
PY/kXCzBkbXjzOdjUQH9xaWqdGaiZXrpkXeeDl4arJjF/elYwye2VIosEvBNAaP0jOBdbQLd3KQN
OlLQwswj4Aoj8qOll6MZ1VGiZgN0Zh/krST0qVI45Eap3q7gb/oTMQ7fsfBKKTnMWrut7VBaMDN3
r9xUxbeVtpp/hTWA3y7KFlASVb4Q4ZIWNLllI6r+GKy3T1IHy3tplFqxiS2NRpAfm85p0vXdUg1s
4Li1E2L+YIDMdsHbYhaR92TuCco178exyqJ22KQ7ETk85iOPoEANal4L445H4Cn9hYQs5gVyXm1w
1NpQ2ixp8FaDLF/WKqImex4B8AyEN17iECBkJBfrp+yByHGLS1WoVDU05HRW0oNO/wtcAfwb+U5B
CZPNfpcioCOEG0yZ1KrXMV0EBmcWboJ7CkDEoPWjH2nZRaRYV1pLY6dFr3ye4Cdw4YLH7+Yj3D8R
rkxkyOKppab5iS2A/YoR84+pa4uSLu3siYzIGtPJMmpWwqneQPlbdCipvl9H+AP1Wz1D9zsVKkjA
i/JvkP2RSMce6VcsP8YobjDbw/hrycfcGzQ+3MIySnjCotbst4UVhS1CJ/f4fIfB3ZWv99UzaL6m
DObZAZVfe+mwlpkc/yVUPswWBE/2gHxDaDSKXgTja1mfnh5w+BY4gMkBg6/UYXSUhDJWFgB1PAIP
+HvfNRHL9jPZhWWAVh3kzJy4aj9B3EuRuhl8eoaPEPdtbsh090ewfSNse6ZCaX8Etmcg6TDUwyDy
yI9VanY8CWV09FJU4XW5ODlg6/tQOw2jZlcjp1FQKw0rahpvCrG6CmZaIsmrr0B6I3KMzVcUvV60
ASLdDwD6vMwhNrgN+kCqIxvv0BIm8xgx8+iB2ac0cOy34PK9mVYXgqkY6esTlHwRB9qnUjHGys01
tJUH/xs9emiW777i4R3R4NoYQqfFl40OXeDMQlvO1ryyqyj1h8+g6ehqe/QesZIWF3s0vE/aT0Vb
4nxQa61y1RpIHxlR0LA3qz59HFM9UzvnY2SO/VUFj+Kj2kDoAj8yQp1C0u6Q4FPblZgBB4OGRnNU
n6OJHpNmxC67ve/stNYtb5Mo3cVhCoy/qOstYrrWaZHpRTnJRwkeq6w5DzM9ht0dDABQQXar+iQ2
YbyG8ryAgddMGG4v9EJadm7arAwTdxqrM9aq2hZTzQpyvAf6z5DSQxwvmw9JEt0YFTCTDMMApc/1
iZHKx5nhFDrpAnhBfFjJiQozgjSrJjAbkzG/kSTkbvs0Rx+r7I4jqnH0lzr/Ha3wdNMh4NSQOTd2
goZyVlJOSDXjSA3Y7TrrIJBNjJ6S2Uuk3t+UoggWTtN4G3AeFTcCRpXTOmzACT0sTEEvB7nNZhFE
rHnDQzyN2xIolYwmfa2/t+TwOgEvtjBsxZsxEJyTeykfKiWCuRiEa0wMv+SlUs5tvpudlLEfBVqL
7JOp9R8GO2+VSR60QAYxVOpR7+/gaUlD4qDv5yY0LK0eOdpACYmVTVKG2JlQGNQtO9mkMJAbiVHa
nmVNK71HxKtaq3Xbbzy254nw62jp0E2jCd+VZ2Vh01CycJRnTOxv7MhKpz5AzVM7zumh03budfyk
6ClShFB2TVPMG44Gp5GnYZFgtiRLwJUIqnM06YxFxi640Ac1nPdSYs1yei8nnmLSC5bxYMAxsJxC
vXY2VSrYBQ3PeCe7Vn889HXxAZ/ndpvQqbyS4Kf2vbTO+lpWZzARs2O62FO5El+C2kjO69pwNmaI
SY6qGMqyEFL5wbV1ZSMK2T7OvKK4pXksbwKp8DaKglacqwXI13jIOYDwktw58YypA2Myhj5YqxtV
mCzzHhAhSsXkjNkQ8IJq0byPU7ghqmRUzC2M6rw2U+nUDhhbeBT+73MECM5dEKdzKKZs5t7QDRC7
4+ydrOZbWyvT4zJmO1yUfZMtrTwzEQ/rQ4Tb+uraQY4KtRhBfzo3IU3hPIXARC1Oetrc77zWZzI8
wK1Wpg2t3rXU0GocU0YmQFkzdwslQkTAwmujKZW11cbI97qsABkAbB9aOpuLKC7Ltdl1Tj4RfW+v
swh9Xobc2ZeeSNMteaudS5FFsTcN86Sb+VYJ77+qpWyJjQgxIID30wNXWyZWX83BJvC2BYYQn1z0
Myp6H7YjZg0CwOUEirG86YSEBiM9FXWq1YX1QfdU+U/f7p1lJcjJcPbV5Q+5gYpnq+vShzSo1ROR
WmKNuvWnsLCTk44S60ILDWjkrpm9kxJY8pPcS7SVaRU1PiaGOkDBZzg209KGyl7u+hNa+/HcoDCU
Jw1t/GwVmykTCxMPbPrXqL7pMxxr0Bg0K7meZkae3vRa6tdzRx3cD35RRX9qkeswU5EgU9k2k4aq
knlsSqdB1zQNMtmZYPEUvlfz3tDhj9GInAVZgbqHqZSbCuPIIwIaOVtsDGDAqBtbIL+WsiirAXl9
Bu2XYBg6+tl1di75VAvvk5boZ/Yg46aupNlnBQ29EACNIqBAgqkgeQrNUcQRS3IqclNbqimNBjlP
Ahhs2Hejgt81Rjbxm1zpp4peezu5CpF0UC1gWrkfrXEYU661si3WlTMQHwytY4qhDce5wwzQQ5Tq
JGslhFCG4drvUpuJPLPvyCCOtUFwHEFoP9U6GUelXGqh3Ztjlaxnt7rdrioZZcHCCU8yq/4c8JDT
TewCdYofAbpvgQFru9MjCps8R7QN1FV6ZoCY8uaA0Ih6ZNtLxZWKSaAGdJZqDdNoT3UzCKGoOU/M
PslYE+48QJBsLBZM64Y2XrAQUJNLA+0Xv07LkzhsBHZzEULauIRPgWSbE1kB3RLSxl/4vUhWKkXD
VOvsG8xMATkApkT+Sak+hZLirRz0V7A6rAqxpB1V8AIBhKDYlSY9JPNzvm9wRODxNlEXok6aQkVd
DBBxFpGPyJM0cJMkPGpnA1MMaePIQ/K+yag9Z3ik2gq/TE8G7MjPbSfX6Mr3noT3Tq4wo7WYHpNB
0fRiPqozDJokPHz2vAsqZFm8FJ4vv5PnJUGaAXJSYFFeA1GhIEFsz9Q0MTPkthn1MPwF7T+phrao
v2sZMy6gUIxOrDogrM740mgGNkIKdMIpErfWkgqruhrSoF0qWh6TONhpi+eqlF/B92egmqM3fyUM
CaygJfrkpHKNcNPKHddB0ucy86Je9mokTKSmvPCZM27KuKcHWqfZsApowH4XdPkN5HJEYcsISmj4
o4IBfwq5zLK60huBNdQeTj8gedJN28Q0wwmNeUA9o6cQMWusOitEW3t0wrYM6y0GwVUpIMg4VMHL
1nVjntguBeBKNMQOhIkk2Rhm9NFkqLRanaEU7Eu7pOoZzkR1lrQH/PD/jMbV3UJGkW+UUIKqv6h3
I42vhO/8IKg9RVHodv/rYFf+nQ/cK3J/e4DfdvuzrW7/+B2G4JPPjYTCw6kPnxn//6/tbYLoSwBU
Nrg5CLI/+uVefR3h7/1p7v78bmHfnvnJue4Xdf/DZYDlq7jB82t/eXdXObrc/vH7ZHu7S6VP//dv
UVW75HonvMe0RdXQQPJ/vag/fn9yyY/AzW+dY7lNRgPa+wONX4+iQbS7/8G4uP/syMdZuxO/XW5H
7fb7o42HVzk87KAfvfC9VFm8TW+l8228xShlW+3uj7o/jQVv7v4H//kqLrdbMZ7l/kj7Q9u69Q98
QROxS3ZPqKvwwkyw4D/61Ux2Ig6eHNiGsAjl7McP/d5HNyn1nivDqYYhqz9+9MsbjE+AjnvSEg+K
avdsEYqugML+B06zfybf9BPYv4w/8tQ8f+oh7mJVAKfgR2/u6d8Q6vvBVfxdg+ofPN1yV5ZPXmGI
N7YxEod+9Dub4KpNKH0e6GCzjdv9P3D8bbMVz94JXglVJ4t4+9pf2jQOfub3u8t8/Faf7oLf/cDD
Pnq+FZz/hUN8/xP3G9QLh7hb036vkA39sa7k/lT93QcOuxg94ix/uK+Hd+qG+T5Kk2n1aJd6dKL7
A4xnGH28iYkw+u9ToNfW9MYVH9KLNz7wdEmQ3cc486Ai8MKqLqvtbfXbs93zhYDx+DCvrPBuv/2J
Kzxs8G8t7/sLe/T1vLKuOyGGn3Tb7tKKtxZ1Guxud6Lc3vjl1333hXv2X7e0fab31spezxR/heUd
MrW31vfOJxc4JHt/buPhe1H1jqX6NVA8Dig/97H8Gr4OF/VCKHm6mpxl7g5x8Se9ORa6CxbCD5ql
Y07kaLqFddFbd+PF4BBnNygGV6T6D3/6SlxA5eFrgP1JayT9OuSODxf3wo14Pf38Bd6iQ4JJRfjm
Cg+x71nq+8usjlTtL6zu6fv0WlH8ysP5c6MDtO1nwtwvPJZk/LdiDIB7YW7i3y+1eQFwNAgub9+5
x5XGx0zkWZLsxEMF+ys8n/elylvP577A+bVWdVfEvLWqybb/te7V3Sv+6n4829VVSSfiUdfn8AQ+
kxx7+FJeCSXsc3e10fc3ue99gnpt/MhNvNuKf/0/AAAA//8=</cx:binary>
              </cx:geoCache>
            </cx:geography>
          </cx:layoutPr>
        </cx:series>
      </cx:plotAreaRegion>
    </cx:plotArea>
  </cx:chart>
</cx:chartSpace>
</file>

<file path=xl/charts/colors1.xml><?xml version="1.0" encoding="utf-8"?>
<cs:colorStyle xmlns:cs="http://schemas.microsoft.com/office/drawing/2012/chartStyle" xmlns:a="http://schemas.openxmlformats.org/drawingml/2006/main" meth="acrossLinear" id="2">
  <a:schemeClr val="accent1"/>
  <a:schemeClr val="accent2"/>
  <a:schemeClr val="accent3"/>
  <a:schemeClr val="accent4"/>
  <a:schemeClr val="accent5"/>
  <a:schemeClr val="accent6"/>
</cs:colorStyle>
</file>

<file path=xl/charts/style1.xml><?xml version="1.0" encoding="utf-8"?>
<cs:chartStyle xmlns:cs="http://schemas.microsoft.com/office/drawing/2012/chartStyle" xmlns:a="http://schemas.openxmlformats.org/drawingml/2006/main" id="102">
  <cs:axisTitle>
    <cs:lnRef idx="0"/>
    <cs:fillRef idx="0"/>
    <cs:effectRef idx="0"/>
    <cs:fontRef idx="minor">
      <a:schemeClr val="tx1"/>
    </cs:fontRef>
    <cs:defRPr sz="1000" b="1" kern="1200"/>
  </cs:axisTitle>
  <cs:categoryAxis>
    <cs:lnRef idx="1">
      <a:schemeClr val="tx1">
        <a:tint val="75000"/>
      </a:schemeClr>
    </cs:lnRef>
    <cs:fillRef idx="0"/>
    <cs:effectRef idx="0"/>
    <cs:fontRef idx="minor">
      <a:schemeClr val="tx1"/>
    </cs:fontRef>
    <cs:spPr>
      <a:ln>
        <a:round/>
      </a:ln>
    </cs:spPr>
    <cs:defRPr sz="1000" kern="1200"/>
  </cs:categoryAxis>
  <cs:chartArea mods="allowNoFillOverride allowNoLineOverride">
    <cs:lnRef idx="1">
      <a:schemeClr val="tx1">
        <a:tint val="75000"/>
      </a:schemeClr>
    </cs:lnRef>
    <cs:fillRef idx="1">
      <a:schemeClr val="bg1"/>
    </cs:fillRef>
    <cs:effectRef idx="0"/>
    <cs:fontRef idx="minor">
      <a:schemeClr val="tx1"/>
    </cs:fontRef>
    <cs:spPr>
      <a:ln>
        <a:round/>
      </a:ln>
    </cs:spPr>
    <cs:defRPr sz="1000" kern="1200"/>
  </cs:chartArea>
  <cs:dataLabel>
    <cs:lnRef idx="0"/>
    <cs:fillRef idx="0"/>
    <cs:effectRef idx="0"/>
    <cs:fontRef idx="minor">
      <a:schemeClr val="tx1"/>
    </cs:fontRef>
    <cs:defRPr sz="1000" kern="1200"/>
  </cs:dataLabel>
  <cs:dataLabelCallout>
    <cs:lnRef idx="0"/>
    <cs:fillRef idx="0"/>
    <cs:effectRef idx="0"/>
    <cs:fontRef idx="minor">
      <a:schemeClr val="dk1"/>
    </cs:fontRef>
    <cs:spPr>
      <a:solidFill>
        <a:schemeClr val="lt1"/>
      </a:solidFill>
      <a:ln>
        <a:solidFill>
          <a:schemeClr val="dk1">
            <a:lumMod val="65000"/>
            <a:lumOff val="35000"/>
          </a:schemeClr>
        </a:solidFill>
      </a:ln>
    </cs:spPr>
    <cs:defRPr sz="1000" kern="1200"/>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1">
      <cs:styleClr val="auto"/>
    </cs:lnRef>
    <cs:lineWidthScale>3</cs:lineWidthScale>
    <cs:fillRef idx="0"/>
    <cs:effectRef idx="0"/>
    <cs:fontRef idx="minor">
      <a:schemeClr val="tx1"/>
    </cs:fontRef>
    <cs:spPr>
      <a:ln cap="rnd">
        <a:round/>
      </a:ln>
    </cs:spPr>
  </cs:dataPointLine>
  <cs:dataPointMarker>
    <cs:lnRef idx="1">
      <cs:styleClr val="auto"/>
    </cs:lnRef>
    <cs:fillRef idx="1">
      <cs:styleClr val="auto"/>
    </cs:fillRef>
    <cs:effectRef idx="0"/>
    <cs:fontRef idx="minor">
      <a:schemeClr val="tx1"/>
    </cs:fontRef>
    <cs:spPr>
      <a:ln>
        <a:round/>
      </a:ln>
    </cs:spPr>
  </cs:dataPointMarker>
  <cs:dataPointMarkerLayout/>
  <cs:dataPointWireframe>
    <cs:lnRef idx="1">
      <cs:styleClr val="auto"/>
    </cs:lnRef>
    <cs:fillRef idx="0"/>
    <cs:effectRef idx="0"/>
    <cs:fontRef idx="minor">
      <a:schemeClr val="tx1"/>
    </cs:fontRef>
    <cs:spPr>
      <a:ln>
        <a:round/>
      </a:ln>
    </cs:spPr>
  </cs:dataPointWireframe>
  <cs:dataTable>
    <cs:lnRef idx="1">
      <a:schemeClr val="tx1">
        <a:tint val="75000"/>
      </a:schemeClr>
    </cs:lnRef>
    <cs:fillRef idx="0"/>
    <cs:effectRef idx="0"/>
    <cs:fontRef idx="minor">
      <a:schemeClr val="tx1"/>
    </cs:fontRef>
    <cs:spPr>
      <a:ln>
        <a:round/>
      </a:ln>
    </cs:spPr>
    <cs:defRPr sz="1000" kern="1200"/>
  </cs:dataTable>
  <cs:downBar>
    <cs:lnRef idx="1">
      <a:schemeClr val="tx1"/>
    </cs:lnRef>
    <cs:fillRef idx="1">
      <a:schemeClr val="dk1">
        <a:tint val="95000"/>
      </a:schemeClr>
    </cs:fillRef>
    <cs:effectRef idx="0"/>
    <cs:fontRef idx="minor">
      <a:schemeClr val="tx1"/>
    </cs:fontRef>
    <cs:spPr>
      <a:ln>
        <a:round/>
      </a:ln>
    </cs:spPr>
  </cs:downBar>
  <cs:dropLine>
    <cs:lnRef idx="1">
      <a:schemeClr val="tx1"/>
    </cs:lnRef>
    <cs:fillRef idx="0"/>
    <cs:effectRef idx="0"/>
    <cs:fontRef idx="minor">
      <a:schemeClr val="tx1"/>
    </cs:fontRef>
    <cs:spPr>
      <a:ln>
        <a:round/>
      </a:ln>
    </cs:spPr>
  </cs:dropLine>
  <cs:errorBar>
    <cs:lnRef idx="1">
      <a:schemeClr val="tx1"/>
    </cs:lnRef>
    <cs:fillRef idx="1">
      <a:schemeClr val="tx1"/>
    </cs:fillRef>
    <cs:effectRef idx="0"/>
    <cs:fontRef idx="minor">
      <a:schemeClr val="tx1"/>
    </cs:fontRef>
    <cs:spPr>
      <a:ln>
        <a:round/>
      </a:ln>
    </cs:spPr>
  </cs:errorBar>
  <cs:floor>
    <cs:lnRef idx="1">
      <a:schemeClr val="tx1">
        <a:tint val="75000"/>
      </a:schemeClr>
    </cs:lnRef>
    <cs:fillRef idx="0"/>
    <cs:effectRef idx="0"/>
    <cs:fontRef idx="minor">
      <a:schemeClr val="tx1"/>
    </cs:fontRef>
    <cs:spPr>
      <a:ln>
        <a:round/>
      </a:ln>
    </cs:spPr>
  </cs:floor>
  <cs:gridlineMajor>
    <cs:lnRef idx="1">
      <a:schemeClr val="tx1">
        <a:tint val="75000"/>
      </a:schemeClr>
    </cs:lnRef>
    <cs:fillRef idx="0"/>
    <cs:effectRef idx="0"/>
    <cs:fontRef idx="minor">
      <a:schemeClr val="tx1"/>
    </cs:fontRef>
    <cs:spPr>
      <a:ln>
        <a:round/>
      </a:ln>
    </cs:spPr>
  </cs:gridlineMajor>
  <cs:gridlineMinor>
    <cs:lnRef idx="1">
      <a:schemeClr val="tx1">
        <a:tint val="50000"/>
      </a:schemeClr>
    </cs:lnRef>
    <cs:fillRef idx="0"/>
    <cs:effectRef idx="0"/>
    <cs:fontRef idx="minor">
      <a:schemeClr val="tx1"/>
    </cs:fontRef>
    <cs:spPr>
      <a:ln>
        <a:round/>
      </a:ln>
    </cs:spPr>
  </cs:gridlineMinor>
  <cs:hiLoLine>
    <cs:lnRef idx="1">
      <a:schemeClr val="tx1"/>
    </cs:lnRef>
    <cs:fillRef idx="0"/>
    <cs:effectRef idx="0"/>
    <cs:fontRef idx="minor">
      <a:schemeClr val="tx1"/>
    </cs:fontRef>
    <cs:spPr>
      <a:ln>
        <a:round/>
      </a:ln>
    </cs:spPr>
  </cs:hiLoLine>
  <cs:leaderLine>
    <cs:lnRef idx="1">
      <a:schemeClr val="tx1"/>
    </cs:lnRef>
    <cs:fillRef idx="0"/>
    <cs:effectRef idx="0"/>
    <cs:fontRef idx="minor">
      <a:schemeClr val="tx1"/>
    </cs:fontRef>
    <cs:spPr>
      <a:ln>
        <a:round/>
      </a:ln>
    </cs:spPr>
  </cs:leaderLine>
  <cs:legend>
    <cs:lnRef idx="0"/>
    <cs:fillRef idx="0"/>
    <cs:effectRef idx="0"/>
    <cs:fontRef idx="minor">
      <a:schemeClr val="tx1"/>
    </cs:fontRef>
    <cs:defRPr sz="1000" kern="1200"/>
  </cs:legend>
  <cs:plotArea mods="allowNoFillOverride allowNoLineOverride">
    <cs:lnRef idx="0"/>
    <cs:fillRef idx="1">
      <a:schemeClr val="bg1"/>
    </cs:fillRef>
    <cs:effectRef idx="0"/>
    <cs:fontRef idx="minor">
      <a:schemeClr val="tx1"/>
    </cs:fontRef>
  </cs:plotArea>
  <cs:plotArea3D>
    <cs:lnRef idx="0"/>
    <cs:fillRef idx="0"/>
    <cs:effectRef idx="0"/>
    <cs:fontRef idx="minor">
      <a:schemeClr val="tx1"/>
    </cs:fontRef>
  </cs:plotArea3D>
  <cs:seriesAxis>
    <cs:lnRef idx="1">
      <a:schemeClr val="tx1">
        <a:tint val="75000"/>
      </a:schemeClr>
    </cs:lnRef>
    <cs:fillRef idx="0"/>
    <cs:effectRef idx="0"/>
    <cs:fontRef idx="minor">
      <a:schemeClr val="tx1"/>
    </cs:fontRef>
    <cs:spPr>
      <a:ln>
        <a:round/>
      </a:ln>
    </cs:spPr>
    <cs:defRPr sz="1000" kern="1200"/>
  </cs:seriesAxis>
  <cs:seriesLine>
    <cs:lnRef idx="1">
      <a:schemeClr val="tx1"/>
    </cs:lnRef>
    <cs:fillRef idx="0"/>
    <cs:effectRef idx="0"/>
    <cs:fontRef idx="minor">
      <a:schemeClr val="tx1"/>
    </cs:fontRef>
    <cs:spPr>
      <a:ln>
        <a:round/>
      </a:ln>
    </cs:spPr>
  </cs:seriesLine>
  <cs:title>
    <cs:lnRef idx="0"/>
    <cs:fillRef idx="0"/>
    <cs:effectRef idx="0"/>
    <cs:fontRef idx="minor">
      <a:schemeClr val="tx1"/>
    </cs:fontRef>
    <cs:defRPr sz="1800" b="1" kern="1200"/>
  </cs:title>
  <cs:trendline>
    <cs:lnRef idx="1">
      <a:schemeClr val="tx1"/>
    </cs:lnRef>
    <cs:fillRef idx="0"/>
    <cs:effectRef idx="0"/>
    <cs:fontRef idx="minor">
      <a:schemeClr val="tx1"/>
    </cs:fontRef>
    <cs:spPr>
      <a:ln cap="rnd">
        <a:round/>
      </a:ln>
    </cs:spPr>
  </cs:trendline>
  <cs:trendlineLabel>
    <cs:lnRef idx="0"/>
    <cs:fillRef idx="0"/>
    <cs:effectRef idx="0"/>
    <cs:fontRef idx="minor">
      <a:schemeClr val="tx1"/>
    </cs:fontRef>
    <cs:defRPr sz="1000" kern="1200"/>
  </cs:trendlineLabel>
  <cs:upBar>
    <cs:lnRef idx="1">
      <a:schemeClr val="tx1"/>
    </cs:lnRef>
    <cs:fillRef idx="1">
      <a:schemeClr val="dk1">
        <a:tint val="5000"/>
      </a:schemeClr>
    </cs:fillRef>
    <cs:effectRef idx="0"/>
    <cs:fontRef idx="minor">
      <a:schemeClr val="tx1"/>
    </cs:fontRef>
    <cs:spPr>
      <a:ln>
        <a:round/>
      </a:ln>
    </cs:spPr>
  </cs:upBar>
  <cs:valueAxis>
    <cs:lnRef idx="1">
      <a:schemeClr val="tx1">
        <a:tint val="75000"/>
      </a:schemeClr>
    </cs:lnRef>
    <cs:fillRef idx="0"/>
    <cs:effectRef idx="0"/>
    <cs:fontRef idx="minor">
      <a:schemeClr val="tx1"/>
    </cs:fontRef>
    <cs:spPr>
      <a:ln>
        <a:round/>
      </a:ln>
    </cs:spPr>
    <cs:defRPr sz="10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7" Type="http://schemas.microsoft.com/office/2014/relationships/chartEx" Target="../charts/chartEx1.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oneCellAnchor>
    <xdr:from>
      <xdr:col>1</xdr:col>
      <xdr:colOff>24268</xdr:colOff>
      <xdr:row>10</xdr:row>
      <xdr:rowOff>0</xdr:rowOff>
    </xdr:from>
    <xdr:ext cx="6422802" cy="2992994"/>
    <xdr:graphicFrame macro="">
      <xdr:nvGraphicFramePr>
        <xdr:cNvPr id="2" name="Chart 1">
          <a:extLst>
            <a:ext uri="{FF2B5EF4-FFF2-40B4-BE49-F238E27FC236}">
              <a16:creationId xmlns:a16="http://schemas.microsoft.com/office/drawing/2014/main" id="{00000000-0008-0000-0E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oneCellAnchor>
    <xdr:from>
      <xdr:col>7</xdr:col>
      <xdr:colOff>0</xdr:colOff>
      <xdr:row>10</xdr:row>
      <xdr:rowOff>0</xdr:rowOff>
    </xdr:from>
    <xdr:ext cx="5544000" cy="2951999"/>
    <xdr:graphicFrame macro="">
      <xdr:nvGraphicFramePr>
        <xdr:cNvPr id="3" name="Chart 2">
          <a:extLst>
            <a:ext uri="{FF2B5EF4-FFF2-40B4-BE49-F238E27FC236}">
              <a16:creationId xmlns:a16="http://schemas.microsoft.com/office/drawing/2014/main" id="{00000000-0008-0000-0E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oneCellAnchor>
  <xdr:oneCellAnchor>
    <xdr:from>
      <xdr:col>1</xdr:col>
      <xdr:colOff>0</xdr:colOff>
      <xdr:row>28</xdr:row>
      <xdr:rowOff>0</xdr:rowOff>
    </xdr:from>
    <xdr:ext cx="5544000" cy="2951999"/>
    <xdr:graphicFrame macro="">
      <xdr:nvGraphicFramePr>
        <xdr:cNvPr id="4" name="Chart 3">
          <a:extLst>
            <a:ext uri="{FF2B5EF4-FFF2-40B4-BE49-F238E27FC236}">
              <a16:creationId xmlns:a16="http://schemas.microsoft.com/office/drawing/2014/main" id="{00000000-0008-0000-0E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oneCellAnchor>
  <xdr:oneCellAnchor>
    <xdr:from>
      <xdr:col>7</xdr:col>
      <xdr:colOff>0</xdr:colOff>
      <xdr:row>28</xdr:row>
      <xdr:rowOff>0</xdr:rowOff>
    </xdr:from>
    <xdr:ext cx="5544000" cy="2951999"/>
    <xdr:graphicFrame macro="">
      <xdr:nvGraphicFramePr>
        <xdr:cNvPr id="5" name="Chart 4">
          <a:extLst>
            <a:ext uri="{FF2B5EF4-FFF2-40B4-BE49-F238E27FC236}">
              <a16:creationId xmlns:a16="http://schemas.microsoft.com/office/drawing/2014/main" id="{00000000-0008-0000-0E00-00000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oneCellAnchor>
  <xdr:oneCellAnchor>
    <xdr:from>
      <xdr:col>1</xdr:col>
      <xdr:colOff>0</xdr:colOff>
      <xdr:row>46</xdr:row>
      <xdr:rowOff>0</xdr:rowOff>
    </xdr:from>
    <xdr:ext cx="5544000" cy="3311999"/>
    <xdr:graphicFrame macro="">
      <xdr:nvGraphicFramePr>
        <xdr:cNvPr id="6" name="Chart 5">
          <a:extLst>
            <a:ext uri="{FF2B5EF4-FFF2-40B4-BE49-F238E27FC236}">
              <a16:creationId xmlns:a16="http://schemas.microsoft.com/office/drawing/2014/main" id="{00000000-0008-0000-0E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oneCellAnchor>
  <xdr:oneCellAnchor>
    <xdr:from>
      <xdr:col>7</xdr:col>
      <xdr:colOff>0</xdr:colOff>
      <xdr:row>46</xdr:row>
      <xdr:rowOff>0</xdr:rowOff>
    </xdr:from>
    <xdr:ext cx="5544000" cy="3311999"/>
    <xdr:graphicFrame macro="">
      <xdr:nvGraphicFramePr>
        <xdr:cNvPr id="7" name="Chart 6">
          <a:extLst>
            <a:ext uri="{FF2B5EF4-FFF2-40B4-BE49-F238E27FC236}">
              <a16:creationId xmlns:a16="http://schemas.microsoft.com/office/drawing/2014/main" id="{00000000-0008-0000-0E00-000007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oneCellAnchor>
  <xdr:oneCellAnchor>
    <xdr:from>
      <xdr:col>0</xdr:col>
      <xdr:colOff>101600</xdr:colOff>
      <xdr:row>67</xdr:row>
      <xdr:rowOff>152400</xdr:rowOff>
    </xdr:from>
    <xdr:ext cx="5544000" cy="3311999"/>
    <mc:AlternateContent xmlns:mc="http://schemas.openxmlformats.org/markup-compatibility/2006">
      <mc:Choice xmlns:cx6="http://schemas.microsoft.com/office/drawing/2016/5/12/chartex" Requires="cx6">
        <xdr:graphicFrame macro="">
          <xdr:nvGraphicFramePr>
            <xdr:cNvPr id="8" name="Chart 7">
              <a:extLst>
                <a:ext uri="{FF2B5EF4-FFF2-40B4-BE49-F238E27FC236}">
                  <a16:creationId xmlns:a16="http://schemas.microsoft.com/office/drawing/2014/main" id="{7B619EA2-BE00-894A-B076-C0466C919799}"/>
                </a:ext>
              </a:extLst>
            </xdr:cNvPr>
            <xdr:cNvGraphicFramePr>
              <a:graphicFrameLocks/>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7"/>
            </a:graphicData>
          </a:graphic>
        </xdr:graphicFrame>
      </mc:Choice>
      <mc:Fallback>
        <xdr:sp macro="" textlink="">
          <xdr:nvSpPr>
            <xdr:cNvPr id="0" name=""/>
            <xdr:cNvSpPr>
              <a:spLocks noTextEdit="1"/>
            </xdr:cNvSpPr>
          </xdr:nvSpPr>
          <xdr:spPr>
            <a:xfrm>
              <a:off x="101600" y="13106400"/>
              <a:ext cx="5544000" cy="3311999"/>
            </a:xfrm>
            <a:prstGeom prst="rect">
              <a:avLst/>
            </a:prstGeom>
            <a:solidFill>
              <a:prstClr val="white"/>
            </a:solidFill>
            <a:ln w="1">
              <a:solidFill>
                <a:prstClr val="green"/>
              </a:solidFill>
            </a:ln>
          </xdr:spPr>
          <xdr:txBody>
            <a:bodyPr vertOverflow="clip" horzOverflow="clip"/>
            <a:lstStyle/>
            <a:p>
              <a:r>
                <a:rPr lang="en-GB" sz="1100"/>
                <a:t>This chart isn’t available in your version of Excel.
Editing this shape or saving this workbook into a different file format will permanently break the chart.</a:t>
              </a:r>
            </a:p>
          </xdr:txBody>
        </xdr:sp>
      </mc:Fallback>
    </mc:AlternateContent>
    <xdr:clientData/>
  </xdr:oneCellAnchor>
</xdr:wsDr>
</file>

<file path=xl/richData/_rels/rdRichValueWebImage.xml.rels><?xml version="1.0" encoding="UTF-8" standalone="yes"?>
<Relationships xmlns="http://schemas.openxmlformats.org/package/2006/relationships"><Relationship Id="rId8" Type="http://schemas.openxmlformats.org/officeDocument/2006/relationships/hyperlink" Target="https://www.bing.com/images/search?form=xlimg&amp;q=Hamburg" TargetMode="External"/><Relationship Id="rId13" Type="http://schemas.openxmlformats.org/officeDocument/2006/relationships/hyperlink" Target="https://www.bing.com/th?id=OSK.b375baab95e32e36601a20a4ed323a73&amp;qlt=95" TargetMode="External"/><Relationship Id="rId18" Type="http://schemas.openxmlformats.org/officeDocument/2006/relationships/hyperlink" Target="https://www.bing.com/images/search?form=xlimg&amp;q=Rhineland-Palatinate" TargetMode="External"/><Relationship Id="rId3" Type="http://schemas.openxmlformats.org/officeDocument/2006/relationships/hyperlink" Target="https://www.bing.com/th?id=OSK.PHTa9QO2wrse0j37sSjvu3QQf3b0bH7oQsKyun6LgpY&amp;qlt=95" TargetMode="External"/><Relationship Id="rId21" Type="http://schemas.openxmlformats.org/officeDocument/2006/relationships/hyperlink" Target="https://www.bing.com/th?id=OSK.Jnaf_afSF_ekVDzEGuFzyWcr0ui8vZBSY0ejwxUaJqk&amp;qlt=95" TargetMode="External"/><Relationship Id="rId7" Type="http://schemas.openxmlformats.org/officeDocument/2006/relationships/hyperlink" Target="https://www.bing.com/th?id=OSK.4d3d6a309dd136998adb581c307a1d3a&amp;qlt=95" TargetMode="External"/><Relationship Id="rId12" Type="http://schemas.openxmlformats.org/officeDocument/2006/relationships/hyperlink" Target="https://www.bing.com/images/search?form=xlimg&amp;q=Mecklenburg-Vorpommern" TargetMode="External"/><Relationship Id="rId17" Type="http://schemas.openxmlformats.org/officeDocument/2006/relationships/hyperlink" Target="https://www.bing.com/th?id=OSK.ed95facaf16ea143c8d9a37cdbb1199a&amp;qlt=95" TargetMode="External"/><Relationship Id="rId2" Type="http://schemas.openxmlformats.org/officeDocument/2006/relationships/hyperlink" Target="https://www.bing.com/images/search?form=xlimg&amp;q=Baden-W%c3%bcrttemberg" TargetMode="External"/><Relationship Id="rId16" Type="http://schemas.openxmlformats.org/officeDocument/2006/relationships/hyperlink" Target="https://www.bing.com/images/search?form=xlimg&amp;q=North%20Rhine-Westphalia" TargetMode="External"/><Relationship Id="rId20" Type="http://schemas.openxmlformats.org/officeDocument/2006/relationships/hyperlink" Target="https://www.bing.com/images/search?form=xlimg&amp;q=Saxony-Anhalt" TargetMode="External"/><Relationship Id="rId1" Type="http://schemas.openxmlformats.org/officeDocument/2006/relationships/hyperlink" Target="https://www.bing.com/th?id=OSK.OOt7ElPSyoLhi8xNfAzKW-l1cloY-9mntVwdkOeXzd0&amp;qlt=95" TargetMode="External"/><Relationship Id="rId6" Type="http://schemas.openxmlformats.org/officeDocument/2006/relationships/hyperlink" Target="https://www.bing.com/images/search?form=xlimg&amp;q=Berlin/Brandenburg%20Metropolitan%20Region" TargetMode="External"/><Relationship Id="rId11" Type="http://schemas.openxmlformats.org/officeDocument/2006/relationships/hyperlink" Target="https://www.bing.com/th?id=OSK.FWEdXFuIlLFpeioS__UVUYuCTdr0Tvr5mZf4oSaW2FU&amp;qlt=95" TargetMode="External"/><Relationship Id="rId24" Type="http://schemas.openxmlformats.org/officeDocument/2006/relationships/hyperlink" Target="https://www.bing.com/images/search?form=xlimg&amp;q=Schleswig-Holstein" TargetMode="External"/><Relationship Id="rId5" Type="http://schemas.openxmlformats.org/officeDocument/2006/relationships/hyperlink" Target="https://www.bing.com/th?id=OSK.b51ff7ef732f4377496efbab176b8c52&amp;qlt=95" TargetMode="External"/><Relationship Id="rId15" Type="http://schemas.openxmlformats.org/officeDocument/2006/relationships/hyperlink" Target="https://www.bing.com/th?id=OSK.SI-ZdQ7XngmKYXCKFOu2J7j6W7yy3st0Uu3vT9_8tdw&amp;qlt=95" TargetMode="External"/><Relationship Id="rId23" Type="http://schemas.openxmlformats.org/officeDocument/2006/relationships/hyperlink" Target="https://www.bing.com/th?id=OSK.Cr1SrwUTk0Nqf2ZCy45b4mmKEMYqw8XzmuzATnPCv8I&amp;qlt=95" TargetMode="External"/><Relationship Id="rId10" Type="http://schemas.openxmlformats.org/officeDocument/2006/relationships/hyperlink" Target="https://www.bing.com/images/search?form=xlimg&amp;q=Hesse" TargetMode="External"/><Relationship Id="rId19" Type="http://schemas.openxmlformats.org/officeDocument/2006/relationships/hyperlink" Target="https://www.bing.com/th?id=OSK.a59d47b961ae27322366e72c541c772c&amp;qlt=95" TargetMode="External"/><Relationship Id="rId4" Type="http://schemas.openxmlformats.org/officeDocument/2006/relationships/hyperlink" Target="https://www.bing.com/images/search?form=xlimg&amp;q=Bavaria" TargetMode="External"/><Relationship Id="rId9" Type="http://schemas.openxmlformats.org/officeDocument/2006/relationships/hyperlink" Target="https://www.bing.com/th?id=OSK.q8ipaaou0irzylzuJT_2cGwkLTGGlN1nzAjCv0mMLWk&amp;qlt=95" TargetMode="External"/><Relationship Id="rId14" Type="http://schemas.openxmlformats.org/officeDocument/2006/relationships/hyperlink" Target="https://www.bing.com/images/search?form=xlimg&amp;q=Lower%20Saxony" TargetMode="External"/><Relationship Id="rId22" Type="http://schemas.openxmlformats.org/officeDocument/2006/relationships/hyperlink" Target="https://www.bing.com/images/search?form=xlimg&amp;q=Saxony" TargetMode="External"/></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types>
    <type name="_linkedentity2">
      <keyFlags>
        <key name="%EntityServiceId">
          <flag name="ShowInCardView" value="0"/>
          <flag name="ShowInDotNotation" value="0"/>
          <flag name="ShowInAutoComplete" value="0"/>
        </key>
        <key name="%EntityCulture">
          <flag name="ShowInCardView" value="0"/>
          <flag name="ShowInDotNotation" value="0"/>
          <flag name="ShowInAutoComplete" value="0"/>
        </key>
        <key name="%EntityId">
          <flag name="ShowInCardView" value="0"/>
          <flag name="ShowInDotNotation" value="0"/>
          <flag name="ShowInAutoComplete" value="0"/>
        </key>
        <key name="%cvi">
          <flag name="ShowInCardView" value="0"/>
          <flag name="ShowInDotNotation" value="0"/>
          <flag name="ShowInAutoComplete" value="0"/>
          <flag name="ExcludeFromCalcComparison" value="1"/>
        </key>
      </keyFlags>
    </type>
    <type name="_linkedentity2core">
      <keyFlags>
        <key name="%EntityServiceId">
          <flag name="ShowInCardView" value="0"/>
          <flag name="ShowInDotNotation" value="0"/>
          <flag name="ShowInAutoComplete" value="0"/>
        </key>
        <key name="%EntityCulture">
          <flag name="ShowInCardView" value="0"/>
          <flag name="ShowInDotNotation" value="0"/>
          <flag name="ShowInAutoComplete" value="0"/>
        </key>
        <key name="%EntityId">
          <flag name="ShowInCardView" value="0"/>
          <flag name="ShowInDotNotation" value="0"/>
          <flag name="ShowInAutoComplete" value="0"/>
        </key>
        <key name="%IsRefreshable">
          <flag name="ShowInCardView" value="0"/>
          <flag name="ShowInDotNotation" value="0"/>
          <flag name="ShowInAutoComplete" value="0"/>
          <flag name="ExcludeFromCalcComparison" value="1"/>
        </key>
        <key name="%ProviderInfo">
          <flag name="ShowInCardView" value="0"/>
          <flag name="ShowInDotNotation" value="0"/>
          <flag name="ShowInAutoComplete" value="0"/>
        </key>
        <key name="%DataProviderExternalLinkLogo">
          <flag name="ShowInCardView" value="0"/>
          <flag name="ShowInDotNotation" value="0"/>
          <flag name="ShowInAutoComplete" value="0"/>
        </key>
        <key name="%DataProviderExternalLink">
          <flag name="ShowInCardView" value="0"/>
          <flag name="ShowInDotNotation" value="0"/>
          <flag name="ShowInAutoComplete" value="0"/>
        </key>
        <key name="%DataRetrievedTime">
          <flag name="ShowInCardView" value="0"/>
          <flag name="ShowInDotNotation" value="0"/>
          <flag name="ShowInAutoComplete" value="0"/>
          <flag name="ExcludeFromCalcComparison" value="1"/>
        </key>
        <key name="%EntityDomainIdString">
          <flag name="ShowInCardView" value="0"/>
          <flag name="ShowInDotNotation" value="0"/>
          <flag name="ShowInAutoComplete" value="0"/>
        </key>
        <key name="%InfoToolTipLabelNames">
          <flag name="ShowInCardView" value="0"/>
          <flag name="ShowInDotNotation" value="0"/>
          <flag name="ShowInAutoComplete" value="0"/>
        </key>
        <key name="%InfoToolTipLabelValues">
          <flag name="ShowInCardView" value="0"/>
          <flag name="ShowInDotNotation" value="0"/>
          <flag name="ShowInAutoComplete" value="0"/>
        </key>
        <key name="%InfoToolTipLabelValuesType">
          <flag name="ShowInCardView" value="0"/>
          <flag name="ShowInDotNotation" value="0"/>
          <flag name="ShowInAutoComplete" value="0"/>
        </key>
        <key name="%DataProviderString">
          <flag name="ShowInCardView" value="0"/>
          <flag name="ShowInDotNotation" value="0"/>
          <flag name="ShowInAutoComplete" value="0"/>
        </key>
        <key name="%ClassificationId">
          <flag name="ShowInCardView" value="0"/>
          <flag name="ShowInDotNotation" value="0"/>
          <flag name="ShowInAutoComplete" value="0"/>
        </key>
        <key name="%OutdatedReason">
          <flag name="ShowInCardView" value="0"/>
          <flag name="ShowInDotNotation" value="0"/>
          <flag name="ShowInAutoComplete" value="0"/>
          <flag name="ExcludeFromCalcComparison" value="1"/>
        </key>
      </keyFlags>
    </type>
    <type name="_webimage">
      <keyFlags>
        <key name="WebImageIdentifier">
          <flag name="ShowInCardView" value="0"/>
        </key>
      </keyFlags>
    </type>
  </types>
</rvTypesInfo>
</file>

<file path=xl/richData/rdRichValueWebImage.xml><?xml version="1.0" encoding="utf-8"?>
<webImagesSrd xmlns="http://schemas.microsoft.com/office/spreadsheetml/2020/richdatawebimage" xmlns:r="http://schemas.openxmlformats.org/officeDocument/2006/relationships">
  <webImageSrd>
    <address r:id="rId1"/>
    <moreImagesAddress r:id="rId2"/>
  </webImageSrd>
  <webImageSrd>
    <address r:id="rId3"/>
    <moreImagesAddress r:id="rId4"/>
  </webImageSrd>
  <webImageSrd>
    <address r:id="rId5"/>
    <moreImagesAddress r:id="rId6"/>
  </webImageSrd>
  <webImageSrd>
    <address r:id="rId7"/>
    <moreImagesAddress r:id="rId8"/>
  </webImageSrd>
  <webImageSrd>
    <address r:id="rId9"/>
    <moreImagesAddress r:id="rId10"/>
  </webImageSrd>
  <webImageSrd>
    <address r:id="rId11"/>
    <moreImagesAddress r:id="rId12"/>
  </webImageSrd>
  <webImageSrd>
    <address r:id="rId13"/>
    <moreImagesAddress r:id="rId14"/>
  </webImageSrd>
  <webImageSrd>
    <address r:id="rId15"/>
    <moreImagesAddress r:id="rId16"/>
  </webImageSrd>
  <webImageSrd>
    <address r:id="rId17"/>
    <moreImagesAddress r:id="rId18"/>
  </webImageSrd>
  <webImageSrd>
    <address r:id="rId19"/>
    <moreImagesAddress r:id="rId20"/>
  </webImageSrd>
  <webImageSrd>
    <address r:id="rId21"/>
    <moreImagesAddress r:id="rId22"/>
  </webImageSrd>
  <webImageSrd>
    <address r:id="rId23"/>
    <moreImagesAddress r:id="rId24"/>
  </webImageSrd>
</webImagesSrd>
</file>

<file path=xl/richData/rdarray.xml><?xml version="1.0" encoding="utf-8"?>
<arrayData xmlns="http://schemas.microsoft.com/office/spreadsheetml/2017/richdata2" count="5">
  <a r="2">
    <v t="s">Standard German</v>
    <v t="s">Bavarian language</v>
  </a>
  <a r="1">
    <v t="s">Central European Time</v>
  </a>
  <a r="1">
    <v t="s">Central European Time Zone</v>
  </a>
  <a r="2">
    <v t="r">38</v>
    <v t="r">39</v>
  </a>
  <a r="1">
    <v t="r">95</v>
  </a>
</arrayData>
</file>

<file path=xl/richData/rdrichvalue.xml><?xml version="1.0" encoding="utf-8"?>
<rvData xmlns="http://schemas.microsoft.com/office/spreadsheetml/2017/richdata" count="132">
  <rv s="0">
    <v>536870912</v>
    <v>Baden-Württemberg</v>
    <v>e4767d1d-15fd-a8bd-1fcd-f8214d3c189f</v>
    <v>en-GB</v>
    <v>Map</v>
  </rv>
  <rv s="1">
    <fb>35751.65</fb>
    <v>10</v>
  </rv>
  <rv s="0">
    <v>536870912</v>
    <v>Stuttgart</v>
    <v>6323a450-61f6-0308-0285-94efb41bdd40</v>
    <v>en-GB</v>
    <v>Map</v>
  </rv>
  <rv s="0">
    <v>536870912</v>
    <v>Germany</v>
    <v>75c62d8e-1449-4e4d-b188-d9e88f878dd9</v>
    <v>en-GB</v>
    <v>Map</v>
  </rv>
  <rv s="1">
    <fb>4709228</fb>
    <v>10</v>
  </rv>
  <rv s="1">
    <fb>5049037</fb>
    <v>10</v>
  </rv>
  <rv s="2">
    <v>0</v>
    <v>8</v>
    <v>0</v>
    <v>7</v>
    <v>0</v>
    <v>Image of Baden-Württemberg</v>
  </rv>
  <rv s="3">
    <v>https://www.bing.com/search?q=baden-w%c3%bcrttemberg&amp;form=skydnc</v>
    <v>Learn more on Bing</v>
  </rv>
  <rv s="1">
    <fb>2.23</fb>
    <v>11</v>
  </rv>
  <rv s="1">
    <fb>11069533</fb>
    <v>10</v>
  </rv>
  <rv s="4">
    <v>#VALUE!</v>
    <v>3</v>
    <v>4</v>
    <v>Baden-Württemberg</v>
    <v>6</v>
    <v>7</v>
    <v>Map</v>
    <v>8</v>
    <v>9</v>
    <v>en-GB</v>
    <v>e4767d1d-15fd-a8bd-1fcd-f8214d3c189f</v>
    <v>536870912</v>
    <v>1</v>
    <v>DE-BW</v>
    <v>1</v>
    <v>2</v>
    <v>3</v>
    <v>Baden-Württemberg, commonly shortened to BW or BaWü, is a German state in Southwest Germany, east of the Rhine, which forms the southern part of Germany's western border with France. With more than 11.07 million inhabitants as of 2019 across a ...</v>
    <v>4</v>
    <v>5</v>
    <v>6</v>
    <v>2</v>
    <v>7</v>
    <v>Baden-Württemberg</v>
    <v>8</v>
    <v>9</v>
    <v>Baden-Württemberg</v>
    <v>mdp/vdpid/2537</v>
  </rv>
  <rv s="0">
    <v>536870912</v>
    <v>Bavaria</v>
    <v>e4f7e69f-e1bc-189a-d23d-b2ecee6a88d5</v>
    <v>en-GB</v>
    <v>Map</v>
  </rv>
  <rv s="1">
    <fb>70551</fb>
    <v>10</v>
  </rv>
  <rv s="0">
    <v>536870912</v>
    <v>Munich</v>
    <v>7f38f401-452d-d25b-059c-487e14b70a85</v>
    <v>en-GB</v>
    <v>Map</v>
  </rv>
  <rv s="0">
    <v>536870912</v>
    <v>Weimar Republic</v>
    <v>1b97a3af-5813-4734-bd56-920f4af2449c</v>
    <v>en-GB</v>
    <v>Map</v>
  </rv>
  <rv s="1">
    <fb>5679508</fb>
    <v>10</v>
  </rv>
  <rv s="1">
    <fb>6058211</fb>
    <v>10</v>
  </rv>
  <rv s="2">
    <v>1</v>
    <v>8</v>
    <v>12</v>
    <v>7</v>
    <v>0</v>
    <v>Image of Bavaria</v>
  </rv>
  <rv s="3">
    <v>https://www.bing.com/search?q=bavaria+germany&amp;form=skydnc</v>
    <v>Learn more on Bing</v>
  </rv>
  <rv s="5">
    <v>0</v>
  </rv>
  <rv s="1">
    <fb>2.1800000000000002</fb>
    <v>11</v>
  </rv>
  <rv s="1">
    <fb>13124737</fb>
    <v>10</v>
  </rv>
  <rv s="5">
    <v>1</v>
  </rv>
  <rv s="6">
    <v>#VALUE!</v>
    <v>14</v>
    <v>15</v>
    <v>Bavaria</v>
    <v>6</v>
    <v>7</v>
    <v>Map</v>
    <v>8</v>
    <v>16</v>
    <v>en-GB</v>
    <v>e4f7e69f-e1bc-189a-d23d-b2ecee6a88d5</v>
    <v>536870912</v>
    <v>1</v>
    <v>DE-BY</v>
    <v>12</v>
    <v>13</v>
    <v>14</v>
    <v>Bavaria, officially the Free State of Bavaria, is a state in the south-east of Germany. With an area of 70,550.19 km², Bavaria is the largest German state by land area, comprising roughly a fifth of the total land area of Germany. With over 13 ...</v>
    <v>15</v>
    <v>16</v>
    <v>17</v>
    <v>13</v>
    <v>18</v>
    <v>Bavaria</v>
    <v>19</v>
    <v>20</v>
    <v>21</v>
    <v>22</v>
    <v>Bavaria</v>
    <v>mdp/vdpid/8255245</v>
  </rv>
  <rv s="0">
    <v>536870912</v>
    <v>Berlin/Brandenburg Metropolitan Region</v>
    <v>8f4c3cf9-048d-a0f6-0a78-bbdd3b65bcfb</v>
    <v>en-GB</v>
    <v>Map</v>
  </rv>
  <rv s="0">
    <v>536870912</v>
    <v>Berlin</v>
    <v>42784943-7c23-7672-5527-06f89b965cdf</v>
    <v>en-GB</v>
    <v>Map</v>
  </rv>
  <rv s="1">
    <fb>30370.36</fb>
    <v>10</v>
  </rv>
  <rv s="2">
    <v>2</v>
    <v>8</v>
    <v>17</v>
    <v>7</v>
    <v>0</v>
    <v>Image of Berlin/Brandenburg Metropolitan Region</v>
  </rv>
  <rv s="3">
    <v>https://www.bing.com/search?q=berlin%2fbrandenburg+metropolitan+region&amp;form=skydnc</v>
    <v>Learn more on Bing</v>
  </rv>
  <rv s="1">
    <fb>6216845</fb>
    <v>10</v>
  </rv>
  <rv s="5">
    <v>2</v>
  </rv>
  <rv s="7">
    <v>#VALUE!</v>
    <v>18</v>
    <v>19</v>
    <v>Berlin/Brandenburg Metropolitan Region</v>
    <v>20</v>
    <v>7</v>
    <v>Map</v>
    <v>8</v>
    <v>21</v>
    <v>en-GB</v>
    <v>8f4c3cf9-048d-a0f6-0a78-bbdd3b65bcfb</v>
    <v>536870912</v>
    <v>1</v>
    <v>25</v>
    <v>25</v>
    <v>26</v>
    <v>3</v>
    <v>The Berlin/Brandenburg metropolitan region or capital region is one of eleven metropolitan regions of Germany, consisting of the entire territories of the state of Berlin and the surrounding state of Brandenburg. The region covers an area of ...</v>
    <v>27</v>
    <v>28</v>
    <v>Berlin/Brandenburg Metropolitan Region</v>
    <v>29</v>
    <v>30</v>
    <v>Berlin/Brandenburg Metropolitan Region</v>
  </rv>
  <rv s="0">
    <v>536870912</v>
    <v>Hamburg</v>
    <v>0937ec8c-54f7-94c7-d7b8-0ea8c6cfce6f</v>
    <v>en-GB</v>
    <v>Map</v>
  </rv>
  <rv s="1">
    <fb>755.09</fb>
    <v>10</v>
  </rv>
  <rv s="0">
    <v>536870912</v>
    <v>North German Confederation</v>
    <v>0fdff00d-df45-056a-304e-eca9fa962669</v>
    <v>en-GB</v>
    <v>Map</v>
  </rv>
  <rv s="1">
    <fb>876502</fb>
    <v>10</v>
  </rv>
  <rv s="1">
    <fb>905782</fb>
    <v>10</v>
  </rv>
  <rv s="2">
    <v>3</v>
    <v>8</v>
    <v>22</v>
    <v>7</v>
    <v>0</v>
    <v>Image of Hamburg</v>
  </rv>
  <rv s="0">
    <v>805306368</v>
    <v>Peter Tschentscher (Mayor)</v>
    <v>2a23602d-45be-0630-2650-95fb175275d3</v>
    <v>en-GB</v>
    <v>Generic</v>
  </rv>
  <rv s="0">
    <v>805306368</v>
    <v>Katharina Fegebank (Mayor)</v>
    <v>c377ae49-ff24-92fa-c4f2-73ce1e206693</v>
    <v>en-GB</v>
    <v>Generic</v>
  </rv>
  <rv s="5">
    <v>3</v>
  </rv>
  <rv s="3">
    <v>https://www.bing.com/search?q=hamburg+germany&amp;form=skydnc</v>
    <v>Learn more on Bing</v>
  </rv>
  <rv s="1">
    <fb>1.95</fb>
    <v>11</v>
  </rv>
  <rv s="1">
    <fb>1892122</fb>
    <v>10</v>
  </rv>
  <rv s="8">
    <v>#VALUE!</v>
    <v>24</v>
    <v>25</v>
    <v>Hamburg</v>
    <v>6</v>
    <v>7</v>
    <v>Map</v>
    <v>8</v>
    <v>26</v>
    <v>en-GB</v>
    <v>0937ec8c-54f7-94c7-d7b8-0ea8c6cfce6f</v>
    <v>536870912</v>
    <v>1</v>
    <v>DE-HH</v>
    <v>33</v>
    <v>34</v>
    <v>Hamburg, officially the Free and Hanseatic City of Hamburg, is the second-largest city in Germany after Berlin, as well as the overall 8th-largest city and largest non-capital city within the European Union with a population of over 1.9 million. ...</v>
    <v>35</v>
    <v>36</v>
    <v>37</v>
    <v>40</v>
    <v>41</v>
    <v>Hamburg</v>
    <v>42</v>
    <v>43</v>
    <v>Hamburg</v>
    <v>mdp/vdpid/7010772237493993473</v>
  </rv>
  <rv s="0">
    <v>536870912</v>
    <v>Hesse</v>
    <v>90fbe078-3753-40db-ff12-40aa58e76c5f</v>
    <v>en-GB</v>
    <v>Map</v>
  </rv>
  <rv s="1">
    <fb>21100</fb>
    <v>10</v>
  </rv>
  <rv s="0">
    <v>536870912</v>
    <v>Wiesbaden</v>
    <v>02543f78-c4b6-5ca8-1ebf-df5ce4a9c1db</v>
    <v>en-GB</v>
    <v>Map</v>
  </rv>
  <rv s="1">
    <fb>2751100</fb>
    <v>10</v>
  </rv>
  <rv s="1">
    <fb>2925152</fb>
    <v>10</v>
  </rv>
  <rv s="2">
    <v>4</v>
    <v>8</v>
    <v>27</v>
    <v>7</v>
    <v>0</v>
    <v>Image of Hesse</v>
  </rv>
  <rv s="0">
    <v>536870912</v>
    <v>Frankfurt am Main</v>
    <v>f8c5588a-2360-3601-8d88-1b98e4763711</v>
    <v>en-GB</v>
    <v>Map</v>
  </rv>
  <rv s="3">
    <v>https://www.bing.com/search?q=hesse&amp;form=skydnc</v>
    <v>Learn more on Bing</v>
  </rv>
  <rv s="1">
    <fb>2.17</fb>
    <v>11</v>
  </rv>
  <rv s="1">
    <fb>6265809</fb>
    <v>10</v>
  </rv>
  <rv s="4">
    <v>#VALUE!</v>
    <v>30</v>
    <v>4</v>
    <v>Hesse</v>
    <v>6</v>
    <v>7</v>
    <v>Map</v>
    <v>8</v>
    <v>9</v>
    <v>en-GB</v>
    <v>90fbe078-3753-40db-ff12-40aa58e76c5f</v>
    <v>536870912</v>
    <v>1</v>
    <v>DE-HE</v>
    <v>46</v>
    <v>47</v>
    <v>3</v>
    <v>Hesse or Hessia, officially the State of Hesse, is a state in Germany. Its capital city is Wiesbaden, and the largest urban area is Frankfurt, which is also the country's principal financial centre. Two other major historic cities are Darmstadt ...</v>
    <v>48</v>
    <v>49</v>
    <v>50</v>
    <v>51</v>
    <v>52</v>
    <v>Hesse</v>
    <v>53</v>
    <v>54</v>
    <v>Hesse</v>
    <v>mdp/vdpid/8208586</v>
  </rv>
  <rv s="0">
    <v>536870912</v>
    <v>Mecklenburg-Vorpommern</v>
    <v>b0adc1b4-6fe2-3ad0-81e1-78c9ba53cedb</v>
    <v>en-GB</v>
    <v>Map</v>
  </rv>
  <rv s="1">
    <fb>23174</fb>
    <v>10</v>
  </rv>
  <rv s="0">
    <v>536870912</v>
    <v>Schwerin</v>
    <v>db6e2483-5bb5-ae5b-eea6-5e7832e57c60</v>
    <v>en-GB</v>
    <v>Map</v>
  </rv>
  <rv s="1">
    <fb>803002</fb>
    <v>10</v>
  </rv>
  <rv s="1">
    <fb>877014</fb>
    <v>10</v>
  </rv>
  <rv s="2">
    <v>5</v>
    <v>8</v>
    <v>31</v>
    <v>7</v>
    <v>0</v>
    <v>Image of Mecklenburg-Vorpommern</v>
  </rv>
  <rv s="0">
    <v>536870912</v>
    <v>Rostock</v>
    <v>24eab0bd-c5cc-d320-e384-08370cdc8d63</v>
    <v>en-GB</v>
    <v>Map</v>
  </rv>
  <rv s="3">
    <v>https://www.bing.com/search?q=mecklenburg-vorpommern&amp;form=skydnc</v>
    <v>Learn more on Bing</v>
  </rv>
  <rv s="1">
    <fb>2</fb>
    <v>11</v>
  </rv>
  <rv s="1">
    <fb>1628378</fb>
    <v>10</v>
  </rv>
  <rv s="4">
    <v>#VALUE!</v>
    <v>34</v>
    <v>4</v>
    <v>Mecklenburg-Vorpommern</v>
    <v>6</v>
    <v>7</v>
    <v>Map</v>
    <v>8</v>
    <v>26</v>
    <v>en-GB</v>
    <v>b0adc1b4-6fe2-3ad0-81e1-78c9ba53cedb</v>
    <v>536870912</v>
    <v>1</v>
    <v>DE-MV</v>
    <v>57</v>
    <v>58</v>
    <v>3</v>
    <v>Mecklenburg-Vorpommern ; also known by its anglicized name Mecklenburg–Western Pomerania, is a state in the north-east of Germany. Of the country's sixteen states, Mecklenburg-Vorpommern ranks 14th in population; it covers an area of 23,213 km², ...</v>
    <v>59</v>
    <v>60</v>
    <v>61</v>
    <v>62</v>
    <v>63</v>
    <v>Mecklenburg-Vorpommern</v>
    <v>64</v>
    <v>65</v>
    <v>Mecklenburg-Vorpommern</v>
    <v>mdp/vdpid/8175722</v>
  </rv>
  <rv s="0">
    <v>536870912</v>
    <v>Lower Saxony</v>
    <v>c91589e2-9db8-e9f2-b60d-1000c3502bc2</v>
    <v>en-GB</v>
    <v>Map</v>
  </rv>
  <rv s="1">
    <fb>47614.07</fb>
    <v>10</v>
  </rv>
  <rv s="0">
    <v>536870912</v>
    <v>Hanover</v>
    <v>8cbec06b-1881-ae51-6d9c-230e82b37dd8</v>
    <v>en-GB</v>
    <v>Map</v>
  </rv>
  <rv s="1">
    <fb>3517840</fb>
    <v>10</v>
  </rv>
  <rv s="1">
    <fb>3816626</fb>
    <v>10</v>
  </rv>
  <rv s="2">
    <v>6</v>
    <v>8</v>
    <v>35</v>
    <v>7</v>
    <v>0</v>
    <v>Image of Lower Saxony</v>
  </rv>
  <rv s="3">
    <v>https://www.bing.com/search?q=lower+saxony&amp;form=skydnc</v>
    <v>Learn more on Bing</v>
  </rv>
  <rv s="1">
    <fb>2.21</fb>
    <v>11</v>
  </rv>
  <rv s="1">
    <fb>7982448</fb>
    <v>10</v>
  </rv>
  <rv s="4">
    <v>#VALUE!</v>
    <v>38</v>
    <v>4</v>
    <v>Lower Saxony</v>
    <v>6</v>
    <v>7</v>
    <v>Map</v>
    <v>8</v>
    <v>9</v>
    <v>en-GB</v>
    <v>c91589e2-9db8-e9f2-b60d-1000c3502bc2</v>
    <v>536870912</v>
    <v>1</v>
    <v>DE-NI</v>
    <v>68</v>
    <v>69</v>
    <v>3</v>
    <v>Lower Saxony is a German state in northwestern Germany. It is the second-largest state by land area, with 47,614 km², and fourth-largest in population among the 16 Länder federated as the Federal Republic of Germany. In rural areas, Northern Low ...</v>
    <v>70</v>
    <v>71</v>
    <v>72</v>
    <v>69</v>
    <v>73</v>
    <v>Lower Saxony</v>
    <v>74</v>
    <v>75</v>
    <v>Lower Saxony</v>
    <v>mdp/vdpid/23331</v>
  </rv>
  <rv s="0">
    <v>536870912</v>
    <v>North Rhine-Westphalia</v>
    <v>7192ac29-308b-9018-2da7-1d16b5afb233</v>
    <v>en-GB</v>
    <v>Map</v>
  </rv>
  <rv s="1">
    <fb>34112.519999999997</fb>
    <v>10</v>
  </rv>
  <rv s="0">
    <v>536870912</v>
    <v>Düsseldorf</v>
    <v>33a4f320-ea2a-2172-d7c1-31073fc29598</v>
    <v>en-GB</v>
    <v>Map</v>
  </rv>
  <rv s="1">
    <fb>8130738</fb>
    <v>10</v>
  </rv>
  <rv s="1">
    <fb>8719851</fb>
    <v>10</v>
  </rv>
  <rv s="2">
    <v>7</v>
    <v>8</v>
    <v>39</v>
    <v>7</v>
    <v>0</v>
    <v>Image of North Rhine-Westphalia</v>
  </rv>
  <rv s="0">
    <v>536870912</v>
    <v>Cologne</v>
    <v>3d208265-8862-6a4c-8a0e-9c0291fae4ee</v>
    <v>en-GB</v>
    <v>Map</v>
  </rv>
  <rv s="3">
    <v>https://www.bing.com/search?q=north+rhine-westphalia&amp;form=skydnc</v>
    <v>Learn more on Bing</v>
  </rv>
  <rv s="1">
    <fb>2.16</fb>
    <v>11</v>
  </rv>
  <rv s="1">
    <fb>17932651</fb>
    <v>10</v>
  </rv>
  <rv s="4">
    <v>#VALUE!</v>
    <v>41</v>
    <v>4</v>
    <v>North Rhine-Westphalia</v>
    <v>6</v>
    <v>7</v>
    <v>Map</v>
    <v>8</v>
    <v>9</v>
    <v>en-GB</v>
    <v>7192ac29-308b-9018-2da7-1d16b5afb233</v>
    <v>536870912</v>
    <v>1</v>
    <v>DE-NW</v>
    <v>78</v>
    <v>79</v>
    <v>3</v>
    <v>North Rhine-Westphalia or North-Rhine/Westphalia, commonly shortened to NRW, is a state in Western Germany. With more than 18 million inhabitants, it is the most populous state in Germany. Apart from the city-states, it is also the most densely ...</v>
    <v>80</v>
    <v>81</v>
    <v>82</v>
    <v>83</v>
    <v>84</v>
    <v>North Rhine-Westphalia</v>
    <v>85</v>
    <v>86</v>
    <v>North Rhine-Westphalia</v>
    <v>mdp/vdpid/8164991</v>
  </rv>
  <rv s="0">
    <v>536870912</v>
    <v>Rhineland-Palatinate</v>
    <v>b2634da1-26f3-4709-d63d-9f9489a33d9c</v>
    <v>en-GB</v>
    <v>Map</v>
  </rv>
  <rv s="1">
    <fb>19853.36</fb>
    <v>10</v>
  </rv>
  <rv s="0">
    <v>536870912</v>
    <v>Mainz</v>
    <v>06b36c22-b533-291b-5735-d911574f1fc7</v>
    <v>en-GB</v>
    <v>Map</v>
  </rv>
  <rv s="0">
    <v>536870912</v>
    <v>French occupation zone in Germany</v>
    <v>0d2db827-4020-1779-0c71-bfaf8bd12a87</v>
    <v>en-GB</v>
    <v>Map</v>
  </rv>
  <rv s="1">
    <fb>1789030</fb>
    <v>10</v>
  </rv>
  <rv s="1">
    <fb>2002890</fb>
    <v>10</v>
  </rv>
  <rv s="2">
    <v>8</v>
    <v>8</v>
    <v>42</v>
    <v>7</v>
    <v>0</v>
    <v>Image of Rhineland-Palatinate</v>
  </rv>
  <rv s="0">
    <v>805306368</v>
    <v>Malu Dreyer (Prime Minister)</v>
    <v>98b268ad-3031-44e9-aed9-56103005bc18</v>
    <v>en-GB</v>
    <v>Generic</v>
  </rv>
  <rv s="5">
    <v>4</v>
  </rv>
  <rv s="3">
    <v>https://www.bing.com/search?q=rhineland-palatinate&amp;form=skydnc</v>
    <v>Learn more on Bing</v>
  </rv>
  <rv s="1">
    <fb>4084844</fb>
    <v>10</v>
  </rv>
  <rv s="9">
    <v>#VALUE!</v>
    <v>45</v>
    <v>46</v>
    <v>Rhineland-Palatinate</v>
    <v>6</v>
    <v>7</v>
    <v>Map</v>
    <v>8</v>
    <v>9</v>
    <v>en-GB</v>
    <v>b2634da1-26f3-4709-d63d-9f9489a33d9c</v>
    <v>536870912</v>
    <v>1</v>
    <v>DE-RP</v>
    <v>89</v>
    <v>90</v>
    <v>91</v>
    <v>Rhineland-Palatinate is a western state of Germany. It covers 19,846 km² and has about 4.05 million residents. It is the ninth largest and sixth most populous of the sixteen states. Mainz is the capital and largest city. Other cities are ...</v>
    <v>92</v>
    <v>93</v>
    <v>94</v>
    <v>90</v>
    <v>96</v>
    <v>97</v>
    <v>Rhineland-Palatinate</v>
    <v>8</v>
    <v>98</v>
    <v>Rhineland-Palatinate</v>
    <v>mdp/vdpid/27654</v>
  </rv>
  <rv s="0">
    <v>536870912</v>
    <v>Saxony-Anhalt</v>
    <v>6af91c75-020d-7d63-0e2d-ab73f9f73280</v>
    <v>en-GB</v>
    <v>Map</v>
  </rv>
  <rv s="1">
    <fb>20454</fb>
    <v>10</v>
  </rv>
  <rv s="0">
    <v>536870912</v>
    <v>Magdeburg</v>
    <v>6b436202-9997-300f-81f6-a3a14c1faf6f</v>
    <v>en-GB</v>
    <v>Map</v>
  </rv>
  <rv s="1">
    <fb>1127332</fb>
    <v>10</v>
  </rv>
  <rv s="1">
    <fb>1289856</fb>
    <v>10</v>
  </rv>
  <rv s="2">
    <v>9</v>
    <v>8</v>
    <v>47</v>
    <v>7</v>
    <v>0</v>
    <v>Image of Saxony-Anhalt</v>
  </rv>
  <rv s="0">
    <v>536870912</v>
    <v>Halle (Saale)</v>
    <v>9e837cd0-512a-b10c-a9d0-aacc86a0c940</v>
    <v>en-GB</v>
    <v>Map</v>
  </rv>
  <rv s="3">
    <v>https://www.bing.com/search?q=saxony-anhalt&amp;form=skydnc</v>
    <v>Learn more on Bing</v>
  </rv>
  <rv s="1">
    <fb>2.0299999999999998</fb>
    <v>11</v>
  </rv>
  <rv s="1">
    <fb>2194782</fb>
    <v>10</v>
  </rv>
  <rv s="4">
    <v>#VALUE!</v>
    <v>50</v>
    <v>4</v>
    <v>Saxony-Anhalt</v>
    <v>6</v>
    <v>7</v>
    <v>Map</v>
    <v>8</v>
    <v>16</v>
    <v>en-GB</v>
    <v>6af91c75-020d-7d63-0e2d-ab73f9f73280</v>
    <v>536870912</v>
    <v>1</v>
    <v>DE-ST</v>
    <v>101</v>
    <v>102</v>
    <v>3</v>
    <v>Saxony-Anhalt is a state of Germany, bordering the states of Brandenburg, Saxony, Thuringia and Lower Saxony. It covers an area of 20,451.7 square kilometres and has a population of 2.17 million inhabitants, making it the 8th-largest state in ...</v>
    <v>103</v>
    <v>104</v>
    <v>105</v>
    <v>106</v>
    <v>107</v>
    <v>Saxony-Anhalt</v>
    <v>108</v>
    <v>109</v>
    <v>Saxony-Anhalt</v>
    <v>mdp/vdpid/8145597</v>
  </rv>
  <rv s="0">
    <v>536870912</v>
    <v>Saxony</v>
    <v>db04ed86-d227-952f-dbae-2881e92d2d0a</v>
    <v>en-GB</v>
    <v>Map</v>
  </rv>
  <rv s="1">
    <fb>18415.66</fb>
    <v>10</v>
  </rv>
  <rv s="0">
    <v>536870912</v>
    <v>Dresden</v>
    <v>491f25a2-d7d3-715c-d4ca-3d32d56a7670</v>
    <v>en-GB</v>
    <v>Map</v>
  </rv>
  <rv s="1">
    <fb>2048482</fb>
    <v>10</v>
  </rv>
  <rv s="1">
    <fb>2325844</fb>
    <v>10</v>
  </rv>
  <rv s="2">
    <v>10</v>
    <v>8</v>
    <v>51</v>
    <v>7</v>
    <v>0</v>
    <v>Image of Saxony</v>
  </rv>
  <rv s="0">
    <v>536870912</v>
    <v>Leipzig</v>
    <v>ff50f94c-10e8-9487-0ea8-49b8334c589c</v>
    <v>en-GB</v>
    <v>Map</v>
  </rv>
  <rv s="3">
    <v>https://www.bing.com/search?q=saxony&amp;form=skydnc</v>
    <v>Learn more on Bing</v>
  </rv>
  <rv s="1">
    <fb>1.98</fb>
    <v>11</v>
  </rv>
  <rv s="1">
    <fb>4086218</fb>
    <v>10</v>
  </rv>
  <rv s="4">
    <v>#VALUE!</v>
    <v>54</v>
    <v>4</v>
    <v>Saxony</v>
    <v>6</v>
    <v>7</v>
    <v>Map</v>
    <v>8</v>
    <v>26</v>
    <v>en-GB</v>
    <v>db04ed86-d227-952f-dbae-2881e92d2d0a</v>
    <v>536870912</v>
    <v>1</v>
    <v>DE-SN</v>
    <v>112</v>
    <v>113</v>
    <v>3</v>
    <v>Saxony, officially the Free State of Saxony, is a landlocked state of Germany, bordering the states of Brandenburg, Saxony-Anhalt, Thuringia, Bavaria, as well as the countries of Poland and the Czech Republic. Its capital is Dresden, and its ...</v>
    <v>114</v>
    <v>115</v>
    <v>116</v>
    <v>117</v>
    <v>118</v>
    <v>Saxony</v>
    <v>119</v>
    <v>120</v>
    <v>Saxony</v>
    <v>mdp/vdpid/8145598</v>
  </rv>
  <rv s="0">
    <v>536870912</v>
    <v>Schleswig-Holstein</v>
    <v>6dde426c-96c7-18bd-f4e1-b41b7575557a</v>
    <v>en-GB</v>
    <v>Map</v>
  </rv>
  <rv s="1">
    <fb>15804.28</fb>
    <v>10</v>
  </rv>
  <rv s="0">
    <v>536870912</v>
    <v>Kiel</v>
    <v>f2218f64-d98f-3cab-60d5-8f0d625f9ddf</v>
    <v>en-GB</v>
    <v>Map</v>
  </rv>
  <rv s="1">
    <fb>1316303</fb>
    <v>10</v>
  </rv>
  <rv s="1">
    <fb>1417948</fb>
    <v>10</v>
  </rv>
  <rv s="2">
    <v>11</v>
    <v>8</v>
    <v>55</v>
    <v>7</v>
    <v>0</v>
    <v>Image of Schleswig-Holstein</v>
  </rv>
  <rv s="3">
    <v>https://www.bing.com/search?q=schleswig-holstein&amp;form=skydnc</v>
    <v>Learn more on Bing</v>
  </rv>
  <rv s="1">
    <fb>2.13</fb>
    <v>11</v>
  </rv>
  <rv s="1">
    <fb>2953270</fb>
    <v>10</v>
  </rv>
  <rv s="4">
    <v>#VALUE!</v>
    <v>58</v>
    <v>4</v>
    <v>Schleswig-Holstein</v>
    <v>6</v>
    <v>7</v>
    <v>Map</v>
    <v>8</v>
    <v>26</v>
    <v>en-GB</v>
    <v>6dde426c-96c7-18bd-f4e1-b41b7575557a</v>
    <v>536870912</v>
    <v>1</v>
    <v>DE-SH</v>
    <v>123</v>
    <v>124</v>
    <v>3</v>
    <v>Schleswig-Holstein is the northernmost of the 16 states of Germany, comprising most of the historical Duchy of Holstein and the southern part of the former Duchy of Schleswig. Its capital city is Kiel; other notable cities are Lübeck and Flensburg.</v>
    <v>125</v>
    <v>126</v>
    <v>127</v>
    <v>124</v>
    <v>128</v>
    <v>Schleswig-Holstein</v>
    <v>129</v>
    <v>130</v>
    <v>Schleswig-Holstein</v>
    <v>mdp/vdpid/8141652</v>
  </rv>
</rvData>
</file>

<file path=xl/richData/rdrichvaluestructure.xml><?xml version="1.0" encoding="utf-8"?>
<rvStructures xmlns="http://schemas.microsoft.com/office/spreadsheetml/2017/richdata" count="10">
  <s t="_linkedentity2">
    <k n="%EntityServiceId" t="i"/>
    <k n="_DisplayString" t="s"/>
    <k n="%EntityId" t="s"/>
    <k n="%EntityCulture" t="s"/>
    <k n="_Icon" t="s"/>
  </s>
  <s t="_formattednumber">
    <k n="_Format" t="spb"/>
  </s>
  <s t="_webimage">
    <k n="WebImageIdentifier" t="i"/>
    <k n="_Provider" t="spb"/>
    <k n="Attribution" t="spb"/>
    <k n="CalcOrigin" t="i"/>
    <k n="ComputedImage" t="b"/>
    <k n="Text" t="s"/>
  </s>
  <s t="_hyperlink">
    <k n="Address" t="s"/>
    <k n="Text" t="s"/>
  </s>
  <s t="_linkedentity2core">
    <k n="_CRID" t="e"/>
    <k n="_Attribution" t="spb"/>
    <k n="_Display" t="spb"/>
    <k n="_DisplayString" t="s"/>
    <k n="_Flags" t="spb"/>
    <k n="_Format" t="spb"/>
    <k n="_Icon" t="s"/>
    <k n="_Provider" t="spb"/>
    <k n="_SubLabel" t="spb"/>
    <k n="%EntityCulture" t="s"/>
    <k n="%EntityId" t="s"/>
    <k n="%EntityServiceId" t="i"/>
    <k n="%IsRefreshable" t="b"/>
    <k n="Abbreviation" t="s"/>
    <k n="Area" t="r"/>
    <k n="Capital/Major City" t="r"/>
    <k n="Country/region" t="r"/>
    <k n="Description" t="s"/>
    <k n="Households" t="r"/>
    <k n="Housing units" t="r"/>
    <k n="Image" t="r"/>
    <k n="Largest city" t="r"/>
    <k n="LearnMoreOnLink" t="r"/>
    <k n="Name" t="s"/>
    <k n="Persons per household" t="r"/>
    <k n="Population" t="r"/>
    <k n="UniqueName" t="s"/>
    <k n="VDPID/VSID" t="s"/>
  </s>
  <s t="_array">
    <k n="array" t="a"/>
  </s>
  <s t="_linkedentity2core">
    <k n="_CRID" t="e"/>
    <k n="_Attribution" t="spb"/>
    <k n="_Display" t="spb"/>
    <k n="_DisplayString" t="s"/>
    <k n="_Flags" t="spb"/>
    <k n="_Format" t="spb"/>
    <k n="_Icon" t="s"/>
    <k n="_Provider" t="spb"/>
    <k n="_SubLabel" t="spb"/>
    <k n="%EntityCulture" t="s"/>
    <k n="%EntityId" t="s"/>
    <k n="%EntityServiceId" t="i"/>
    <k n="%IsRefreshable" t="b"/>
    <k n="Abbreviation" t="s"/>
    <k n="Area" t="r"/>
    <k n="Capital/Major City" t="r"/>
    <k n="Country/region" t="r"/>
    <k n="Description" t="s"/>
    <k n="Households" t="r"/>
    <k n="Housing units" t="r"/>
    <k n="Image" t="r"/>
    <k n="Largest city" t="r"/>
    <k n="LearnMoreOnLink" t="r"/>
    <k n="Name" t="s"/>
    <k n="Official language" t="r"/>
    <k n="Persons per household" t="r"/>
    <k n="Population" t="r"/>
    <k n="Time zone(s)" t="r"/>
    <k n="UniqueName" t="s"/>
    <k n="VDPID/VSID" t="s"/>
  </s>
  <s t="_linkedentity2core">
    <k n="_CRID" t="e"/>
    <k n="_Attribution" t="spb"/>
    <k n="_Display" t="spb"/>
    <k n="_DisplayString" t="s"/>
    <k n="_Flags" t="spb"/>
    <k n="_Format" t="spb"/>
    <k n="_Icon" t="s"/>
    <k n="_Provider" t="spb"/>
    <k n="_SubLabel" t="spb"/>
    <k n="%EntityCulture" t="s"/>
    <k n="%EntityId" t="s"/>
    <k n="%EntityServiceId" t="i"/>
    <k n="%IsRefreshable" t="b"/>
    <k n="Admin Division 1 (State/province/other)" t="r"/>
    <k n="Admin Division 2 (County/district/other)" t="r"/>
    <k n="Area" t="r"/>
    <k n="Country/region" t="r"/>
    <k n="Description" t="s"/>
    <k n="Image" t="r"/>
    <k n="LearnMoreOnLink" t="r"/>
    <k n="Name" t="s"/>
    <k n="Population" t="r"/>
    <k n="Time zone(s)" t="r"/>
    <k n="UniqueName" t="s"/>
  </s>
  <s t="_linkedentity2core">
    <k n="_CRID" t="e"/>
    <k n="_Attribution" t="spb"/>
    <k n="_Display" t="spb"/>
    <k n="_DisplayString" t="s"/>
    <k n="_Flags" t="spb"/>
    <k n="_Format" t="spb"/>
    <k n="_Icon" t="s"/>
    <k n="_Provider" t="spb"/>
    <k n="_SubLabel" t="spb"/>
    <k n="%EntityCulture" t="s"/>
    <k n="%EntityId" t="s"/>
    <k n="%EntityServiceId" t="i"/>
    <k n="%IsRefreshable" t="b"/>
    <k n="Abbreviation" t="s"/>
    <k n="Area" t="r"/>
    <k n="Country/region" t="r"/>
    <k n="Description" t="s"/>
    <k n="Households" t="r"/>
    <k n="Housing units" t="r"/>
    <k n="Image" t="r"/>
    <k n="Leader(s)" t="r"/>
    <k n="LearnMoreOnLink" t="r"/>
    <k n="Name" t="s"/>
    <k n="Persons per household" t="r"/>
    <k n="Population" t="r"/>
    <k n="UniqueName" t="s"/>
    <k n="VDPID/VSID" t="s"/>
  </s>
  <s t="_linkedentity2core">
    <k n="_CRID" t="e"/>
    <k n="_Attribution" t="spb"/>
    <k n="_Display" t="spb"/>
    <k n="_DisplayString" t="s"/>
    <k n="_Flags" t="spb"/>
    <k n="_Format" t="spb"/>
    <k n="_Icon" t="s"/>
    <k n="_Provider" t="spb"/>
    <k n="_SubLabel" t="spb"/>
    <k n="%EntityCulture" t="s"/>
    <k n="%EntityId" t="s"/>
    <k n="%EntityServiceId" t="i"/>
    <k n="%IsRefreshable" t="b"/>
    <k n="Abbreviation" t="s"/>
    <k n="Area" t="r"/>
    <k n="Capital/Major City" t="r"/>
    <k n="Country/region" t="r"/>
    <k n="Description" t="s"/>
    <k n="Households" t="r"/>
    <k n="Housing units" t="r"/>
    <k n="Image" t="r"/>
    <k n="Largest city" t="r"/>
    <k n="Leader(s)" t="r"/>
    <k n="LearnMoreOnLink" t="r"/>
    <k n="Name" t="s"/>
    <k n="Persons per household" t="r"/>
    <k n="Population" t="r"/>
    <k n="UniqueName" t="s"/>
    <k n="VDPID/VSID" t="s"/>
  </s>
</rvStructures>
</file>

<file path=xl/richData/rdsupportingpropertybag.xml><?xml version="1.0" encoding="utf-8"?>
<supportingPropertyBags xmlns="http://schemas.microsoft.com/office/spreadsheetml/2017/richdata2">
  <spbArrays count="5">
    <a count="27">
      <v t="s">%EntityServiceId</v>
      <v t="s">%IsRefreshable</v>
      <v t="s">%EntityCulture</v>
      <v t="s">%EntityId</v>
      <v t="s">_Icon</v>
      <v t="s">_Provider</v>
      <v t="s">_Attribution</v>
      <v t="s">_Display</v>
      <v t="s">Name</v>
      <v t="s">_Format</v>
      <v t="s">Capital/Major City</v>
      <v t="s">Country/region</v>
      <v t="s">_SubLabel</v>
      <v t="s">Population</v>
      <v t="s">Area</v>
      <v t="s">Abbreviation</v>
      <v t="s">Largest city</v>
      <v t="s">Households</v>
      <v t="s">Housing units</v>
      <v t="s">Persons per household</v>
      <v t="s">_Flags</v>
      <v t="s">VDPID/VSID</v>
      <v t="s">UniqueName</v>
      <v t="s">_DisplayString</v>
      <v t="s">LearnMoreOnLink</v>
      <v t="s">Image</v>
      <v t="s">Description</v>
    </a>
    <a count="29">
      <v t="s">%EntityServiceId</v>
      <v t="s">%IsRefreshable</v>
      <v t="s">%EntityCulture</v>
      <v t="s">%EntityId</v>
      <v t="s">_Icon</v>
      <v t="s">_Provider</v>
      <v t="s">_Attribution</v>
      <v t="s">_Display</v>
      <v t="s">Name</v>
      <v t="s">_Format</v>
      <v t="s">Capital/Major City</v>
      <v t="s">Country/region</v>
      <v t="s">_SubLabel</v>
      <v t="s">Population</v>
      <v t="s">Area</v>
      <v t="s">Abbreviation</v>
      <v t="s">Largest city</v>
      <v t="s">Official language</v>
      <v t="s">Households</v>
      <v t="s">Housing units</v>
      <v t="s">Persons per household</v>
      <v t="s">Time zone(s)</v>
      <v t="s">_Flags</v>
      <v t="s">VDPID/VSID</v>
      <v t="s">UniqueName</v>
      <v t="s">_DisplayString</v>
      <v t="s">LearnMoreOnLink</v>
      <v t="s">Image</v>
      <v t="s">Description</v>
    </a>
    <a count="23">
      <v t="s">%EntityServiceId</v>
      <v t="s">%IsRefreshable</v>
      <v t="s">%EntityCulture</v>
      <v t="s">%EntityId</v>
      <v t="s">_Icon</v>
      <v t="s">_Provider</v>
      <v t="s">_Attribution</v>
      <v t="s">_Display</v>
      <v t="s">Name</v>
      <v t="s">_Format</v>
      <v t="s">Admin Division 2 (County/district/other)</v>
      <v t="s">Admin Division 1 (State/province/other)</v>
      <v t="s">Country/region</v>
      <v t="s">_SubLabel</v>
      <v t="s">Population</v>
      <v t="s">Area</v>
      <v t="s">Time zone(s)</v>
      <v t="s">_Flags</v>
      <v t="s">UniqueName</v>
      <v t="s">_DisplayString</v>
      <v t="s">LearnMoreOnLink</v>
      <v t="s">Image</v>
      <v t="s">Description</v>
    </a>
    <a count="26">
      <v t="s">%EntityServiceId</v>
      <v t="s">%IsRefreshable</v>
      <v t="s">%EntityCulture</v>
      <v t="s">%EntityId</v>
      <v t="s">_Icon</v>
      <v t="s">_Provider</v>
      <v t="s">_Attribution</v>
      <v t="s">_Display</v>
      <v t="s">Name</v>
      <v t="s">_Format</v>
      <v t="s">Leader(s)</v>
      <v t="s">Country/region</v>
      <v t="s">_SubLabel</v>
      <v t="s">Population</v>
      <v t="s">Area</v>
      <v t="s">Abbreviation</v>
      <v t="s">Households</v>
      <v t="s">Housing units</v>
      <v t="s">Persons per household</v>
      <v t="s">_Flags</v>
      <v t="s">VDPID/VSID</v>
      <v t="s">UniqueName</v>
      <v t="s">_DisplayString</v>
      <v t="s">LearnMoreOnLink</v>
      <v t="s">Image</v>
      <v t="s">Description</v>
    </a>
    <a count="28">
      <v t="s">%EntityServiceId</v>
      <v t="s">%IsRefreshable</v>
      <v t="s">%EntityCulture</v>
      <v t="s">%EntityId</v>
      <v t="s">_Icon</v>
      <v t="s">_Provider</v>
      <v t="s">_Attribution</v>
      <v t="s">_Display</v>
      <v t="s">Name</v>
      <v t="s">_Format</v>
      <v t="s">Capital/Major City</v>
      <v t="s">Leader(s)</v>
      <v t="s">Country/region</v>
      <v t="s">_SubLabel</v>
      <v t="s">Population</v>
      <v t="s">Area</v>
      <v t="s">Abbreviation</v>
      <v t="s">Largest city</v>
      <v t="s">Households</v>
      <v t="s">Housing units</v>
      <v t="s">Persons per household</v>
      <v t="s">_Flags</v>
      <v t="s">VDPID/VSID</v>
      <v t="s">UniqueName</v>
      <v t="s">_DisplayString</v>
      <v t="s">LearnMoreOnLink</v>
      <v t="s">Image</v>
      <v t="s">Description</v>
    </a>
  </spbArrays>
  <spbData count="59">
    <spb s="0">
      <v xml:space="preserve">Wikipedia	</v>
      <v xml:space="preserve">CC BY-SA 3.0	</v>
      <v xml:space="preserve">https://en.wikipedia.org/wiki/Baden-W%C3%BCrttemberg	</v>
      <v xml:space="preserve">https://creativecommons.org/licenses/by-sa/3.0	</v>
    </spb>
    <spb s="0">
      <v xml:space="preserve">ergebnisse.zensus2011.de	</v>
      <v xml:space="preserve">	</v>
      <v xml:space="preserve">https://ergebnisse.zensus2011.de/?locale=en#dynTable:statUnit=WOHNUNG;absRel=ANZAHL;ags=01,02,03,04,05,06,07,08,09,10,11,12,13,14,15,16;agsAxis=X;yAxis=ZAHLWOHNGN_HHG	</v>
      <v xml:space="preserve">	</v>
    </spb>
    <spb s="0">
      <v xml:space="preserve">Wikipedia	</v>
      <v xml:space="preserve">CC-BY-SA	</v>
      <v xml:space="preserve">http://en.wikipedia.org/wiki/Baden-Württemberg	</v>
      <v xml:space="preserve">http://creativecommons.org/licenses/by-sa/3.0/	</v>
    </spb>
    <spb s="1">
      <v>0</v>
      <v>0</v>
      <v>1</v>
      <v>0</v>
      <v>0</v>
      <v>0</v>
      <v>2</v>
      <v>0</v>
      <v>1</v>
      <v>0</v>
      <v>0</v>
      <v>1</v>
    </spb>
    <spb s="2">
      <v>0</v>
      <v>Name</v>
      <v>LearnMoreOnLink</v>
    </spb>
    <spb s="3">
      <v>0</v>
      <v>0</v>
      <v>0</v>
    </spb>
    <spb s="4">
      <v>5</v>
      <v>5</v>
      <v>5</v>
    </spb>
    <spb s="5">
      <v>1</v>
      <v>2</v>
    </spb>
    <spb s="6">
      <v>https://www.bing.com</v>
      <v>https://www.bing.com/th?id=Ga%5Cbing_yt.png&amp;w=100&amp;h=40&amp;c=0&amp;pid=0.1</v>
      <v>Powered by Bing</v>
    </spb>
    <spb s="7">
      <v>square km</v>
      <v>2011</v>
      <v>2018</v>
      <v>2011</v>
      <v>2011</v>
    </spb>
    <spb s="8">
      <v>3</v>
    </spb>
    <spb s="8">
      <v>4</v>
    </spb>
    <spb s="0">
      <v xml:space="preserve">Wikipedia	</v>
      <v xml:space="preserve">CC BY-SA 3.0	</v>
      <v xml:space="preserve">https://en.wikipedia.org/wiki/Bavaria	</v>
      <v xml:space="preserve">https://creativecommons.org/licenses/by-sa/3.0	</v>
    </spb>
    <spb s="0">
      <v xml:space="preserve">Wikipedia	</v>
      <v xml:space="preserve">CC-BY-SA	</v>
      <v xml:space="preserve">http://en.wikipedia.org/wiki/Bavaria	</v>
      <v xml:space="preserve">http://creativecommons.org/licenses/by-sa/3.0/	</v>
    </spb>
    <spb s="1">
      <v>12</v>
      <v>12</v>
      <v>1</v>
      <v>12</v>
      <v>12</v>
      <v>12</v>
      <v>13</v>
      <v>12</v>
      <v>1</v>
      <v>12</v>
      <v>12</v>
      <v>1</v>
    </spb>
    <spb s="2">
      <v>1</v>
      <v>Name</v>
      <v>LearnMoreOnLink</v>
    </spb>
    <spb s="7">
      <v>square km</v>
      <v>2011</v>
      <v>2019</v>
      <v>2011</v>
      <v>2011</v>
    </spb>
    <spb s="0">
      <v xml:space="preserve">Wikipedia	</v>
      <v xml:space="preserve">CC BY-SA 3.0	</v>
      <v xml:space="preserve">https://en.wikipedia.org/wiki/Berlin/Brandenburg_Metropolitan_Region	</v>
      <v xml:space="preserve">https://creativecommons.org/licenses/by-sa/3.0	</v>
    </spb>
    <spb s="9">
      <v>17</v>
      <v>17</v>
      <v>17</v>
      <v>17</v>
      <v>17</v>
      <v>17</v>
      <v>17</v>
      <v>17</v>
    </spb>
    <spb s="2">
      <v>2</v>
      <v>Name</v>
      <v>LearnMoreOnLink</v>
    </spb>
    <spb s="10">
      <v>5</v>
      <v>5</v>
    </spb>
    <spb s="11">
      <v>square km</v>
      <v>2024</v>
    </spb>
    <spb s="0">
      <v xml:space="preserve">Wikipedia	</v>
      <v xml:space="preserve">CC BY-SA 3.0	</v>
      <v xml:space="preserve">https://en.wikipedia.org/wiki/Hamburg	</v>
      <v xml:space="preserve">https://creativecommons.org/licenses/by-sa/3.0	</v>
    </spb>
    <spb s="0">
      <v xml:space="preserve">Wikipedia	</v>
      <v xml:space="preserve">CC-BY-SA	</v>
      <v xml:space="preserve">http://en.wikipedia.org/wiki/Hamburg	</v>
      <v xml:space="preserve">http://creativecommons.org/licenses/by-sa/3.0/	</v>
    </spb>
    <spb s="12">
      <v>22</v>
      <v>22</v>
      <v>1</v>
      <v>22</v>
      <v>22</v>
      <v>22</v>
      <v>23</v>
      <v>1</v>
      <v>22</v>
      <v>1</v>
    </spb>
    <spb s="2">
      <v>3</v>
      <v>Name</v>
      <v>LearnMoreOnLink</v>
    </spb>
    <spb s="7">
      <v>square km</v>
      <v>2011</v>
      <v>2022</v>
      <v>2011</v>
      <v>2011</v>
    </spb>
    <spb s="0">
      <v xml:space="preserve">Wikipedia	</v>
      <v xml:space="preserve">CC BY-SA 3.0	</v>
      <v xml:space="preserve">https://en.wikipedia.org/wiki/Hesse	</v>
      <v xml:space="preserve">https://creativecommons.org/licenses/by-sa/3.0	</v>
    </spb>
    <spb s="0">
      <v xml:space="preserve">Wikipedia	</v>
      <v xml:space="preserve">CC-BY-SA	</v>
      <v xml:space="preserve">https://en.wikipedia.org/wiki/Hesse	</v>
      <v xml:space="preserve">http://creativecommons.org/licenses/by-sa/3.0/	</v>
    </spb>
    <spb s="0">
      <v xml:space="preserve">Wikipedia	</v>
      <v xml:space="preserve">CC-BY-SA	</v>
      <v xml:space="preserve">http://en.wikipedia.org/wiki/Hesse	</v>
      <v xml:space="preserve">http://creativecommons.org/licenses/by-sa/3.0/	</v>
    </spb>
    <spb s="1">
      <v>27</v>
      <v>27</v>
      <v>28</v>
      <v>27</v>
      <v>27</v>
      <v>27</v>
      <v>29</v>
      <v>27</v>
      <v>28</v>
      <v>27</v>
      <v>27</v>
      <v>28</v>
    </spb>
    <spb s="0">
      <v xml:space="preserve">Wikipedia	</v>
      <v xml:space="preserve">CC BY-SA 3.0	</v>
      <v xml:space="preserve">https://en.wikipedia.org/wiki/Mecklenburg-Vorpommern	</v>
      <v xml:space="preserve">https://creativecommons.org/licenses/by-sa/3.0	</v>
    </spb>
    <spb s="0">
      <v xml:space="preserve">Britannica	</v>
      <v xml:space="preserve">	</v>
      <v xml:space="preserve">https://www.britannica.com/place/Mecklenburg-West-Pomerania	</v>
      <v xml:space="preserve">	</v>
    </spb>
    <spb s="0">
      <v xml:space="preserve">Wikipedia	</v>
      <v xml:space="preserve">CC-BY-SA	</v>
      <v xml:space="preserve">http://en.wikipedia.org/wiki/Mecklenburg-Vorpommern	</v>
      <v xml:space="preserve">http://creativecommons.org/licenses/by-sa/3.0/	</v>
    </spb>
    <spb s="1">
      <v>31</v>
      <v>31</v>
      <v>32</v>
      <v>31</v>
      <v>31</v>
      <v>31</v>
      <v>33</v>
      <v>31</v>
      <v>32</v>
      <v>31</v>
      <v>31</v>
      <v>32</v>
    </spb>
    <spb s="0">
      <v xml:space="preserve">Wikipedia	</v>
      <v xml:space="preserve">CC BY-SA 3.0	</v>
      <v xml:space="preserve">https://en.wikipedia.org/wiki/Lower_Saxony	</v>
      <v xml:space="preserve">https://creativecommons.org/licenses/by-sa/3.0	</v>
    </spb>
    <spb s="0">
      <v xml:space="preserve">Wikipedia	</v>
      <v xml:space="preserve">CC-BY-SA	</v>
      <v xml:space="preserve">https://en.wikipedia.org/wiki/Lower_Saxony	</v>
      <v xml:space="preserve">http://creativecommons.org/licenses/by-sa/3.0/	</v>
    </spb>
    <spb s="0">
      <v xml:space="preserve">Wikipedia	</v>
      <v xml:space="preserve">CC-BY-SA	</v>
      <v xml:space="preserve">http://en.wikipedia.org/wiki/Lower_Saxony	</v>
      <v xml:space="preserve">http://creativecommons.org/licenses/by-sa/3.0/	</v>
    </spb>
    <spb s="1">
      <v>35</v>
      <v>35</v>
      <v>36</v>
      <v>35</v>
      <v>35</v>
      <v>35</v>
      <v>37</v>
      <v>35</v>
      <v>36</v>
      <v>35</v>
      <v>35</v>
      <v>36</v>
    </spb>
    <spb s="0">
      <v xml:space="preserve">Wikipedia	</v>
      <v xml:space="preserve">CC BY-SA 3.0	</v>
      <v xml:space="preserve">https://en.wikipedia.org/wiki/North_Rhine-Westphalia	</v>
      <v xml:space="preserve">https://creativecommons.org/licenses/by-sa/3.0	</v>
    </spb>
    <spb s="0">
      <v xml:space="preserve">Wikipedia	</v>
      <v xml:space="preserve">CC-BY-SA	</v>
      <v xml:space="preserve">http://en.wikipedia.org/wiki/North_Rhine-Westphalia	</v>
      <v xml:space="preserve">http://creativecommons.org/licenses/by-sa/3.0/	</v>
    </spb>
    <spb s="1">
      <v>39</v>
      <v>39</v>
      <v>1</v>
      <v>39</v>
      <v>39</v>
      <v>39</v>
      <v>40</v>
      <v>39</v>
      <v>1</v>
      <v>39</v>
      <v>39</v>
      <v>1</v>
    </spb>
    <spb s="0">
      <v xml:space="preserve">Wikipedia	</v>
      <v xml:space="preserve">CC BY-SA 3.0	</v>
      <v xml:space="preserve">https://en.wikipedia.org/wiki/Rhineland-Palatinate	</v>
      <v xml:space="preserve">https://creativecommons.org/licenses/by-sa/3.0	</v>
    </spb>
    <spb s="0">
      <v xml:space="preserve">Wikipedia	</v>
      <v xml:space="preserve">CC-BY-SA	</v>
      <v xml:space="preserve">https://en.wikipedia.org/wiki/Rhineland-Palatinate	</v>
      <v xml:space="preserve">http://creativecommons.org/licenses/by-sa/3.0/	</v>
    </spb>
    <spb s="0">
      <v xml:space="preserve">Wikipedia	</v>
      <v xml:space="preserve">CC-BY-SA	</v>
      <v xml:space="preserve">http://en.wikipedia.org/wiki/Rhineland-Palatinate	</v>
      <v xml:space="preserve">http://creativecommons.org/licenses/by-sa/3.0/	</v>
    </spb>
    <spb s="1">
      <v>42</v>
      <v>42</v>
      <v>43</v>
      <v>42</v>
      <v>42</v>
      <v>42</v>
      <v>44</v>
      <v>42</v>
      <v>43</v>
      <v>42</v>
      <v>42</v>
      <v>43</v>
    </spb>
    <spb s="2">
      <v>4</v>
      <v>Name</v>
      <v>LearnMoreOnLink</v>
    </spb>
    <spb s="0">
      <v xml:space="preserve">Wikipedia	</v>
      <v xml:space="preserve">CC BY-SA 3.0	</v>
      <v xml:space="preserve">https://en.wikipedia.org/wiki/Saxony-Anhalt	</v>
      <v xml:space="preserve">https://creativecommons.org/licenses/by-sa/3.0	</v>
    </spb>
    <spb s="0">
      <v xml:space="preserve">Wikipedia	</v>
      <v xml:space="preserve">CC-BY-SA	</v>
      <v xml:space="preserve">https://en.wikipedia.org/wiki/Saxony-Anhalt	</v>
      <v xml:space="preserve">http://creativecommons.org/licenses/by-sa/3.0/	</v>
    </spb>
    <spb s="0">
      <v xml:space="preserve">Wikipedia	</v>
      <v xml:space="preserve">CC-BY-SA	</v>
      <v xml:space="preserve">http://en.wikipedia.org/wiki/Saxony-Anhalt	</v>
      <v xml:space="preserve">http://creativecommons.org/licenses/by-sa/3.0/	</v>
    </spb>
    <spb s="1">
      <v>47</v>
      <v>47</v>
      <v>48</v>
      <v>47</v>
      <v>47</v>
      <v>47</v>
      <v>49</v>
      <v>47</v>
      <v>48</v>
      <v>47</v>
      <v>47</v>
      <v>48</v>
    </spb>
    <spb s="0">
      <v xml:space="preserve">Wikipedia	</v>
      <v xml:space="preserve">CC BY-SA 3.0	</v>
      <v xml:space="preserve">https://en.wikipedia.org/wiki/Saxony	</v>
      <v xml:space="preserve">https://creativecommons.org/licenses/by-sa/3.0	</v>
    </spb>
    <spb s="0">
      <v xml:space="preserve">Britannica	</v>
      <v xml:space="preserve">	</v>
      <v xml:space="preserve">https://www.britannica.com/place/Saxony-state-Germany	</v>
      <v xml:space="preserve">	</v>
    </spb>
    <spb s="0">
      <v xml:space="preserve">Wikipedia	</v>
      <v xml:space="preserve">CC-BY-SA	</v>
      <v xml:space="preserve">http://en.wikipedia.org/wiki/Saxony	</v>
      <v xml:space="preserve">http://creativecommons.org/licenses/by-sa/3.0/	</v>
    </spb>
    <spb s="1">
      <v>51</v>
      <v>51</v>
      <v>52</v>
      <v>51</v>
      <v>51</v>
      <v>51</v>
      <v>53</v>
      <v>51</v>
      <v>52</v>
      <v>51</v>
      <v>51</v>
      <v>52</v>
    </spb>
    <spb s="0">
      <v xml:space="preserve">Wikipedia	</v>
      <v xml:space="preserve">CC BY-SA 3.0	</v>
      <v xml:space="preserve">https://en.wikipedia.org/wiki/Schleswig-Holstein	</v>
      <v xml:space="preserve">https://creativecommons.org/licenses/by-sa/3.0	</v>
    </spb>
    <spb s="0">
      <v xml:space="preserve">Wikipedia	</v>
      <v xml:space="preserve">CC-BY-SA	</v>
      <v xml:space="preserve">https://en.wikipedia.org/wiki/Schleswig-Holstein	</v>
      <v xml:space="preserve">http://creativecommons.org/licenses/by-sa/3.0/	</v>
    </spb>
    <spb s="0">
      <v xml:space="preserve">Wikipedia	</v>
      <v xml:space="preserve">CC-BY-SA	</v>
      <v xml:space="preserve">http://en.wikipedia.org/wiki/Schleswig-Holstein	</v>
      <v xml:space="preserve">http://creativecommons.org/licenses/by-sa/3.0/	</v>
    </spb>
    <spb s="1">
      <v>55</v>
      <v>55</v>
      <v>56</v>
      <v>55</v>
      <v>55</v>
      <v>55</v>
      <v>57</v>
      <v>55</v>
      <v>56</v>
      <v>55</v>
      <v>55</v>
      <v>56</v>
    </spb>
  </spbData>
</supportingPropertyBags>
</file>

<file path=xl/richData/rdsupportingpropertybagstructure.xml><?xml version="1.0" encoding="utf-8"?>
<spbStructures xmlns="http://schemas.microsoft.com/office/spreadsheetml/2017/richdata2" count="13">
  <s>
    <k n="SourceText" t="s"/>
    <k n="LicenseText" t="s"/>
    <k n="SourceAddress" t="s"/>
    <k n="LicenseAddress" t="s"/>
  </s>
  <s>
    <k n="Area" t="spb"/>
    <k n="Name" t="spb"/>
    <k n="Households" t="spb"/>
    <k n="Population" t="spb"/>
    <k n="UniqueName" t="spb"/>
    <k n="Description" t="spb"/>
    <k n="Abbreviation" t="spb"/>
    <k n="Largest city" t="spb"/>
    <k n="Housing units" t="spb"/>
    <k n="Country/region" t="spb"/>
    <k n="Capital/Major City" t="spb"/>
    <k n="Persons per household" t="spb"/>
  </s>
  <s>
    <k n="^Order" t="spba"/>
    <k n="TitleProperty" t="s"/>
    <k n="SubTitleProperty" t="s"/>
  </s>
  <s>
    <k n="ShowInCardView" t="b"/>
    <k n="ShowInDotNotation" t="b"/>
    <k n="ShowInAutoComplete" t="b"/>
  </s>
  <s>
    <k n="UniqueName" t="spb"/>
    <k n="VDPID/VSID" t="spb"/>
    <k n="LearnMoreOnLink" t="spb"/>
  </s>
  <s>
    <k n="Name" t="i"/>
    <k n="Image" t="i"/>
  </s>
  <s>
    <k n="link" t="s"/>
    <k n="logo" t="s"/>
    <k n="name" t="s"/>
  </s>
  <s>
    <k n="Area" t="s"/>
    <k n="Households" t="s"/>
    <k n="Population" t="s"/>
    <k n="Housing units" t="s"/>
    <k n="Persons per household" t="s"/>
  </s>
  <s>
    <k n="_Self" t="i"/>
  </s>
  <s>
    <k n="Area" t="spb"/>
    <k n="Name" t="spb"/>
    <k n="Population" t="spb"/>
    <k n="UniqueName" t="spb"/>
    <k n="Description" t="spb"/>
    <k n="Country/region" t="spb"/>
    <k n="Admin Division 1 (State/province/other)" t="spb"/>
    <k n="Admin Division 2 (County/district/other)" t="spb"/>
  </s>
  <s>
    <k n="UniqueName" t="spb"/>
    <k n="LearnMoreOnLink" t="spb"/>
  </s>
  <s>
    <k n="Area" t="s"/>
    <k n="Population" t="s"/>
  </s>
  <s>
    <k n="Area" t="spb"/>
    <k n="Name" t="spb"/>
    <k n="Households" t="spb"/>
    <k n="Population" t="spb"/>
    <k n="UniqueName" t="spb"/>
    <k n="Description" t="spb"/>
    <k n="Abbreviation" t="spb"/>
    <k n="Housing units" t="spb"/>
    <k n="Country/region" t="spb"/>
    <k n="Persons per household" t="spb"/>
  </s>
</spbStructures>
</file>

<file path=xl/richData/richStyles.xml><?xml version="1.0" encoding="utf-8"?>
<richStyleSheet xmlns="http://schemas.microsoft.com/office/spreadsheetml/2017/richdata2" xmlns:mc="http://schemas.openxmlformats.org/markup-compatibility/2006" xmlns:x="http://schemas.openxmlformats.org/spreadsheetml/2006/main" mc:Ignorable="x">
  <dxfs count="2">
    <x:dxf>
      <x:numFmt numFmtId="3" formatCode="#,##0"/>
    </x:dxf>
    <x:dxf>
      <x:numFmt numFmtId="2" formatCode="0.00"/>
    </x:dxf>
  </dxfs>
  <richProperties>
    <rPr n="IsTitleField" t="b"/>
    <rPr n="IsHeroField" t="b"/>
    <rPr n="NumberFormat" t="s"/>
  </richProperties>
  <richStyles>
    <rSty>
      <rpv i="0">1</rpv>
    </rSty>
    <rSty>
      <rpv i="1">1</rpv>
    </rSty>
    <rSty dxfid="0">
      <rpv i="2">#,##0</rpv>
    </rSty>
    <rSty dxfid="1">
      <rpv i="2">0.00</rpv>
    </rSty>
  </richStyles>
</richStyleSheet>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blAgeLong" displayName="tblAgeLong" ref="A4:E224">
  <autoFilter ref="A4:E224" xr:uid="{00000000-0009-0000-0100-000001000000}"/>
  <tableColumns count="5">
    <tableColumn id="1" xr3:uid="{00000000-0010-0000-0000-000001000000}" name="Year"/>
    <tableColumn id="2" xr3:uid="{00000000-0010-0000-0000-000002000000}" name="Age band"/>
    <tableColumn id="3" xr3:uid="{00000000-0010-0000-0000-000003000000}" name="Age rank"/>
    <tableColumn id="4" xr3:uid="{00000000-0010-0000-0000-000004000000}" name="Gender"/>
    <tableColumn id="5" xr3:uid="{00000000-0010-0000-0000-000005000000}" name="Players"/>
  </tableColumns>
  <tableStyleInfo name="TableStyleLight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blStatesLong" displayName="tblStatesLong" ref="A4:E1434">
  <autoFilter ref="A4:E1434" xr:uid="{00000000-0009-0000-0100-000002000000}"/>
  <tableColumns count="5">
    <tableColumn id="1" xr3:uid="{00000000-0010-0000-0100-000001000000}" name="Year"/>
    <tableColumn id="2" xr3:uid="{00000000-0010-0000-0100-000002000000}" name="State golf association"/>
    <tableColumn id="3" xr3:uid="{00000000-0010-0000-0100-000003000000}" name="Age band"/>
    <tableColumn id="4" xr3:uid="{00000000-0010-0000-0100-000004000000}" name="Age rank"/>
    <tableColumn id="5" xr3:uid="{00000000-0010-0000-0100-000005000000}" name="Players"/>
  </tableColumns>
  <tableStyleInfo name="TableStyleLight9"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tblHistory" displayName="tblHistory" ref="A4:D79">
  <autoFilter ref="A4:D79" xr:uid="{00000000-0009-0000-0100-000003000000}"/>
  <tableColumns count="4">
    <tableColumn id="1" xr3:uid="{00000000-0010-0000-0200-000001000000}" name="Year"/>
    <tableColumn id="2" xr3:uid="{00000000-0010-0000-0200-000002000000}" name="Clubs"/>
    <tableColumn id="3" xr3:uid="{00000000-0010-0000-0200-000003000000}" name="Players"/>
    <tableColumn id="4" xr3:uid="{00000000-0010-0000-0200-000004000000}" name="Players per club"/>
  </tableColumns>
  <tableStyleInfo name="TableStyleLight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6.xml.rels><?xml version="1.0" encoding="UTF-8" standalone="yes"?>
<Relationships xmlns="http://schemas.openxmlformats.org/package/2006/relationships"><Relationship Id="rId1" Type="http://schemas.openxmlformats.org/officeDocument/2006/relationships/table" Target="../tables/table2.xml"/></Relationships>
</file>

<file path=xl/worksheets/_rels/sheet11.xml.rels><?xml version="1.0" encoding="UTF-8" standalone="yes"?>
<Relationships xmlns="http://schemas.openxmlformats.org/package/2006/relationships"><Relationship Id="rId1" Type="http://schemas.openxmlformats.org/officeDocument/2006/relationships/table" Target="../tables/table3.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50"/>
  <sheetViews>
    <sheetView workbookViewId="0"/>
  </sheetViews>
  <sheetFormatPr baseColWidth="10" defaultColWidth="8.83203125" defaultRowHeight="15" x14ac:dyDescent="0.2"/>
  <cols>
    <col min="1" max="1" width="28" customWidth="1"/>
    <col min="2" max="2" width="95" customWidth="1"/>
  </cols>
  <sheetData>
    <row r="1" spans="1:2" ht="19" x14ac:dyDescent="0.25">
      <c r="A1" s="1" t="s">
        <v>14</v>
      </c>
    </row>
    <row r="2" spans="1:2" x14ac:dyDescent="0.2">
      <c r="A2" s="2" t="s">
        <v>15</v>
      </c>
    </row>
    <row r="4" spans="1:2" x14ac:dyDescent="0.2">
      <c r="A4" s="3"/>
      <c r="B4" s="4"/>
    </row>
    <row r="5" spans="1:2" ht="30" customHeight="1" x14ac:dyDescent="0.2">
      <c r="A5" s="3" t="s">
        <v>16</v>
      </c>
      <c r="B5" s="4" t="s">
        <v>17</v>
      </c>
    </row>
    <row r="6" spans="1:2" ht="16" x14ac:dyDescent="0.2">
      <c r="A6" s="3" t="s">
        <v>18</v>
      </c>
      <c r="B6" s="4" t="s">
        <v>19</v>
      </c>
    </row>
    <row r="7" spans="1:2" ht="16" x14ac:dyDescent="0.2">
      <c r="A7" s="3" t="s">
        <v>20</v>
      </c>
      <c r="B7" s="4" t="s">
        <v>21</v>
      </c>
    </row>
    <row r="8" spans="1:2" ht="16" x14ac:dyDescent="0.2">
      <c r="A8" s="3" t="s">
        <v>22</v>
      </c>
      <c r="B8" s="4" t="s">
        <v>23</v>
      </c>
    </row>
    <row r="9" spans="1:2" x14ac:dyDescent="0.2">
      <c r="A9" s="3"/>
      <c r="B9" s="4"/>
    </row>
    <row r="10" spans="1:2" x14ac:dyDescent="0.2">
      <c r="A10" s="3" t="s">
        <v>24</v>
      </c>
      <c r="B10" s="4"/>
    </row>
    <row r="11" spans="1:2" ht="30" customHeight="1" x14ac:dyDescent="0.2">
      <c r="A11" s="3" t="s">
        <v>25</v>
      </c>
      <c r="B11" s="4" t="s">
        <v>26</v>
      </c>
    </row>
    <row r="12" spans="1:2" ht="30" customHeight="1" x14ac:dyDescent="0.2">
      <c r="A12" s="3" t="s">
        <v>27</v>
      </c>
      <c r="B12" s="4" t="s">
        <v>28</v>
      </c>
    </row>
    <row r="13" spans="1:2" ht="30" customHeight="1" x14ac:dyDescent="0.2">
      <c r="A13" s="3" t="s">
        <v>29</v>
      </c>
      <c r="B13" s="4" t="s">
        <v>30</v>
      </c>
    </row>
    <row r="14" spans="1:2" ht="16" x14ac:dyDescent="0.2">
      <c r="A14" s="3" t="s">
        <v>31</v>
      </c>
      <c r="B14" s="4" t="s">
        <v>32</v>
      </c>
    </row>
    <row r="15" spans="1:2" ht="30" customHeight="1" x14ac:dyDescent="0.2">
      <c r="A15" s="3" t="s">
        <v>33</v>
      </c>
      <c r="B15" s="4" t="s">
        <v>34</v>
      </c>
    </row>
    <row r="16" spans="1:2" ht="30" customHeight="1" x14ac:dyDescent="0.2">
      <c r="A16" s="3" t="s">
        <v>35</v>
      </c>
      <c r="B16" s="4" t="s">
        <v>36</v>
      </c>
    </row>
    <row r="17" spans="1:2" ht="30" customHeight="1" x14ac:dyDescent="0.2">
      <c r="A17" s="3" t="s">
        <v>37</v>
      </c>
      <c r="B17" s="4" t="s">
        <v>38</v>
      </c>
    </row>
    <row r="18" spans="1:2" ht="30" customHeight="1" x14ac:dyDescent="0.2">
      <c r="A18" s="3" t="s">
        <v>39</v>
      </c>
      <c r="B18" s="4" t="s">
        <v>40</v>
      </c>
    </row>
    <row r="19" spans="1:2" ht="16" x14ac:dyDescent="0.2">
      <c r="A19" s="3" t="s">
        <v>41</v>
      </c>
      <c r="B19" s="4" t="s">
        <v>42</v>
      </c>
    </row>
    <row r="20" spans="1:2" ht="16" x14ac:dyDescent="0.2">
      <c r="A20" s="3" t="s">
        <v>43</v>
      </c>
      <c r="B20" s="4" t="s">
        <v>44</v>
      </c>
    </row>
    <row r="21" spans="1:2" ht="16" x14ac:dyDescent="0.2">
      <c r="A21" s="3" t="s">
        <v>45</v>
      </c>
      <c r="B21" s="4" t="s">
        <v>46</v>
      </c>
    </row>
    <row r="22" spans="1:2" ht="30" customHeight="1" x14ac:dyDescent="0.2">
      <c r="A22" s="3" t="s">
        <v>47</v>
      </c>
      <c r="B22" s="4" t="s">
        <v>48</v>
      </c>
    </row>
    <row r="23" spans="1:2" x14ac:dyDescent="0.2">
      <c r="A23" s="3"/>
      <c r="B23" s="4"/>
    </row>
    <row r="24" spans="1:2" ht="30" customHeight="1" x14ac:dyDescent="0.2">
      <c r="A24" s="3" t="s">
        <v>49</v>
      </c>
      <c r="B24" s="4" t="s">
        <v>50</v>
      </c>
    </row>
    <row r="25" spans="1:2" ht="30" customHeight="1" x14ac:dyDescent="0.2">
      <c r="A25" s="3" t="s">
        <v>51</v>
      </c>
      <c r="B25" s="4" t="s">
        <v>52</v>
      </c>
    </row>
    <row r="26" spans="1:2" x14ac:dyDescent="0.2">
      <c r="A26" s="3"/>
      <c r="B26" s="4"/>
    </row>
    <row r="27" spans="1:2" ht="30" customHeight="1" x14ac:dyDescent="0.2">
      <c r="A27" s="3" t="s">
        <v>53</v>
      </c>
      <c r="B27" s="4" t="s">
        <v>54</v>
      </c>
    </row>
    <row r="28" spans="1:2" x14ac:dyDescent="0.2">
      <c r="A28" s="3"/>
      <c r="B28" s="4"/>
    </row>
    <row r="29" spans="1:2" x14ac:dyDescent="0.2">
      <c r="A29" s="3" t="s">
        <v>55</v>
      </c>
      <c r="B29" s="4"/>
    </row>
    <row r="30" spans="1:2" ht="16" x14ac:dyDescent="0.2">
      <c r="A30" s="3" t="s">
        <v>56</v>
      </c>
      <c r="B30" s="4" t="s">
        <v>57</v>
      </c>
    </row>
    <row r="31" spans="1:2" ht="16" x14ac:dyDescent="0.2">
      <c r="A31" s="3" t="s">
        <v>58</v>
      </c>
      <c r="B31" s="4" t="s">
        <v>59</v>
      </c>
    </row>
    <row r="32" spans="1:2" ht="16" x14ac:dyDescent="0.2">
      <c r="A32" s="3" t="s">
        <v>60</v>
      </c>
      <c r="B32" s="4" t="s">
        <v>61</v>
      </c>
    </row>
    <row r="33" spans="1:2" ht="16" x14ac:dyDescent="0.2">
      <c r="A33" s="3" t="s">
        <v>62</v>
      </c>
      <c r="B33" s="4" t="s">
        <v>63</v>
      </c>
    </row>
    <row r="34" spans="1:2" ht="16" x14ac:dyDescent="0.2">
      <c r="A34" s="3" t="s">
        <v>64</v>
      </c>
      <c r="B34" s="4" t="s">
        <v>65</v>
      </c>
    </row>
    <row r="35" spans="1:2" ht="16" x14ac:dyDescent="0.2">
      <c r="A35" s="3" t="s">
        <v>66</v>
      </c>
      <c r="B35" s="4" t="s">
        <v>67</v>
      </c>
    </row>
    <row r="36" spans="1:2" ht="16" x14ac:dyDescent="0.2">
      <c r="A36" s="3" t="s">
        <v>68</v>
      </c>
      <c r="B36" s="4" t="s">
        <v>69</v>
      </c>
    </row>
    <row r="37" spans="1:2" ht="16" x14ac:dyDescent="0.2">
      <c r="A37" s="3" t="s">
        <v>70</v>
      </c>
      <c r="B37" s="4" t="s">
        <v>71</v>
      </c>
    </row>
    <row r="38" spans="1:2" ht="16" x14ac:dyDescent="0.2">
      <c r="A38" s="3" t="s">
        <v>72</v>
      </c>
      <c r="B38" s="4" t="s">
        <v>73</v>
      </c>
    </row>
    <row r="39" spans="1:2" ht="16" x14ac:dyDescent="0.2">
      <c r="A39" s="3" t="s">
        <v>74</v>
      </c>
      <c r="B39" s="4" t="s">
        <v>75</v>
      </c>
    </row>
    <row r="40" spans="1:2" ht="16" x14ac:dyDescent="0.2">
      <c r="A40" s="3" t="s">
        <v>76</v>
      </c>
      <c r="B40" s="4" t="s">
        <v>77</v>
      </c>
    </row>
    <row r="41" spans="1:2" ht="16" x14ac:dyDescent="0.2">
      <c r="A41" s="3" t="s">
        <v>78</v>
      </c>
      <c r="B41" s="4" t="s">
        <v>79</v>
      </c>
    </row>
    <row r="42" spans="1:2" ht="16" x14ac:dyDescent="0.2">
      <c r="A42" s="3" t="s">
        <v>80</v>
      </c>
      <c r="B42" s="4" t="s">
        <v>81</v>
      </c>
    </row>
    <row r="43" spans="1:2" ht="16" x14ac:dyDescent="0.2">
      <c r="A43" s="3" t="s">
        <v>82</v>
      </c>
      <c r="B43" s="4" t="s">
        <v>83</v>
      </c>
    </row>
    <row r="44" spans="1:2" x14ac:dyDescent="0.2">
      <c r="A44" s="3"/>
      <c r="B44" s="4"/>
    </row>
    <row r="45" spans="1:2" ht="30" customHeight="1" x14ac:dyDescent="0.2">
      <c r="A45" s="3" t="s">
        <v>84</v>
      </c>
      <c r="B45" s="4" t="s">
        <v>85</v>
      </c>
    </row>
    <row r="46" spans="1:2" ht="30" customHeight="1" x14ac:dyDescent="0.2">
      <c r="A46" s="3" t="s">
        <v>86</v>
      </c>
      <c r="B46" s="4" t="s">
        <v>87</v>
      </c>
    </row>
    <row r="47" spans="1:2" ht="16" x14ac:dyDescent="0.2">
      <c r="A47" s="3" t="s">
        <v>88</v>
      </c>
      <c r="B47" s="4" t="s">
        <v>89</v>
      </c>
    </row>
    <row r="48" spans="1:2" ht="30" customHeight="1" x14ac:dyDescent="0.2">
      <c r="A48" s="3" t="s">
        <v>90</v>
      </c>
      <c r="B48" s="4" t="s">
        <v>91</v>
      </c>
    </row>
    <row r="49" spans="1:2" ht="30" customHeight="1" x14ac:dyDescent="0.2">
      <c r="A49" s="3" t="s">
        <v>92</v>
      </c>
      <c r="B49" s="4" t="s">
        <v>93</v>
      </c>
    </row>
    <row r="50" spans="1:2" ht="16" x14ac:dyDescent="0.2">
      <c r="A50" s="3" t="s">
        <v>94</v>
      </c>
      <c r="B50" s="4" t="s">
        <v>95</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K14"/>
  <sheetViews>
    <sheetView workbookViewId="0"/>
  </sheetViews>
  <sheetFormatPr baseColWidth="10" defaultColWidth="8.83203125" defaultRowHeight="15" x14ac:dyDescent="0.2"/>
  <cols>
    <col min="1" max="1" width="9" customWidth="1"/>
    <col min="2" max="5" width="13" customWidth="1"/>
    <col min="6" max="6" width="11" customWidth="1"/>
    <col min="7" max="10" width="13" customWidth="1"/>
    <col min="11" max="11" width="14" customWidth="1"/>
  </cols>
  <sheetData>
    <row r="1" spans="1:11" ht="19" x14ac:dyDescent="0.25">
      <c r="A1" s="1" t="s">
        <v>96</v>
      </c>
    </row>
    <row r="2" spans="1:11" x14ac:dyDescent="0.2">
      <c r="A2" s="2" t="s">
        <v>97</v>
      </c>
    </row>
    <row r="4" spans="1:11" ht="30" customHeight="1" x14ac:dyDescent="0.2">
      <c r="A4" s="5" t="s">
        <v>98</v>
      </c>
      <c r="B4" s="5" t="s">
        <v>99</v>
      </c>
      <c r="C4" s="5" t="s">
        <v>100</v>
      </c>
      <c r="D4" s="5" t="s">
        <v>101</v>
      </c>
      <c r="E4" s="5" t="s">
        <v>102</v>
      </c>
      <c r="F4" s="5" t="s">
        <v>103</v>
      </c>
      <c r="G4" s="5" t="s">
        <v>104</v>
      </c>
      <c r="H4" s="5" t="s">
        <v>105</v>
      </c>
      <c r="I4" s="5" t="s">
        <v>106</v>
      </c>
      <c r="J4" s="5" t="s">
        <v>107</v>
      </c>
      <c r="K4" s="5" t="s">
        <v>108</v>
      </c>
    </row>
    <row r="5" spans="1:11" x14ac:dyDescent="0.2">
      <c r="A5" s="6">
        <v>2016</v>
      </c>
      <c r="B5" s="7">
        <v>643158</v>
      </c>
      <c r="C5" s="7">
        <v>406551</v>
      </c>
      <c r="D5" s="7">
        <v>236607</v>
      </c>
      <c r="E5" s="8">
        <f t="shared" ref="E5:E14" si="0">D5/B5</f>
        <v>0.36788316401257543</v>
      </c>
      <c r="F5" s="7"/>
      <c r="G5" s="9"/>
      <c r="H5" s="7">
        <v>847</v>
      </c>
      <c r="I5" s="7">
        <v>732</v>
      </c>
      <c r="J5" s="10">
        <f t="shared" ref="J5:J14" si="1">B5/I5</f>
        <v>878.63114754098365</v>
      </c>
      <c r="K5" s="10">
        <f t="shared" ref="K5:K14" si="2">B5/$B$5*100</f>
        <v>100</v>
      </c>
    </row>
    <row r="6" spans="1:11" x14ac:dyDescent="0.2">
      <c r="A6" s="6">
        <v>2017</v>
      </c>
      <c r="B6" s="7">
        <v>644943</v>
      </c>
      <c r="C6" s="7">
        <v>408960</v>
      </c>
      <c r="D6" s="7">
        <v>235983</v>
      </c>
      <c r="E6" s="8">
        <f t="shared" si="0"/>
        <v>0.36589745140268209</v>
      </c>
      <c r="F6" s="7">
        <f t="shared" ref="F6:F14" si="3">B6-B5</f>
        <v>1785</v>
      </c>
      <c r="G6" s="9">
        <f t="shared" ref="G6:G14" si="4">IFERROR(F6/B5,"")</f>
        <v>2.7753677945388227E-3</v>
      </c>
      <c r="H6" s="7">
        <v>843</v>
      </c>
      <c r="I6" s="7">
        <v>731</v>
      </c>
      <c r="J6" s="10">
        <f t="shared" si="1"/>
        <v>882.27496580027355</v>
      </c>
      <c r="K6" s="10">
        <f t="shared" si="2"/>
        <v>100.27753677945388</v>
      </c>
    </row>
    <row r="7" spans="1:11" x14ac:dyDescent="0.2">
      <c r="A7" s="6">
        <v>2018</v>
      </c>
      <c r="B7" s="7">
        <v>642240</v>
      </c>
      <c r="C7" s="7">
        <v>408103</v>
      </c>
      <c r="D7" s="7">
        <v>234137</v>
      </c>
      <c r="E7" s="8">
        <f t="shared" si="0"/>
        <v>0.3645630916791231</v>
      </c>
      <c r="F7" s="7">
        <f t="shared" si="3"/>
        <v>-2703</v>
      </c>
      <c r="G7" s="9">
        <f t="shared" si="4"/>
        <v>-4.1910680478739982E-3</v>
      </c>
      <c r="H7" s="7">
        <v>840</v>
      </c>
      <c r="I7" s="7">
        <v>730</v>
      </c>
      <c r="J7" s="10">
        <f t="shared" si="1"/>
        <v>879.78082191780823</v>
      </c>
      <c r="K7" s="10">
        <f t="shared" si="2"/>
        <v>99.857266799138003</v>
      </c>
    </row>
    <row r="8" spans="1:11" x14ac:dyDescent="0.2">
      <c r="A8" s="6">
        <v>2019</v>
      </c>
      <c r="B8" s="7">
        <v>642677</v>
      </c>
      <c r="C8" s="7">
        <v>409205</v>
      </c>
      <c r="D8" s="7">
        <v>233472</v>
      </c>
      <c r="E8" s="8">
        <f t="shared" si="0"/>
        <v>0.3632804659261184</v>
      </c>
      <c r="F8" s="7">
        <f t="shared" si="3"/>
        <v>437</v>
      </c>
      <c r="G8" s="9">
        <f t="shared" si="4"/>
        <v>6.8043099152964625E-4</v>
      </c>
      <c r="H8" s="7">
        <v>832</v>
      </c>
      <c r="I8" s="7">
        <v>722</v>
      </c>
      <c r="J8" s="10">
        <f t="shared" si="1"/>
        <v>890.13434903047096</v>
      </c>
      <c r="K8" s="10">
        <f t="shared" si="2"/>
        <v>99.925212778197576</v>
      </c>
    </row>
    <row r="9" spans="1:11" x14ac:dyDescent="0.2">
      <c r="A9" s="6">
        <v>2020</v>
      </c>
      <c r="B9" s="7">
        <v>651417</v>
      </c>
      <c r="C9" s="7">
        <v>416016</v>
      </c>
      <c r="D9" s="7">
        <v>235401</v>
      </c>
      <c r="E9" s="8">
        <f t="shared" si="0"/>
        <v>0.36136760324032069</v>
      </c>
      <c r="F9" s="7">
        <f t="shared" si="3"/>
        <v>8740</v>
      </c>
      <c r="G9" s="9">
        <f t="shared" si="4"/>
        <v>1.3599366400229043E-2</v>
      </c>
      <c r="H9" s="7">
        <v>825</v>
      </c>
      <c r="I9" s="7">
        <v>720</v>
      </c>
      <c r="J9" s="10">
        <f t="shared" si="1"/>
        <v>904.74583333333328</v>
      </c>
      <c r="K9" s="10">
        <f t="shared" si="2"/>
        <v>101.28413235938913</v>
      </c>
    </row>
    <row r="10" spans="1:11" x14ac:dyDescent="0.2">
      <c r="A10" s="6">
        <v>2021</v>
      </c>
      <c r="B10" s="7">
        <v>673983</v>
      </c>
      <c r="C10" s="7">
        <v>431818</v>
      </c>
      <c r="D10" s="7">
        <v>242165</v>
      </c>
      <c r="E10" s="8">
        <f t="shared" si="0"/>
        <v>0.3593043147972575</v>
      </c>
      <c r="F10" s="7">
        <f t="shared" si="3"/>
        <v>22566</v>
      </c>
      <c r="G10" s="9">
        <f t="shared" si="4"/>
        <v>3.4641404814427623E-2</v>
      </c>
      <c r="H10" s="7">
        <v>825</v>
      </c>
      <c r="I10" s="7">
        <v>720</v>
      </c>
      <c r="J10" s="10">
        <f t="shared" si="1"/>
        <v>936.08749999999998</v>
      </c>
      <c r="K10" s="10">
        <f t="shared" si="2"/>
        <v>104.79275698972882</v>
      </c>
    </row>
    <row r="11" spans="1:11" x14ac:dyDescent="0.2">
      <c r="A11" s="6">
        <v>2022</v>
      </c>
      <c r="B11" s="7">
        <v>682942</v>
      </c>
      <c r="C11" s="7">
        <v>438469</v>
      </c>
      <c r="D11" s="7">
        <v>244473</v>
      </c>
      <c r="E11" s="8">
        <f t="shared" si="0"/>
        <v>0.35797036937250892</v>
      </c>
      <c r="F11" s="7">
        <f t="shared" si="3"/>
        <v>8959</v>
      </c>
      <c r="G11" s="9">
        <f t="shared" si="4"/>
        <v>1.32926201402706E-2</v>
      </c>
      <c r="H11" s="7">
        <v>827</v>
      </c>
      <c r="I11" s="7">
        <v>729</v>
      </c>
      <c r="J11" s="10">
        <f t="shared" si="1"/>
        <v>936.82030178326477</v>
      </c>
      <c r="K11" s="10">
        <f t="shared" si="2"/>
        <v>106.18572730184496</v>
      </c>
    </row>
    <row r="12" spans="1:11" x14ac:dyDescent="0.2">
      <c r="A12" s="6">
        <v>2023</v>
      </c>
      <c r="B12" s="7">
        <v>682126</v>
      </c>
      <c r="C12" s="7">
        <v>439793</v>
      </c>
      <c r="D12" s="7">
        <v>242333</v>
      </c>
      <c r="E12" s="8">
        <f t="shared" si="0"/>
        <v>0.35526134467825593</v>
      </c>
      <c r="F12" s="7">
        <f t="shared" si="3"/>
        <v>-816</v>
      </c>
      <c r="G12" s="9">
        <f t="shared" si="4"/>
        <v>-1.1948306005488021E-3</v>
      </c>
      <c r="H12" s="7">
        <v>821</v>
      </c>
      <c r="I12" s="7">
        <v>725</v>
      </c>
      <c r="J12" s="10">
        <f t="shared" si="1"/>
        <v>940.86344827586208</v>
      </c>
      <c r="K12" s="10">
        <f t="shared" si="2"/>
        <v>106.05885334552319</v>
      </c>
    </row>
    <row r="13" spans="1:11" x14ac:dyDescent="0.2">
      <c r="A13" s="6">
        <v>2024</v>
      </c>
      <c r="B13" s="7">
        <v>686708</v>
      </c>
      <c r="C13" s="7">
        <v>445369</v>
      </c>
      <c r="D13" s="7">
        <v>241339</v>
      </c>
      <c r="E13" s="8">
        <f t="shared" si="0"/>
        <v>0.35144340826086196</v>
      </c>
      <c r="F13" s="7">
        <f t="shared" si="3"/>
        <v>4582</v>
      </c>
      <c r="G13" s="9">
        <f t="shared" si="4"/>
        <v>6.7172340593966507E-3</v>
      </c>
      <c r="H13" s="7">
        <v>821</v>
      </c>
      <c r="I13" s="7">
        <v>726</v>
      </c>
      <c r="J13" s="10">
        <f t="shared" si="1"/>
        <v>945.87878787878788</v>
      </c>
      <c r="K13" s="10">
        <f t="shared" si="2"/>
        <v>106.77127548751628</v>
      </c>
    </row>
    <row r="14" spans="1:11" x14ac:dyDescent="0.2">
      <c r="A14" s="6">
        <v>2025</v>
      </c>
      <c r="B14" s="7">
        <v>695617</v>
      </c>
      <c r="C14" s="7">
        <v>454062</v>
      </c>
      <c r="D14" s="7">
        <v>241555</v>
      </c>
      <c r="E14" s="8">
        <f t="shared" si="0"/>
        <v>0.34725287047326331</v>
      </c>
      <c r="F14" s="7">
        <f t="shared" si="3"/>
        <v>8909</v>
      </c>
      <c r="G14" s="9">
        <f t="shared" si="4"/>
        <v>1.297349091608078E-2</v>
      </c>
      <c r="H14" s="7">
        <v>812</v>
      </c>
      <c r="I14" s="7">
        <v>721</v>
      </c>
      <c r="J14" s="10">
        <f t="shared" si="1"/>
        <v>964.79472954230232</v>
      </c>
      <c r="K14" s="10">
        <f t="shared" si="2"/>
        <v>108.15647166015194</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E17"/>
  <sheetViews>
    <sheetView workbookViewId="0"/>
  </sheetViews>
  <sheetFormatPr baseColWidth="10" defaultColWidth="8.83203125" defaultRowHeight="15" x14ac:dyDescent="0.2"/>
  <cols>
    <col min="1" max="1" width="16" customWidth="1"/>
    <col min="2" max="31" width="10" customWidth="1"/>
  </cols>
  <sheetData>
    <row r="1" spans="1:31" ht="19" x14ac:dyDescent="0.25">
      <c r="A1" s="1" t="s">
        <v>109</v>
      </c>
    </row>
    <row r="2" spans="1:31" x14ac:dyDescent="0.2">
      <c r="A2" s="2" t="s">
        <v>110</v>
      </c>
    </row>
    <row r="4" spans="1:31" x14ac:dyDescent="0.2">
      <c r="A4" s="11" t="s">
        <v>111</v>
      </c>
      <c r="B4" s="37">
        <v>2016</v>
      </c>
      <c r="C4" s="38"/>
      <c r="D4" s="38"/>
      <c r="E4" s="37">
        <v>2017</v>
      </c>
      <c r="F4" s="38"/>
      <c r="G4" s="38"/>
      <c r="H4" s="37">
        <v>2018</v>
      </c>
      <c r="I4" s="38"/>
      <c r="J4" s="38"/>
      <c r="K4" s="37">
        <v>2019</v>
      </c>
      <c r="L4" s="38"/>
      <c r="M4" s="38"/>
      <c r="N4" s="37">
        <v>2020</v>
      </c>
      <c r="O4" s="38"/>
      <c r="P4" s="38"/>
      <c r="Q4" s="37">
        <v>2021</v>
      </c>
      <c r="R4" s="38"/>
      <c r="S4" s="38"/>
      <c r="T4" s="37">
        <v>2022</v>
      </c>
      <c r="U4" s="38"/>
      <c r="V4" s="38"/>
      <c r="W4" s="37">
        <v>2023</v>
      </c>
      <c r="X4" s="38"/>
      <c r="Y4" s="38"/>
      <c r="Z4" s="37">
        <v>2024</v>
      </c>
      <c r="AA4" s="38"/>
      <c r="AB4" s="38"/>
      <c r="AC4" s="37">
        <v>2025</v>
      </c>
      <c r="AD4" s="38"/>
      <c r="AE4" s="38"/>
    </row>
    <row r="5" spans="1:31" ht="30" customHeight="1" x14ac:dyDescent="0.2">
      <c r="A5" s="5" t="s">
        <v>111</v>
      </c>
      <c r="B5" s="5" t="s">
        <v>100</v>
      </c>
      <c r="C5" s="5" t="s">
        <v>101</v>
      </c>
      <c r="D5" s="5" t="s">
        <v>112</v>
      </c>
      <c r="E5" s="5" t="s">
        <v>100</v>
      </c>
      <c r="F5" s="5" t="s">
        <v>101</v>
      </c>
      <c r="G5" s="5" t="s">
        <v>112</v>
      </c>
      <c r="H5" s="5" t="s">
        <v>100</v>
      </c>
      <c r="I5" s="5" t="s">
        <v>101</v>
      </c>
      <c r="J5" s="5" t="s">
        <v>112</v>
      </c>
      <c r="K5" s="5" t="s">
        <v>100</v>
      </c>
      <c r="L5" s="5" t="s">
        <v>101</v>
      </c>
      <c r="M5" s="5" t="s">
        <v>112</v>
      </c>
      <c r="N5" s="5" t="s">
        <v>100</v>
      </c>
      <c r="O5" s="5" t="s">
        <v>101</v>
      </c>
      <c r="P5" s="5" t="s">
        <v>112</v>
      </c>
      <c r="Q5" s="5" t="s">
        <v>100</v>
      </c>
      <c r="R5" s="5" t="s">
        <v>101</v>
      </c>
      <c r="S5" s="5" t="s">
        <v>112</v>
      </c>
      <c r="T5" s="5" t="s">
        <v>100</v>
      </c>
      <c r="U5" s="5" t="s">
        <v>101</v>
      </c>
      <c r="V5" s="5" t="s">
        <v>112</v>
      </c>
      <c r="W5" s="5" t="s">
        <v>100</v>
      </c>
      <c r="X5" s="5" t="s">
        <v>101</v>
      </c>
      <c r="Y5" s="5" t="s">
        <v>112</v>
      </c>
      <c r="Z5" s="5" t="s">
        <v>100</v>
      </c>
      <c r="AA5" s="5" t="s">
        <v>101</v>
      </c>
      <c r="AB5" s="5" t="s">
        <v>112</v>
      </c>
      <c r="AC5" s="5" t="s">
        <v>100</v>
      </c>
      <c r="AD5" s="5" t="s">
        <v>101</v>
      </c>
      <c r="AE5" s="5" t="s">
        <v>112</v>
      </c>
    </row>
    <row r="6" spans="1:31" x14ac:dyDescent="0.2">
      <c r="A6" s="12" t="s">
        <v>113</v>
      </c>
      <c r="B6" s="7">
        <v>1170</v>
      </c>
      <c r="C6" s="7">
        <v>703</v>
      </c>
      <c r="D6" s="7">
        <f t="shared" ref="D6:D16" si="0">B6+C6</f>
        <v>1873</v>
      </c>
      <c r="E6" s="7">
        <v>1112</v>
      </c>
      <c r="F6" s="7">
        <v>670</v>
      </c>
      <c r="G6" s="7">
        <f t="shared" ref="G6:G16" si="1">E6+F6</f>
        <v>1782</v>
      </c>
      <c r="H6" s="7">
        <v>1122</v>
      </c>
      <c r="I6" s="7">
        <v>701</v>
      </c>
      <c r="J6" s="7">
        <f t="shared" ref="J6:J16" si="2">H6+I6</f>
        <v>1823</v>
      </c>
      <c r="K6" s="7">
        <v>1058</v>
      </c>
      <c r="L6" s="7">
        <v>726</v>
      </c>
      <c r="M6" s="7">
        <f t="shared" ref="M6:M16" si="3">K6+L6</f>
        <v>1784</v>
      </c>
      <c r="N6" s="7">
        <v>1186</v>
      </c>
      <c r="O6" s="7">
        <v>754</v>
      </c>
      <c r="P6" s="7">
        <f t="shared" ref="P6:P16" si="4">N6+O6</f>
        <v>1940</v>
      </c>
      <c r="Q6" s="7">
        <v>1310</v>
      </c>
      <c r="R6" s="7">
        <v>861</v>
      </c>
      <c r="S6" s="7">
        <f t="shared" ref="S6:S16" si="5">Q6+R6</f>
        <v>2171</v>
      </c>
      <c r="T6" s="7">
        <v>1326</v>
      </c>
      <c r="U6" s="7">
        <v>886</v>
      </c>
      <c r="V6" s="7">
        <f t="shared" ref="V6:V16" si="6">T6+U6</f>
        <v>2212</v>
      </c>
      <c r="W6" s="7">
        <v>1265</v>
      </c>
      <c r="X6" s="7">
        <v>865</v>
      </c>
      <c r="Y6" s="7">
        <f t="shared" ref="Y6:Y16" si="7">W6+X6</f>
        <v>2130</v>
      </c>
      <c r="Z6" s="7">
        <v>1334</v>
      </c>
      <c r="AA6" s="7">
        <v>855</v>
      </c>
      <c r="AB6" s="7">
        <f t="shared" ref="AB6:AB16" si="8">Z6+AA6</f>
        <v>2189</v>
      </c>
      <c r="AC6" s="7">
        <v>1347</v>
      </c>
      <c r="AD6" s="7">
        <v>824</v>
      </c>
      <c r="AE6" s="7">
        <f t="shared" ref="AE6:AE16" si="9">AC6+AD6</f>
        <v>2171</v>
      </c>
    </row>
    <row r="7" spans="1:31" x14ac:dyDescent="0.2">
      <c r="A7" s="12" t="s">
        <v>114</v>
      </c>
      <c r="B7" s="7">
        <v>16114</v>
      </c>
      <c r="C7" s="7">
        <v>8202</v>
      </c>
      <c r="D7" s="7">
        <f t="shared" si="0"/>
        <v>24316</v>
      </c>
      <c r="E7" s="7">
        <v>15727</v>
      </c>
      <c r="F7" s="7">
        <v>7994</v>
      </c>
      <c r="G7" s="7">
        <f t="shared" si="1"/>
        <v>23721</v>
      </c>
      <c r="H7" s="7">
        <v>15133</v>
      </c>
      <c r="I7" s="7">
        <v>7887</v>
      </c>
      <c r="J7" s="7">
        <f t="shared" si="2"/>
        <v>23020</v>
      </c>
      <c r="K7" s="7">
        <v>14782</v>
      </c>
      <c r="L7" s="7">
        <v>7608</v>
      </c>
      <c r="M7" s="7">
        <f t="shared" si="3"/>
        <v>22390</v>
      </c>
      <c r="N7" s="7">
        <v>14729</v>
      </c>
      <c r="O7" s="7">
        <v>7726</v>
      </c>
      <c r="P7" s="7">
        <f t="shared" si="4"/>
        <v>22455</v>
      </c>
      <c r="Q7" s="7">
        <v>15438</v>
      </c>
      <c r="R7" s="7">
        <v>8137</v>
      </c>
      <c r="S7" s="7">
        <f t="shared" si="5"/>
        <v>23575</v>
      </c>
      <c r="T7" s="7">
        <v>15302</v>
      </c>
      <c r="U7" s="7">
        <v>8228</v>
      </c>
      <c r="V7" s="7">
        <f t="shared" si="6"/>
        <v>23530</v>
      </c>
      <c r="W7" s="7">
        <v>14582</v>
      </c>
      <c r="X7" s="7">
        <v>7791</v>
      </c>
      <c r="Y7" s="7">
        <f t="shared" si="7"/>
        <v>22373</v>
      </c>
      <c r="Z7" s="7">
        <v>14137</v>
      </c>
      <c r="AA7" s="7">
        <v>7655</v>
      </c>
      <c r="AB7" s="7">
        <f t="shared" si="8"/>
        <v>21792</v>
      </c>
      <c r="AC7" s="7">
        <v>14268</v>
      </c>
      <c r="AD7" s="7">
        <v>7472</v>
      </c>
      <c r="AE7" s="7">
        <f t="shared" si="9"/>
        <v>21740</v>
      </c>
    </row>
    <row r="8" spans="1:31" x14ac:dyDescent="0.2">
      <c r="A8" s="12" t="s">
        <v>115</v>
      </c>
      <c r="B8" s="7">
        <v>12578</v>
      </c>
      <c r="C8" s="7">
        <v>5186</v>
      </c>
      <c r="D8" s="7">
        <f t="shared" si="0"/>
        <v>17764</v>
      </c>
      <c r="E8" s="7">
        <v>12093</v>
      </c>
      <c r="F8" s="7">
        <v>5077</v>
      </c>
      <c r="G8" s="7">
        <f t="shared" si="1"/>
        <v>17170</v>
      </c>
      <c r="H8" s="7">
        <v>11643</v>
      </c>
      <c r="I8" s="7">
        <v>4919</v>
      </c>
      <c r="J8" s="7">
        <f t="shared" si="2"/>
        <v>16562</v>
      </c>
      <c r="K8" s="7">
        <v>11368</v>
      </c>
      <c r="L8" s="7">
        <v>4797</v>
      </c>
      <c r="M8" s="7">
        <f t="shared" si="3"/>
        <v>16165</v>
      </c>
      <c r="N8" s="7">
        <v>11761</v>
      </c>
      <c r="O8" s="7">
        <v>5056</v>
      </c>
      <c r="P8" s="7">
        <f t="shared" si="4"/>
        <v>16817</v>
      </c>
      <c r="Q8" s="7">
        <v>12612</v>
      </c>
      <c r="R8" s="7">
        <v>5560</v>
      </c>
      <c r="S8" s="7">
        <f t="shared" si="5"/>
        <v>18172</v>
      </c>
      <c r="T8" s="7">
        <v>12769</v>
      </c>
      <c r="U8" s="7">
        <v>5766</v>
      </c>
      <c r="V8" s="7">
        <f t="shared" si="6"/>
        <v>18535</v>
      </c>
      <c r="W8" s="7">
        <v>12676</v>
      </c>
      <c r="X8" s="7">
        <v>5680</v>
      </c>
      <c r="Y8" s="7">
        <f t="shared" si="7"/>
        <v>18356</v>
      </c>
      <c r="Z8" s="7">
        <v>12704</v>
      </c>
      <c r="AA8" s="7">
        <v>5562</v>
      </c>
      <c r="AB8" s="7">
        <f t="shared" si="8"/>
        <v>18266</v>
      </c>
      <c r="AC8" s="7">
        <v>13350</v>
      </c>
      <c r="AD8" s="7">
        <v>5537</v>
      </c>
      <c r="AE8" s="7">
        <f t="shared" si="9"/>
        <v>18887</v>
      </c>
    </row>
    <row r="9" spans="1:31" x14ac:dyDescent="0.2">
      <c r="A9" s="12" t="s">
        <v>116</v>
      </c>
      <c r="B9" s="7">
        <v>5353</v>
      </c>
      <c r="C9" s="7">
        <v>2024</v>
      </c>
      <c r="D9" s="7">
        <f t="shared" si="0"/>
        <v>7377</v>
      </c>
      <c r="E9" s="7">
        <v>5254</v>
      </c>
      <c r="F9" s="7">
        <v>2033</v>
      </c>
      <c r="G9" s="7">
        <f t="shared" si="1"/>
        <v>7287</v>
      </c>
      <c r="H9" s="7">
        <v>5118</v>
      </c>
      <c r="I9" s="7">
        <v>1982</v>
      </c>
      <c r="J9" s="7">
        <f t="shared" si="2"/>
        <v>7100</v>
      </c>
      <c r="K9" s="7">
        <v>5062</v>
      </c>
      <c r="L9" s="7">
        <v>2043</v>
      </c>
      <c r="M9" s="7">
        <f t="shared" si="3"/>
        <v>7105</v>
      </c>
      <c r="N9" s="7">
        <v>5371</v>
      </c>
      <c r="O9" s="7">
        <v>2048</v>
      </c>
      <c r="P9" s="7">
        <f t="shared" si="4"/>
        <v>7419</v>
      </c>
      <c r="Q9" s="7">
        <v>5744</v>
      </c>
      <c r="R9" s="7">
        <v>2171</v>
      </c>
      <c r="S9" s="7">
        <f t="shared" si="5"/>
        <v>7915</v>
      </c>
      <c r="T9" s="7">
        <v>6136</v>
      </c>
      <c r="U9" s="7">
        <v>2259</v>
      </c>
      <c r="V9" s="7">
        <f t="shared" si="6"/>
        <v>8395</v>
      </c>
      <c r="W9" s="7">
        <v>6372</v>
      </c>
      <c r="X9" s="7">
        <v>2338</v>
      </c>
      <c r="Y9" s="7">
        <f t="shared" si="7"/>
        <v>8710</v>
      </c>
      <c r="Z9" s="7">
        <v>6595</v>
      </c>
      <c r="AA9" s="7">
        <v>2478</v>
      </c>
      <c r="AB9" s="7">
        <f t="shared" si="8"/>
        <v>9073</v>
      </c>
      <c r="AC9" s="7">
        <v>7024</v>
      </c>
      <c r="AD9" s="7">
        <v>2498</v>
      </c>
      <c r="AE9" s="7">
        <f t="shared" si="9"/>
        <v>9522</v>
      </c>
    </row>
    <row r="10" spans="1:31" x14ac:dyDescent="0.2">
      <c r="A10" s="12" t="s">
        <v>117</v>
      </c>
      <c r="B10" s="7">
        <v>14879</v>
      </c>
      <c r="C10" s="7">
        <v>5157</v>
      </c>
      <c r="D10" s="7">
        <f t="shared" si="0"/>
        <v>20036</v>
      </c>
      <c r="E10" s="7">
        <v>14983</v>
      </c>
      <c r="F10" s="7">
        <v>5171</v>
      </c>
      <c r="G10" s="7">
        <f t="shared" si="1"/>
        <v>20154</v>
      </c>
      <c r="H10" s="7">
        <v>15074</v>
      </c>
      <c r="I10" s="7">
        <v>5298</v>
      </c>
      <c r="J10" s="7">
        <f t="shared" si="2"/>
        <v>20372</v>
      </c>
      <c r="K10" s="7">
        <v>15274</v>
      </c>
      <c r="L10" s="7">
        <v>5377</v>
      </c>
      <c r="M10" s="7">
        <f t="shared" si="3"/>
        <v>20651</v>
      </c>
      <c r="N10" s="7">
        <v>16396</v>
      </c>
      <c r="O10" s="7">
        <v>5888</v>
      </c>
      <c r="P10" s="7">
        <f t="shared" si="4"/>
        <v>22284</v>
      </c>
      <c r="Q10" s="7">
        <v>18583</v>
      </c>
      <c r="R10" s="7">
        <v>6818</v>
      </c>
      <c r="S10" s="7">
        <f t="shared" si="5"/>
        <v>25401</v>
      </c>
      <c r="T10" s="7">
        <v>19744</v>
      </c>
      <c r="U10" s="7">
        <v>7169</v>
      </c>
      <c r="V10" s="7">
        <f t="shared" si="6"/>
        <v>26913</v>
      </c>
      <c r="W10" s="7">
        <v>21136</v>
      </c>
      <c r="X10" s="7">
        <v>7410</v>
      </c>
      <c r="Y10" s="7">
        <f t="shared" si="7"/>
        <v>28546</v>
      </c>
      <c r="Z10" s="7">
        <v>22933</v>
      </c>
      <c r="AA10" s="7">
        <v>7498</v>
      </c>
      <c r="AB10" s="7">
        <f t="shared" si="8"/>
        <v>30431</v>
      </c>
      <c r="AC10" s="7">
        <v>24839</v>
      </c>
      <c r="AD10" s="7">
        <v>8060</v>
      </c>
      <c r="AE10" s="7">
        <f t="shared" si="9"/>
        <v>32899</v>
      </c>
    </row>
    <row r="11" spans="1:31" x14ac:dyDescent="0.2">
      <c r="A11" s="12" t="s">
        <v>118</v>
      </c>
      <c r="B11" s="7">
        <v>25206</v>
      </c>
      <c r="C11" s="7">
        <v>9655</v>
      </c>
      <c r="D11" s="7">
        <f t="shared" si="0"/>
        <v>34861</v>
      </c>
      <c r="E11" s="7">
        <v>25200</v>
      </c>
      <c r="F11" s="7">
        <v>9200</v>
      </c>
      <c r="G11" s="7">
        <f t="shared" si="1"/>
        <v>34400</v>
      </c>
      <c r="H11" s="7">
        <v>24879</v>
      </c>
      <c r="I11" s="7">
        <v>8877</v>
      </c>
      <c r="J11" s="7">
        <f t="shared" si="2"/>
        <v>33756</v>
      </c>
      <c r="K11" s="7">
        <v>25299</v>
      </c>
      <c r="L11" s="7">
        <v>8604</v>
      </c>
      <c r="M11" s="7">
        <f t="shared" si="3"/>
        <v>33903</v>
      </c>
      <c r="N11" s="7">
        <v>27102</v>
      </c>
      <c r="O11" s="7">
        <v>8883</v>
      </c>
      <c r="P11" s="7">
        <f t="shared" si="4"/>
        <v>35985</v>
      </c>
      <c r="Q11" s="7">
        <v>29800</v>
      </c>
      <c r="R11" s="7">
        <v>9674</v>
      </c>
      <c r="S11" s="7">
        <f t="shared" si="5"/>
        <v>39474</v>
      </c>
      <c r="T11" s="7">
        <v>32083</v>
      </c>
      <c r="U11" s="7">
        <v>10272</v>
      </c>
      <c r="V11" s="7">
        <f t="shared" si="6"/>
        <v>42355</v>
      </c>
      <c r="W11" s="7">
        <v>33711</v>
      </c>
      <c r="X11" s="7">
        <v>10598</v>
      </c>
      <c r="Y11" s="7">
        <f t="shared" si="7"/>
        <v>44309</v>
      </c>
      <c r="Z11" s="7">
        <v>36261</v>
      </c>
      <c r="AA11" s="7">
        <v>11216</v>
      </c>
      <c r="AB11" s="7">
        <f t="shared" si="8"/>
        <v>47477</v>
      </c>
      <c r="AC11" s="7">
        <v>39369</v>
      </c>
      <c r="AD11" s="7">
        <v>12016</v>
      </c>
      <c r="AE11" s="7">
        <f t="shared" si="9"/>
        <v>51385</v>
      </c>
    </row>
    <row r="12" spans="1:31" x14ac:dyDescent="0.2">
      <c r="A12" s="12" t="s">
        <v>119</v>
      </c>
      <c r="B12" s="7">
        <v>19393</v>
      </c>
      <c r="C12" s="7">
        <v>8615</v>
      </c>
      <c r="D12" s="7">
        <f t="shared" si="0"/>
        <v>28008</v>
      </c>
      <c r="E12" s="7">
        <v>18863</v>
      </c>
      <c r="F12" s="7">
        <v>8061</v>
      </c>
      <c r="G12" s="7">
        <f t="shared" si="1"/>
        <v>26924</v>
      </c>
      <c r="H12" s="7">
        <v>18255</v>
      </c>
      <c r="I12" s="7">
        <v>7540</v>
      </c>
      <c r="J12" s="7">
        <f t="shared" si="2"/>
        <v>25795</v>
      </c>
      <c r="K12" s="7">
        <v>18036</v>
      </c>
      <c r="L12" s="7">
        <v>7184</v>
      </c>
      <c r="M12" s="7">
        <f t="shared" si="3"/>
        <v>25220</v>
      </c>
      <c r="N12" s="7">
        <v>17853</v>
      </c>
      <c r="O12" s="7">
        <v>6690</v>
      </c>
      <c r="P12" s="7">
        <f t="shared" si="4"/>
        <v>24543</v>
      </c>
      <c r="Q12" s="7">
        <v>18346</v>
      </c>
      <c r="R12" s="7">
        <v>6586</v>
      </c>
      <c r="S12" s="7">
        <f t="shared" si="5"/>
        <v>24932</v>
      </c>
      <c r="T12" s="7">
        <v>18886</v>
      </c>
      <c r="U12" s="7">
        <v>6522</v>
      </c>
      <c r="V12" s="7">
        <f t="shared" si="6"/>
        <v>25408</v>
      </c>
      <c r="W12" s="7">
        <v>19125</v>
      </c>
      <c r="X12" s="7">
        <v>6213</v>
      </c>
      <c r="Y12" s="7">
        <f t="shared" si="7"/>
        <v>25338</v>
      </c>
      <c r="Z12" s="7">
        <v>20100</v>
      </c>
      <c r="AA12" s="7">
        <v>6285</v>
      </c>
      <c r="AB12" s="7">
        <f t="shared" si="8"/>
        <v>26385</v>
      </c>
      <c r="AC12" s="7">
        <v>21606</v>
      </c>
      <c r="AD12" s="7">
        <v>6399</v>
      </c>
      <c r="AE12" s="7">
        <f t="shared" si="9"/>
        <v>28005</v>
      </c>
    </row>
    <row r="13" spans="1:31" x14ac:dyDescent="0.2">
      <c r="A13" s="12" t="s">
        <v>120</v>
      </c>
      <c r="B13" s="7">
        <v>70328</v>
      </c>
      <c r="C13" s="7">
        <v>39631</v>
      </c>
      <c r="D13" s="7">
        <f t="shared" si="0"/>
        <v>109959</v>
      </c>
      <c r="E13" s="7">
        <v>66253</v>
      </c>
      <c r="F13" s="7">
        <v>36526</v>
      </c>
      <c r="G13" s="7">
        <f t="shared" si="1"/>
        <v>102779</v>
      </c>
      <c r="H13" s="7">
        <v>61030</v>
      </c>
      <c r="I13" s="7">
        <v>33420</v>
      </c>
      <c r="J13" s="7">
        <f t="shared" si="2"/>
        <v>94450</v>
      </c>
      <c r="K13" s="7">
        <v>56602</v>
      </c>
      <c r="L13" s="7">
        <v>30648</v>
      </c>
      <c r="M13" s="7">
        <f t="shared" si="3"/>
        <v>87250</v>
      </c>
      <c r="N13" s="7">
        <v>52795</v>
      </c>
      <c r="O13" s="7">
        <v>28258</v>
      </c>
      <c r="P13" s="7">
        <f t="shared" si="4"/>
        <v>81053</v>
      </c>
      <c r="Q13" s="7">
        <v>51990</v>
      </c>
      <c r="R13" s="7">
        <v>27498</v>
      </c>
      <c r="S13" s="7">
        <f t="shared" si="5"/>
        <v>79488</v>
      </c>
      <c r="T13" s="7">
        <v>50959</v>
      </c>
      <c r="U13" s="7">
        <v>26350</v>
      </c>
      <c r="V13" s="7">
        <f t="shared" si="6"/>
        <v>77309</v>
      </c>
      <c r="W13" s="7">
        <v>49188</v>
      </c>
      <c r="X13" s="7">
        <v>24641</v>
      </c>
      <c r="Y13" s="7">
        <f t="shared" si="7"/>
        <v>73829</v>
      </c>
      <c r="Z13" s="7">
        <v>48359</v>
      </c>
      <c r="AA13" s="7">
        <v>23329</v>
      </c>
      <c r="AB13" s="7">
        <f t="shared" si="8"/>
        <v>71688</v>
      </c>
      <c r="AC13" s="7">
        <v>48396</v>
      </c>
      <c r="AD13" s="7">
        <v>22454</v>
      </c>
      <c r="AE13" s="7">
        <f t="shared" si="9"/>
        <v>70850</v>
      </c>
    </row>
    <row r="14" spans="1:31" x14ac:dyDescent="0.2">
      <c r="A14" s="12" t="s">
        <v>121</v>
      </c>
      <c r="B14" s="7">
        <v>48365</v>
      </c>
      <c r="C14" s="7">
        <v>30258</v>
      </c>
      <c r="D14" s="7">
        <f t="shared" si="0"/>
        <v>78623</v>
      </c>
      <c r="E14" s="7">
        <v>50110</v>
      </c>
      <c r="F14" s="7">
        <v>31392</v>
      </c>
      <c r="G14" s="7">
        <f t="shared" si="1"/>
        <v>81502</v>
      </c>
      <c r="H14" s="7">
        <v>51408</v>
      </c>
      <c r="I14" s="7">
        <v>31559</v>
      </c>
      <c r="J14" s="7">
        <f t="shared" si="2"/>
        <v>82967</v>
      </c>
      <c r="K14" s="7">
        <v>51802</v>
      </c>
      <c r="L14" s="7">
        <v>31800</v>
      </c>
      <c r="M14" s="7">
        <f t="shared" si="3"/>
        <v>83602</v>
      </c>
      <c r="N14" s="7">
        <v>50885</v>
      </c>
      <c r="O14" s="7">
        <v>31288</v>
      </c>
      <c r="P14" s="7">
        <f t="shared" si="4"/>
        <v>82173</v>
      </c>
      <c r="Q14" s="7">
        <v>49901</v>
      </c>
      <c r="R14" s="7">
        <v>30978</v>
      </c>
      <c r="S14" s="7">
        <f t="shared" si="5"/>
        <v>80879</v>
      </c>
      <c r="T14" s="7">
        <v>48560</v>
      </c>
      <c r="U14" s="7">
        <v>30061</v>
      </c>
      <c r="V14" s="7">
        <f t="shared" si="6"/>
        <v>78621</v>
      </c>
      <c r="W14" s="7">
        <v>44944</v>
      </c>
      <c r="X14" s="7">
        <v>27721</v>
      </c>
      <c r="Y14" s="7">
        <f t="shared" si="7"/>
        <v>72665</v>
      </c>
      <c r="Z14" s="7">
        <v>40824</v>
      </c>
      <c r="AA14" s="7">
        <v>25139</v>
      </c>
      <c r="AB14" s="7">
        <f t="shared" si="8"/>
        <v>65963</v>
      </c>
      <c r="AC14" s="7">
        <v>37439</v>
      </c>
      <c r="AD14" s="7">
        <v>22880</v>
      </c>
      <c r="AE14" s="7">
        <f t="shared" si="9"/>
        <v>60319</v>
      </c>
    </row>
    <row r="15" spans="1:31" x14ac:dyDescent="0.2">
      <c r="A15" s="12" t="s">
        <v>122</v>
      </c>
      <c r="B15" s="7">
        <v>39987</v>
      </c>
      <c r="C15" s="7">
        <v>27707</v>
      </c>
      <c r="D15" s="7">
        <f t="shared" si="0"/>
        <v>67694</v>
      </c>
      <c r="E15" s="7">
        <v>42102</v>
      </c>
      <c r="F15" s="7">
        <v>28446</v>
      </c>
      <c r="G15" s="7">
        <f t="shared" si="1"/>
        <v>70548</v>
      </c>
      <c r="H15" s="7">
        <v>43992</v>
      </c>
      <c r="I15" s="7">
        <v>29294</v>
      </c>
      <c r="J15" s="7">
        <f t="shared" si="2"/>
        <v>73286</v>
      </c>
      <c r="K15" s="7">
        <v>46969</v>
      </c>
      <c r="L15" s="7">
        <v>30685</v>
      </c>
      <c r="M15" s="7">
        <f t="shared" si="3"/>
        <v>77654</v>
      </c>
      <c r="N15" s="7">
        <v>49696</v>
      </c>
      <c r="O15" s="7">
        <v>31963</v>
      </c>
      <c r="P15" s="7">
        <f t="shared" si="4"/>
        <v>81659</v>
      </c>
      <c r="Q15" s="7">
        <v>53246</v>
      </c>
      <c r="R15" s="7">
        <v>33615</v>
      </c>
      <c r="S15" s="7">
        <f t="shared" si="5"/>
        <v>86861</v>
      </c>
      <c r="T15" s="7">
        <v>55916</v>
      </c>
      <c r="U15" s="7">
        <v>35419</v>
      </c>
      <c r="V15" s="7">
        <f t="shared" si="6"/>
        <v>91335</v>
      </c>
      <c r="W15" s="7">
        <v>57646</v>
      </c>
      <c r="X15" s="7">
        <v>36313</v>
      </c>
      <c r="Y15" s="7">
        <f t="shared" si="7"/>
        <v>93959</v>
      </c>
      <c r="Z15" s="7">
        <v>58289</v>
      </c>
      <c r="AA15" s="7">
        <v>36450</v>
      </c>
      <c r="AB15" s="7">
        <f t="shared" si="8"/>
        <v>94739</v>
      </c>
      <c r="AC15" s="7">
        <v>57318</v>
      </c>
      <c r="AD15" s="7">
        <v>36368</v>
      </c>
      <c r="AE15" s="7">
        <f t="shared" si="9"/>
        <v>93686</v>
      </c>
    </row>
    <row r="16" spans="1:31" x14ac:dyDescent="0.2">
      <c r="A16" s="12" t="s">
        <v>123</v>
      </c>
      <c r="B16" s="7">
        <v>153178</v>
      </c>
      <c r="C16" s="7">
        <v>99469</v>
      </c>
      <c r="D16" s="7">
        <f t="shared" si="0"/>
        <v>252647</v>
      </c>
      <c r="E16" s="7">
        <v>157263</v>
      </c>
      <c r="F16" s="7">
        <v>101413</v>
      </c>
      <c r="G16" s="7">
        <f t="shared" si="1"/>
        <v>258676</v>
      </c>
      <c r="H16" s="7">
        <v>160449</v>
      </c>
      <c r="I16" s="7">
        <v>102660</v>
      </c>
      <c r="J16" s="7">
        <f t="shared" si="2"/>
        <v>263109</v>
      </c>
      <c r="K16" s="7">
        <v>162953</v>
      </c>
      <c r="L16" s="7">
        <v>104000</v>
      </c>
      <c r="M16" s="7">
        <f t="shared" si="3"/>
        <v>266953</v>
      </c>
      <c r="N16" s="7">
        <v>168242</v>
      </c>
      <c r="O16" s="7">
        <v>106847</v>
      </c>
      <c r="P16" s="7">
        <f t="shared" si="4"/>
        <v>275089</v>
      </c>
      <c r="Q16" s="7">
        <v>174848</v>
      </c>
      <c r="R16" s="7">
        <v>110267</v>
      </c>
      <c r="S16" s="7">
        <f t="shared" si="5"/>
        <v>285115</v>
      </c>
      <c r="T16" s="7">
        <v>176788</v>
      </c>
      <c r="U16" s="7">
        <v>111541</v>
      </c>
      <c r="V16" s="7">
        <f t="shared" si="6"/>
        <v>288329</v>
      </c>
      <c r="W16" s="7">
        <v>179148</v>
      </c>
      <c r="X16" s="7">
        <v>112763</v>
      </c>
      <c r="Y16" s="7">
        <f t="shared" si="7"/>
        <v>291911</v>
      </c>
      <c r="Z16" s="7">
        <v>183833</v>
      </c>
      <c r="AA16" s="7">
        <v>114872</v>
      </c>
      <c r="AB16" s="7">
        <f t="shared" si="8"/>
        <v>298705</v>
      </c>
      <c r="AC16" s="7">
        <v>189106</v>
      </c>
      <c r="AD16" s="7">
        <v>117047</v>
      </c>
      <c r="AE16" s="7">
        <f t="shared" si="9"/>
        <v>306153</v>
      </c>
    </row>
    <row r="17" spans="1:31" x14ac:dyDescent="0.2">
      <c r="A17" s="13" t="s">
        <v>112</v>
      </c>
      <c r="B17" s="14">
        <f t="shared" ref="B17:AE17" si="10">SUM(B6:B16)</f>
        <v>406551</v>
      </c>
      <c r="C17" s="14">
        <f t="shared" si="10"/>
        <v>236607</v>
      </c>
      <c r="D17" s="14">
        <f t="shared" si="10"/>
        <v>643158</v>
      </c>
      <c r="E17" s="14">
        <f t="shared" si="10"/>
        <v>408960</v>
      </c>
      <c r="F17" s="14">
        <f t="shared" si="10"/>
        <v>235983</v>
      </c>
      <c r="G17" s="14">
        <f t="shared" si="10"/>
        <v>644943</v>
      </c>
      <c r="H17" s="14">
        <f t="shared" si="10"/>
        <v>408103</v>
      </c>
      <c r="I17" s="14">
        <f t="shared" si="10"/>
        <v>234137</v>
      </c>
      <c r="J17" s="14">
        <f t="shared" si="10"/>
        <v>642240</v>
      </c>
      <c r="K17" s="14">
        <f t="shared" si="10"/>
        <v>409205</v>
      </c>
      <c r="L17" s="14">
        <f t="shared" si="10"/>
        <v>233472</v>
      </c>
      <c r="M17" s="14">
        <f t="shared" si="10"/>
        <v>642677</v>
      </c>
      <c r="N17" s="14">
        <f t="shared" si="10"/>
        <v>416016</v>
      </c>
      <c r="O17" s="14">
        <f t="shared" si="10"/>
        <v>235401</v>
      </c>
      <c r="P17" s="14">
        <f t="shared" si="10"/>
        <v>651417</v>
      </c>
      <c r="Q17" s="14">
        <f t="shared" si="10"/>
        <v>431818</v>
      </c>
      <c r="R17" s="14">
        <f t="shared" si="10"/>
        <v>242165</v>
      </c>
      <c r="S17" s="14">
        <f t="shared" si="10"/>
        <v>673983</v>
      </c>
      <c r="T17" s="14">
        <f t="shared" si="10"/>
        <v>438469</v>
      </c>
      <c r="U17" s="14">
        <f t="shared" si="10"/>
        <v>244473</v>
      </c>
      <c r="V17" s="14">
        <f t="shared" si="10"/>
        <v>682942</v>
      </c>
      <c r="W17" s="14">
        <f t="shared" si="10"/>
        <v>439793</v>
      </c>
      <c r="X17" s="14">
        <f t="shared" si="10"/>
        <v>242333</v>
      </c>
      <c r="Y17" s="14">
        <f t="shared" si="10"/>
        <v>682126</v>
      </c>
      <c r="Z17" s="14">
        <f t="shared" si="10"/>
        <v>445369</v>
      </c>
      <c r="AA17" s="14">
        <f t="shared" si="10"/>
        <v>241339</v>
      </c>
      <c r="AB17" s="14">
        <f t="shared" si="10"/>
        <v>686708</v>
      </c>
      <c r="AC17" s="14">
        <f t="shared" si="10"/>
        <v>454062</v>
      </c>
      <c r="AD17" s="14">
        <f t="shared" si="10"/>
        <v>241555</v>
      </c>
      <c r="AE17" s="14">
        <f t="shared" si="10"/>
        <v>695617</v>
      </c>
    </row>
  </sheetData>
  <mergeCells count="10">
    <mergeCell ref="B4:D4"/>
    <mergeCell ref="H4:J4"/>
    <mergeCell ref="Q4:S4"/>
    <mergeCell ref="T4:V4"/>
    <mergeCell ref="W4:Y4"/>
    <mergeCell ref="E4:G4"/>
    <mergeCell ref="Z4:AB4"/>
    <mergeCell ref="N4:P4"/>
    <mergeCell ref="AC4:AE4"/>
    <mergeCell ref="K4:M4"/>
  </mergeCell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E224"/>
  <sheetViews>
    <sheetView workbookViewId="0"/>
  </sheetViews>
  <sheetFormatPr baseColWidth="10" defaultColWidth="8.83203125" defaultRowHeight="15" x14ac:dyDescent="0.2"/>
  <cols>
    <col min="1" max="1" width="8" customWidth="1"/>
    <col min="2" max="2" width="14" customWidth="1"/>
    <col min="3" max="3" width="11" customWidth="1"/>
    <col min="4" max="4" width="10" customWidth="1"/>
    <col min="5" max="5" width="12" customWidth="1"/>
  </cols>
  <sheetData>
    <row r="1" spans="1:5" ht="19" x14ac:dyDescent="0.25">
      <c r="A1" s="1" t="s">
        <v>124</v>
      </c>
    </row>
    <row r="2" spans="1:5" x14ac:dyDescent="0.2">
      <c r="A2" s="2" t="s">
        <v>125</v>
      </c>
    </row>
    <row r="4" spans="1:5" ht="30" customHeight="1" x14ac:dyDescent="0.2">
      <c r="A4" s="5" t="s">
        <v>98</v>
      </c>
      <c r="B4" s="5" t="s">
        <v>111</v>
      </c>
      <c r="C4" s="5" t="s">
        <v>126</v>
      </c>
      <c r="D4" s="5" t="s">
        <v>127</v>
      </c>
      <c r="E4" s="5" t="s">
        <v>99</v>
      </c>
    </row>
    <row r="5" spans="1:5" x14ac:dyDescent="0.2">
      <c r="A5">
        <v>2016</v>
      </c>
      <c r="B5" t="s">
        <v>113</v>
      </c>
      <c r="C5">
        <v>1</v>
      </c>
      <c r="D5" t="s">
        <v>100</v>
      </c>
      <c r="E5" s="15">
        <v>1170</v>
      </c>
    </row>
    <row r="6" spans="1:5" x14ac:dyDescent="0.2">
      <c r="A6">
        <v>2016</v>
      </c>
      <c r="B6" t="s">
        <v>113</v>
      </c>
      <c r="C6">
        <v>1</v>
      </c>
      <c r="D6" t="s">
        <v>101</v>
      </c>
      <c r="E6" s="15">
        <v>703</v>
      </c>
    </row>
    <row r="7" spans="1:5" x14ac:dyDescent="0.2">
      <c r="A7">
        <v>2016</v>
      </c>
      <c r="B7" t="s">
        <v>114</v>
      </c>
      <c r="C7">
        <v>2</v>
      </c>
      <c r="D7" t="s">
        <v>100</v>
      </c>
      <c r="E7" s="15">
        <v>16114</v>
      </c>
    </row>
    <row r="8" spans="1:5" x14ac:dyDescent="0.2">
      <c r="A8">
        <v>2016</v>
      </c>
      <c r="B8" t="s">
        <v>114</v>
      </c>
      <c r="C8">
        <v>2</v>
      </c>
      <c r="D8" t="s">
        <v>101</v>
      </c>
      <c r="E8" s="15">
        <v>8202</v>
      </c>
    </row>
    <row r="9" spans="1:5" x14ac:dyDescent="0.2">
      <c r="A9">
        <v>2016</v>
      </c>
      <c r="B9" t="s">
        <v>115</v>
      </c>
      <c r="C9">
        <v>3</v>
      </c>
      <c r="D9" t="s">
        <v>100</v>
      </c>
      <c r="E9" s="15">
        <v>12578</v>
      </c>
    </row>
    <row r="10" spans="1:5" x14ac:dyDescent="0.2">
      <c r="A10">
        <v>2016</v>
      </c>
      <c r="B10" t="s">
        <v>115</v>
      </c>
      <c r="C10">
        <v>3</v>
      </c>
      <c r="D10" t="s">
        <v>101</v>
      </c>
      <c r="E10" s="15">
        <v>5186</v>
      </c>
    </row>
    <row r="11" spans="1:5" x14ac:dyDescent="0.2">
      <c r="A11">
        <v>2016</v>
      </c>
      <c r="B11" t="s">
        <v>116</v>
      </c>
      <c r="C11">
        <v>4</v>
      </c>
      <c r="D11" t="s">
        <v>100</v>
      </c>
      <c r="E11" s="15">
        <v>5353</v>
      </c>
    </row>
    <row r="12" spans="1:5" x14ac:dyDescent="0.2">
      <c r="A12">
        <v>2016</v>
      </c>
      <c r="B12" t="s">
        <v>116</v>
      </c>
      <c r="C12">
        <v>4</v>
      </c>
      <c r="D12" t="s">
        <v>101</v>
      </c>
      <c r="E12" s="15">
        <v>2024</v>
      </c>
    </row>
    <row r="13" spans="1:5" x14ac:dyDescent="0.2">
      <c r="A13">
        <v>2016</v>
      </c>
      <c r="B13" t="s">
        <v>117</v>
      </c>
      <c r="C13">
        <v>5</v>
      </c>
      <c r="D13" t="s">
        <v>100</v>
      </c>
      <c r="E13" s="15">
        <v>14879</v>
      </c>
    </row>
    <row r="14" spans="1:5" x14ac:dyDescent="0.2">
      <c r="A14">
        <v>2016</v>
      </c>
      <c r="B14" t="s">
        <v>117</v>
      </c>
      <c r="C14">
        <v>5</v>
      </c>
      <c r="D14" t="s">
        <v>101</v>
      </c>
      <c r="E14" s="15">
        <v>5157</v>
      </c>
    </row>
    <row r="15" spans="1:5" x14ac:dyDescent="0.2">
      <c r="A15">
        <v>2016</v>
      </c>
      <c r="B15" t="s">
        <v>118</v>
      </c>
      <c r="C15">
        <v>6</v>
      </c>
      <c r="D15" t="s">
        <v>100</v>
      </c>
      <c r="E15" s="15">
        <v>25206</v>
      </c>
    </row>
    <row r="16" spans="1:5" x14ac:dyDescent="0.2">
      <c r="A16">
        <v>2016</v>
      </c>
      <c r="B16" t="s">
        <v>118</v>
      </c>
      <c r="C16">
        <v>6</v>
      </c>
      <c r="D16" t="s">
        <v>101</v>
      </c>
      <c r="E16" s="15">
        <v>9655</v>
      </c>
    </row>
    <row r="17" spans="1:5" x14ac:dyDescent="0.2">
      <c r="A17">
        <v>2016</v>
      </c>
      <c r="B17" t="s">
        <v>119</v>
      </c>
      <c r="C17">
        <v>7</v>
      </c>
      <c r="D17" t="s">
        <v>100</v>
      </c>
      <c r="E17" s="15">
        <v>19393</v>
      </c>
    </row>
    <row r="18" spans="1:5" x14ac:dyDescent="0.2">
      <c r="A18">
        <v>2016</v>
      </c>
      <c r="B18" t="s">
        <v>119</v>
      </c>
      <c r="C18">
        <v>7</v>
      </c>
      <c r="D18" t="s">
        <v>101</v>
      </c>
      <c r="E18" s="15">
        <v>8615</v>
      </c>
    </row>
    <row r="19" spans="1:5" x14ac:dyDescent="0.2">
      <c r="A19">
        <v>2016</v>
      </c>
      <c r="B19" t="s">
        <v>120</v>
      </c>
      <c r="C19">
        <v>8</v>
      </c>
      <c r="D19" t="s">
        <v>100</v>
      </c>
      <c r="E19" s="15">
        <v>70328</v>
      </c>
    </row>
    <row r="20" spans="1:5" x14ac:dyDescent="0.2">
      <c r="A20">
        <v>2016</v>
      </c>
      <c r="B20" t="s">
        <v>120</v>
      </c>
      <c r="C20">
        <v>8</v>
      </c>
      <c r="D20" t="s">
        <v>101</v>
      </c>
      <c r="E20" s="15">
        <v>39631</v>
      </c>
    </row>
    <row r="21" spans="1:5" x14ac:dyDescent="0.2">
      <c r="A21">
        <v>2016</v>
      </c>
      <c r="B21" t="s">
        <v>121</v>
      </c>
      <c r="C21">
        <v>9</v>
      </c>
      <c r="D21" t="s">
        <v>100</v>
      </c>
      <c r="E21" s="15">
        <v>48365</v>
      </c>
    </row>
    <row r="22" spans="1:5" x14ac:dyDescent="0.2">
      <c r="A22">
        <v>2016</v>
      </c>
      <c r="B22" t="s">
        <v>121</v>
      </c>
      <c r="C22">
        <v>9</v>
      </c>
      <c r="D22" t="s">
        <v>101</v>
      </c>
      <c r="E22" s="15">
        <v>30258</v>
      </c>
    </row>
    <row r="23" spans="1:5" x14ac:dyDescent="0.2">
      <c r="A23">
        <v>2016</v>
      </c>
      <c r="B23" t="s">
        <v>122</v>
      </c>
      <c r="C23">
        <v>10</v>
      </c>
      <c r="D23" t="s">
        <v>100</v>
      </c>
      <c r="E23" s="15">
        <v>39987</v>
      </c>
    </row>
    <row r="24" spans="1:5" x14ac:dyDescent="0.2">
      <c r="A24">
        <v>2016</v>
      </c>
      <c r="B24" t="s">
        <v>122</v>
      </c>
      <c r="C24">
        <v>10</v>
      </c>
      <c r="D24" t="s">
        <v>101</v>
      </c>
      <c r="E24" s="15">
        <v>27707</v>
      </c>
    </row>
    <row r="25" spans="1:5" x14ac:dyDescent="0.2">
      <c r="A25">
        <v>2016</v>
      </c>
      <c r="B25" t="s">
        <v>123</v>
      </c>
      <c r="C25">
        <v>11</v>
      </c>
      <c r="D25" t="s">
        <v>100</v>
      </c>
      <c r="E25" s="15">
        <v>153178</v>
      </c>
    </row>
    <row r="26" spans="1:5" x14ac:dyDescent="0.2">
      <c r="A26">
        <v>2016</v>
      </c>
      <c r="B26" t="s">
        <v>123</v>
      </c>
      <c r="C26">
        <v>11</v>
      </c>
      <c r="D26" t="s">
        <v>101</v>
      </c>
      <c r="E26" s="15">
        <v>99469</v>
      </c>
    </row>
    <row r="27" spans="1:5" x14ac:dyDescent="0.2">
      <c r="A27">
        <v>2017</v>
      </c>
      <c r="B27" t="s">
        <v>113</v>
      </c>
      <c r="C27">
        <v>1</v>
      </c>
      <c r="D27" t="s">
        <v>100</v>
      </c>
      <c r="E27" s="15">
        <v>1112</v>
      </c>
    </row>
    <row r="28" spans="1:5" x14ac:dyDescent="0.2">
      <c r="A28">
        <v>2017</v>
      </c>
      <c r="B28" t="s">
        <v>113</v>
      </c>
      <c r="C28">
        <v>1</v>
      </c>
      <c r="D28" t="s">
        <v>101</v>
      </c>
      <c r="E28" s="15">
        <v>670</v>
      </c>
    </row>
    <row r="29" spans="1:5" x14ac:dyDescent="0.2">
      <c r="A29">
        <v>2017</v>
      </c>
      <c r="B29" t="s">
        <v>114</v>
      </c>
      <c r="C29">
        <v>2</v>
      </c>
      <c r="D29" t="s">
        <v>100</v>
      </c>
      <c r="E29" s="15">
        <v>15727</v>
      </c>
    </row>
    <row r="30" spans="1:5" x14ac:dyDescent="0.2">
      <c r="A30">
        <v>2017</v>
      </c>
      <c r="B30" t="s">
        <v>114</v>
      </c>
      <c r="C30">
        <v>2</v>
      </c>
      <c r="D30" t="s">
        <v>101</v>
      </c>
      <c r="E30" s="15">
        <v>7994</v>
      </c>
    </row>
    <row r="31" spans="1:5" x14ac:dyDescent="0.2">
      <c r="A31">
        <v>2017</v>
      </c>
      <c r="B31" t="s">
        <v>115</v>
      </c>
      <c r="C31">
        <v>3</v>
      </c>
      <c r="D31" t="s">
        <v>100</v>
      </c>
      <c r="E31" s="15">
        <v>12093</v>
      </c>
    </row>
    <row r="32" spans="1:5" x14ac:dyDescent="0.2">
      <c r="A32">
        <v>2017</v>
      </c>
      <c r="B32" t="s">
        <v>115</v>
      </c>
      <c r="C32">
        <v>3</v>
      </c>
      <c r="D32" t="s">
        <v>101</v>
      </c>
      <c r="E32" s="15">
        <v>5077</v>
      </c>
    </row>
    <row r="33" spans="1:5" x14ac:dyDescent="0.2">
      <c r="A33">
        <v>2017</v>
      </c>
      <c r="B33" t="s">
        <v>116</v>
      </c>
      <c r="C33">
        <v>4</v>
      </c>
      <c r="D33" t="s">
        <v>100</v>
      </c>
      <c r="E33" s="15">
        <v>5254</v>
      </c>
    </row>
    <row r="34" spans="1:5" x14ac:dyDescent="0.2">
      <c r="A34">
        <v>2017</v>
      </c>
      <c r="B34" t="s">
        <v>116</v>
      </c>
      <c r="C34">
        <v>4</v>
      </c>
      <c r="D34" t="s">
        <v>101</v>
      </c>
      <c r="E34" s="15">
        <v>2033</v>
      </c>
    </row>
    <row r="35" spans="1:5" x14ac:dyDescent="0.2">
      <c r="A35">
        <v>2017</v>
      </c>
      <c r="B35" t="s">
        <v>117</v>
      </c>
      <c r="C35">
        <v>5</v>
      </c>
      <c r="D35" t="s">
        <v>100</v>
      </c>
      <c r="E35" s="15">
        <v>14983</v>
      </c>
    </row>
    <row r="36" spans="1:5" x14ac:dyDescent="0.2">
      <c r="A36">
        <v>2017</v>
      </c>
      <c r="B36" t="s">
        <v>117</v>
      </c>
      <c r="C36">
        <v>5</v>
      </c>
      <c r="D36" t="s">
        <v>101</v>
      </c>
      <c r="E36" s="15">
        <v>5171</v>
      </c>
    </row>
    <row r="37" spans="1:5" x14ac:dyDescent="0.2">
      <c r="A37">
        <v>2017</v>
      </c>
      <c r="B37" t="s">
        <v>118</v>
      </c>
      <c r="C37">
        <v>6</v>
      </c>
      <c r="D37" t="s">
        <v>100</v>
      </c>
      <c r="E37" s="15">
        <v>25200</v>
      </c>
    </row>
    <row r="38" spans="1:5" x14ac:dyDescent="0.2">
      <c r="A38">
        <v>2017</v>
      </c>
      <c r="B38" t="s">
        <v>118</v>
      </c>
      <c r="C38">
        <v>6</v>
      </c>
      <c r="D38" t="s">
        <v>101</v>
      </c>
      <c r="E38" s="15">
        <v>9200</v>
      </c>
    </row>
    <row r="39" spans="1:5" x14ac:dyDescent="0.2">
      <c r="A39">
        <v>2017</v>
      </c>
      <c r="B39" t="s">
        <v>119</v>
      </c>
      <c r="C39">
        <v>7</v>
      </c>
      <c r="D39" t="s">
        <v>100</v>
      </c>
      <c r="E39" s="15">
        <v>18863</v>
      </c>
    </row>
    <row r="40" spans="1:5" x14ac:dyDescent="0.2">
      <c r="A40">
        <v>2017</v>
      </c>
      <c r="B40" t="s">
        <v>119</v>
      </c>
      <c r="C40">
        <v>7</v>
      </c>
      <c r="D40" t="s">
        <v>101</v>
      </c>
      <c r="E40" s="15">
        <v>8061</v>
      </c>
    </row>
    <row r="41" spans="1:5" x14ac:dyDescent="0.2">
      <c r="A41">
        <v>2017</v>
      </c>
      <c r="B41" t="s">
        <v>120</v>
      </c>
      <c r="C41">
        <v>8</v>
      </c>
      <c r="D41" t="s">
        <v>100</v>
      </c>
      <c r="E41" s="15">
        <v>66253</v>
      </c>
    </row>
    <row r="42" spans="1:5" x14ac:dyDescent="0.2">
      <c r="A42">
        <v>2017</v>
      </c>
      <c r="B42" t="s">
        <v>120</v>
      </c>
      <c r="C42">
        <v>8</v>
      </c>
      <c r="D42" t="s">
        <v>101</v>
      </c>
      <c r="E42" s="15">
        <v>36526</v>
      </c>
    </row>
    <row r="43" spans="1:5" x14ac:dyDescent="0.2">
      <c r="A43">
        <v>2017</v>
      </c>
      <c r="B43" t="s">
        <v>121</v>
      </c>
      <c r="C43">
        <v>9</v>
      </c>
      <c r="D43" t="s">
        <v>100</v>
      </c>
      <c r="E43" s="15">
        <v>50110</v>
      </c>
    </row>
    <row r="44" spans="1:5" x14ac:dyDescent="0.2">
      <c r="A44">
        <v>2017</v>
      </c>
      <c r="B44" t="s">
        <v>121</v>
      </c>
      <c r="C44">
        <v>9</v>
      </c>
      <c r="D44" t="s">
        <v>101</v>
      </c>
      <c r="E44" s="15">
        <v>31392</v>
      </c>
    </row>
    <row r="45" spans="1:5" x14ac:dyDescent="0.2">
      <c r="A45">
        <v>2017</v>
      </c>
      <c r="B45" t="s">
        <v>122</v>
      </c>
      <c r="C45">
        <v>10</v>
      </c>
      <c r="D45" t="s">
        <v>100</v>
      </c>
      <c r="E45" s="15">
        <v>42102</v>
      </c>
    </row>
    <row r="46" spans="1:5" x14ac:dyDescent="0.2">
      <c r="A46">
        <v>2017</v>
      </c>
      <c r="B46" t="s">
        <v>122</v>
      </c>
      <c r="C46">
        <v>10</v>
      </c>
      <c r="D46" t="s">
        <v>101</v>
      </c>
      <c r="E46" s="15">
        <v>28446</v>
      </c>
    </row>
    <row r="47" spans="1:5" x14ac:dyDescent="0.2">
      <c r="A47">
        <v>2017</v>
      </c>
      <c r="B47" t="s">
        <v>123</v>
      </c>
      <c r="C47">
        <v>11</v>
      </c>
      <c r="D47" t="s">
        <v>100</v>
      </c>
      <c r="E47" s="15">
        <v>157263</v>
      </c>
    </row>
    <row r="48" spans="1:5" x14ac:dyDescent="0.2">
      <c r="A48">
        <v>2017</v>
      </c>
      <c r="B48" t="s">
        <v>123</v>
      </c>
      <c r="C48">
        <v>11</v>
      </c>
      <c r="D48" t="s">
        <v>101</v>
      </c>
      <c r="E48" s="15">
        <v>101413</v>
      </c>
    </row>
    <row r="49" spans="1:5" x14ac:dyDescent="0.2">
      <c r="A49">
        <v>2018</v>
      </c>
      <c r="B49" t="s">
        <v>113</v>
      </c>
      <c r="C49">
        <v>1</v>
      </c>
      <c r="D49" t="s">
        <v>100</v>
      </c>
      <c r="E49" s="15">
        <v>1122</v>
      </c>
    </row>
    <row r="50" spans="1:5" x14ac:dyDescent="0.2">
      <c r="A50">
        <v>2018</v>
      </c>
      <c r="B50" t="s">
        <v>113</v>
      </c>
      <c r="C50">
        <v>1</v>
      </c>
      <c r="D50" t="s">
        <v>101</v>
      </c>
      <c r="E50" s="15">
        <v>701</v>
      </c>
    </row>
    <row r="51" spans="1:5" x14ac:dyDescent="0.2">
      <c r="A51">
        <v>2018</v>
      </c>
      <c r="B51" t="s">
        <v>114</v>
      </c>
      <c r="C51">
        <v>2</v>
      </c>
      <c r="D51" t="s">
        <v>100</v>
      </c>
      <c r="E51" s="15">
        <v>15133</v>
      </c>
    </row>
    <row r="52" spans="1:5" x14ac:dyDescent="0.2">
      <c r="A52">
        <v>2018</v>
      </c>
      <c r="B52" t="s">
        <v>114</v>
      </c>
      <c r="C52">
        <v>2</v>
      </c>
      <c r="D52" t="s">
        <v>101</v>
      </c>
      <c r="E52" s="15">
        <v>7887</v>
      </c>
    </row>
    <row r="53" spans="1:5" x14ac:dyDescent="0.2">
      <c r="A53">
        <v>2018</v>
      </c>
      <c r="B53" t="s">
        <v>115</v>
      </c>
      <c r="C53">
        <v>3</v>
      </c>
      <c r="D53" t="s">
        <v>100</v>
      </c>
      <c r="E53" s="15">
        <v>11643</v>
      </c>
    </row>
    <row r="54" spans="1:5" x14ac:dyDescent="0.2">
      <c r="A54">
        <v>2018</v>
      </c>
      <c r="B54" t="s">
        <v>115</v>
      </c>
      <c r="C54">
        <v>3</v>
      </c>
      <c r="D54" t="s">
        <v>101</v>
      </c>
      <c r="E54" s="15">
        <v>4919</v>
      </c>
    </row>
    <row r="55" spans="1:5" x14ac:dyDescent="0.2">
      <c r="A55">
        <v>2018</v>
      </c>
      <c r="B55" t="s">
        <v>116</v>
      </c>
      <c r="C55">
        <v>4</v>
      </c>
      <c r="D55" t="s">
        <v>100</v>
      </c>
      <c r="E55" s="15">
        <v>5118</v>
      </c>
    </row>
    <row r="56" spans="1:5" x14ac:dyDescent="0.2">
      <c r="A56">
        <v>2018</v>
      </c>
      <c r="B56" t="s">
        <v>116</v>
      </c>
      <c r="C56">
        <v>4</v>
      </c>
      <c r="D56" t="s">
        <v>101</v>
      </c>
      <c r="E56" s="15">
        <v>1982</v>
      </c>
    </row>
    <row r="57" spans="1:5" x14ac:dyDescent="0.2">
      <c r="A57">
        <v>2018</v>
      </c>
      <c r="B57" t="s">
        <v>117</v>
      </c>
      <c r="C57">
        <v>5</v>
      </c>
      <c r="D57" t="s">
        <v>100</v>
      </c>
      <c r="E57" s="15">
        <v>15074</v>
      </c>
    </row>
    <row r="58" spans="1:5" x14ac:dyDescent="0.2">
      <c r="A58">
        <v>2018</v>
      </c>
      <c r="B58" t="s">
        <v>117</v>
      </c>
      <c r="C58">
        <v>5</v>
      </c>
      <c r="D58" t="s">
        <v>101</v>
      </c>
      <c r="E58" s="15">
        <v>5298</v>
      </c>
    </row>
    <row r="59" spans="1:5" x14ac:dyDescent="0.2">
      <c r="A59">
        <v>2018</v>
      </c>
      <c r="B59" t="s">
        <v>118</v>
      </c>
      <c r="C59">
        <v>6</v>
      </c>
      <c r="D59" t="s">
        <v>100</v>
      </c>
      <c r="E59" s="15">
        <v>24879</v>
      </c>
    </row>
    <row r="60" spans="1:5" x14ac:dyDescent="0.2">
      <c r="A60">
        <v>2018</v>
      </c>
      <c r="B60" t="s">
        <v>118</v>
      </c>
      <c r="C60">
        <v>6</v>
      </c>
      <c r="D60" t="s">
        <v>101</v>
      </c>
      <c r="E60" s="15">
        <v>8877</v>
      </c>
    </row>
    <row r="61" spans="1:5" x14ac:dyDescent="0.2">
      <c r="A61">
        <v>2018</v>
      </c>
      <c r="B61" t="s">
        <v>119</v>
      </c>
      <c r="C61">
        <v>7</v>
      </c>
      <c r="D61" t="s">
        <v>100</v>
      </c>
      <c r="E61" s="15">
        <v>18255</v>
      </c>
    </row>
    <row r="62" spans="1:5" x14ac:dyDescent="0.2">
      <c r="A62">
        <v>2018</v>
      </c>
      <c r="B62" t="s">
        <v>119</v>
      </c>
      <c r="C62">
        <v>7</v>
      </c>
      <c r="D62" t="s">
        <v>101</v>
      </c>
      <c r="E62" s="15">
        <v>7540</v>
      </c>
    </row>
    <row r="63" spans="1:5" x14ac:dyDescent="0.2">
      <c r="A63">
        <v>2018</v>
      </c>
      <c r="B63" t="s">
        <v>120</v>
      </c>
      <c r="C63">
        <v>8</v>
      </c>
      <c r="D63" t="s">
        <v>100</v>
      </c>
      <c r="E63" s="15">
        <v>61030</v>
      </c>
    </row>
    <row r="64" spans="1:5" x14ac:dyDescent="0.2">
      <c r="A64">
        <v>2018</v>
      </c>
      <c r="B64" t="s">
        <v>120</v>
      </c>
      <c r="C64">
        <v>8</v>
      </c>
      <c r="D64" t="s">
        <v>101</v>
      </c>
      <c r="E64" s="15">
        <v>33420</v>
      </c>
    </row>
    <row r="65" spans="1:5" x14ac:dyDescent="0.2">
      <c r="A65">
        <v>2018</v>
      </c>
      <c r="B65" t="s">
        <v>121</v>
      </c>
      <c r="C65">
        <v>9</v>
      </c>
      <c r="D65" t="s">
        <v>100</v>
      </c>
      <c r="E65" s="15">
        <v>51408</v>
      </c>
    </row>
    <row r="66" spans="1:5" x14ac:dyDescent="0.2">
      <c r="A66">
        <v>2018</v>
      </c>
      <c r="B66" t="s">
        <v>121</v>
      </c>
      <c r="C66">
        <v>9</v>
      </c>
      <c r="D66" t="s">
        <v>101</v>
      </c>
      <c r="E66" s="15">
        <v>31559</v>
      </c>
    </row>
    <row r="67" spans="1:5" x14ac:dyDescent="0.2">
      <c r="A67">
        <v>2018</v>
      </c>
      <c r="B67" t="s">
        <v>122</v>
      </c>
      <c r="C67">
        <v>10</v>
      </c>
      <c r="D67" t="s">
        <v>100</v>
      </c>
      <c r="E67" s="15">
        <v>43992</v>
      </c>
    </row>
    <row r="68" spans="1:5" x14ac:dyDescent="0.2">
      <c r="A68">
        <v>2018</v>
      </c>
      <c r="B68" t="s">
        <v>122</v>
      </c>
      <c r="C68">
        <v>10</v>
      </c>
      <c r="D68" t="s">
        <v>101</v>
      </c>
      <c r="E68" s="15">
        <v>29294</v>
      </c>
    </row>
    <row r="69" spans="1:5" x14ac:dyDescent="0.2">
      <c r="A69">
        <v>2018</v>
      </c>
      <c r="B69" t="s">
        <v>123</v>
      </c>
      <c r="C69">
        <v>11</v>
      </c>
      <c r="D69" t="s">
        <v>100</v>
      </c>
      <c r="E69" s="15">
        <v>160449</v>
      </c>
    </row>
    <row r="70" spans="1:5" x14ac:dyDescent="0.2">
      <c r="A70">
        <v>2018</v>
      </c>
      <c r="B70" t="s">
        <v>123</v>
      </c>
      <c r="C70">
        <v>11</v>
      </c>
      <c r="D70" t="s">
        <v>101</v>
      </c>
      <c r="E70" s="15">
        <v>102660</v>
      </c>
    </row>
    <row r="71" spans="1:5" x14ac:dyDescent="0.2">
      <c r="A71">
        <v>2019</v>
      </c>
      <c r="B71" t="s">
        <v>113</v>
      </c>
      <c r="C71">
        <v>1</v>
      </c>
      <c r="D71" t="s">
        <v>100</v>
      </c>
      <c r="E71" s="15">
        <v>1058</v>
      </c>
    </row>
    <row r="72" spans="1:5" x14ac:dyDescent="0.2">
      <c r="A72">
        <v>2019</v>
      </c>
      <c r="B72" t="s">
        <v>113</v>
      </c>
      <c r="C72">
        <v>1</v>
      </c>
      <c r="D72" t="s">
        <v>101</v>
      </c>
      <c r="E72" s="15">
        <v>726</v>
      </c>
    </row>
    <row r="73" spans="1:5" x14ac:dyDescent="0.2">
      <c r="A73">
        <v>2019</v>
      </c>
      <c r="B73" t="s">
        <v>114</v>
      </c>
      <c r="C73">
        <v>2</v>
      </c>
      <c r="D73" t="s">
        <v>100</v>
      </c>
      <c r="E73" s="15">
        <v>14782</v>
      </c>
    </row>
    <row r="74" spans="1:5" x14ac:dyDescent="0.2">
      <c r="A74">
        <v>2019</v>
      </c>
      <c r="B74" t="s">
        <v>114</v>
      </c>
      <c r="C74">
        <v>2</v>
      </c>
      <c r="D74" t="s">
        <v>101</v>
      </c>
      <c r="E74" s="15">
        <v>7608</v>
      </c>
    </row>
    <row r="75" spans="1:5" x14ac:dyDescent="0.2">
      <c r="A75">
        <v>2019</v>
      </c>
      <c r="B75" t="s">
        <v>115</v>
      </c>
      <c r="C75">
        <v>3</v>
      </c>
      <c r="D75" t="s">
        <v>100</v>
      </c>
      <c r="E75" s="15">
        <v>11368</v>
      </c>
    </row>
    <row r="76" spans="1:5" x14ac:dyDescent="0.2">
      <c r="A76">
        <v>2019</v>
      </c>
      <c r="B76" t="s">
        <v>115</v>
      </c>
      <c r="C76">
        <v>3</v>
      </c>
      <c r="D76" t="s">
        <v>101</v>
      </c>
      <c r="E76" s="15">
        <v>4797</v>
      </c>
    </row>
    <row r="77" spans="1:5" x14ac:dyDescent="0.2">
      <c r="A77">
        <v>2019</v>
      </c>
      <c r="B77" t="s">
        <v>116</v>
      </c>
      <c r="C77">
        <v>4</v>
      </c>
      <c r="D77" t="s">
        <v>100</v>
      </c>
      <c r="E77" s="15">
        <v>5062</v>
      </c>
    </row>
    <row r="78" spans="1:5" x14ac:dyDescent="0.2">
      <c r="A78">
        <v>2019</v>
      </c>
      <c r="B78" t="s">
        <v>116</v>
      </c>
      <c r="C78">
        <v>4</v>
      </c>
      <c r="D78" t="s">
        <v>101</v>
      </c>
      <c r="E78" s="15">
        <v>2043</v>
      </c>
    </row>
    <row r="79" spans="1:5" x14ac:dyDescent="0.2">
      <c r="A79">
        <v>2019</v>
      </c>
      <c r="B79" t="s">
        <v>117</v>
      </c>
      <c r="C79">
        <v>5</v>
      </c>
      <c r="D79" t="s">
        <v>100</v>
      </c>
      <c r="E79" s="15">
        <v>15274</v>
      </c>
    </row>
    <row r="80" spans="1:5" x14ac:dyDescent="0.2">
      <c r="A80">
        <v>2019</v>
      </c>
      <c r="B80" t="s">
        <v>117</v>
      </c>
      <c r="C80">
        <v>5</v>
      </c>
      <c r="D80" t="s">
        <v>101</v>
      </c>
      <c r="E80" s="15">
        <v>5377</v>
      </c>
    </row>
    <row r="81" spans="1:5" x14ac:dyDescent="0.2">
      <c r="A81">
        <v>2019</v>
      </c>
      <c r="B81" t="s">
        <v>118</v>
      </c>
      <c r="C81">
        <v>6</v>
      </c>
      <c r="D81" t="s">
        <v>100</v>
      </c>
      <c r="E81" s="15">
        <v>25299</v>
      </c>
    </row>
    <row r="82" spans="1:5" x14ac:dyDescent="0.2">
      <c r="A82">
        <v>2019</v>
      </c>
      <c r="B82" t="s">
        <v>118</v>
      </c>
      <c r="C82">
        <v>6</v>
      </c>
      <c r="D82" t="s">
        <v>101</v>
      </c>
      <c r="E82" s="15">
        <v>8604</v>
      </c>
    </row>
    <row r="83" spans="1:5" x14ac:dyDescent="0.2">
      <c r="A83">
        <v>2019</v>
      </c>
      <c r="B83" t="s">
        <v>119</v>
      </c>
      <c r="C83">
        <v>7</v>
      </c>
      <c r="D83" t="s">
        <v>100</v>
      </c>
      <c r="E83" s="15">
        <v>18036</v>
      </c>
    </row>
    <row r="84" spans="1:5" x14ac:dyDescent="0.2">
      <c r="A84">
        <v>2019</v>
      </c>
      <c r="B84" t="s">
        <v>119</v>
      </c>
      <c r="C84">
        <v>7</v>
      </c>
      <c r="D84" t="s">
        <v>101</v>
      </c>
      <c r="E84" s="15">
        <v>7184</v>
      </c>
    </row>
    <row r="85" spans="1:5" x14ac:dyDescent="0.2">
      <c r="A85">
        <v>2019</v>
      </c>
      <c r="B85" t="s">
        <v>120</v>
      </c>
      <c r="C85">
        <v>8</v>
      </c>
      <c r="D85" t="s">
        <v>100</v>
      </c>
      <c r="E85" s="15">
        <v>56602</v>
      </c>
    </row>
    <row r="86" spans="1:5" x14ac:dyDescent="0.2">
      <c r="A86">
        <v>2019</v>
      </c>
      <c r="B86" t="s">
        <v>120</v>
      </c>
      <c r="C86">
        <v>8</v>
      </c>
      <c r="D86" t="s">
        <v>101</v>
      </c>
      <c r="E86" s="15">
        <v>30648</v>
      </c>
    </row>
    <row r="87" spans="1:5" x14ac:dyDescent="0.2">
      <c r="A87">
        <v>2019</v>
      </c>
      <c r="B87" t="s">
        <v>121</v>
      </c>
      <c r="C87">
        <v>9</v>
      </c>
      <c r="D87" t="s">
        <v>100</v>
      </c>
      <c r="E87" s="15">
        <v>51802</v>
      </c>
    </row>
    <row r="88" spans="1:5" x14ac:dyDescent="0.2">
      <c r="A88">
        <v>2019</v>
      </c>
      <c r="B88" t="s">
        <v>121</v>
      </c>
      <c r="C88">
        <v>9</v>
      </c>
      <c r="D88" t="s">
        <v>101</v>
      </c>
      <c r="E88" s="15">
        <v>31800</v>
      </c>
    </row>
    <row r="89" spans="1:5" x14ac:dyDescent="0.2">
      <c r="A89">
        <v>2019</v>
      </c>
      <c r="B89" t="s">
        <v>122</v>
      </c>
      <c r="C89">
        <v>10</v>
      </c>
      <c r="D89" t="s">
        <v>100</v>
      </c>
      <c r="E89" s="15">
        <v>46969</v>
      </c>
    </row>
    <row r="90" spans="1:5" x14ac:dyDescent="0.2">
      <c r="A90">
        <v>2019</v>
      </c>
      <c r="B90" t="s">
        <v>122</v>
      </c>
      <c r="C90">
        <v>10</v>
      </c>
      <c r="D90" t="s">
        <v>101</v>
      </c>
      <c r="E90" s="15">
        <v>30685</v>
      </c>
    </row>
    <row r="91" spans="1:5" x14ac:dyDescent="0.2">
      <c r="A91">
        <v>2019</v>
      </c>
      <c r="B91" t="s">
        <v>123</v>
      </c>
      <c r="C91">
        <v>11</v>
      </c>
      <c r="D91" t="s">
        <v>100</v>
      </c>
      <c r="E91" s="15">
        <v>162953</v>
      </c>
    </row>
    <row r="92" spans="1:5" x14ac:dyDescent="0.2">
      <c r="A92">
        <v>2019</v>
      </c>
      <c r="B92" t="s">
        <v>123</v>
      </c>
      <c r="C92">
        <v>11</v>
      </c>
      <c r="D92" t="s">
        <v>101</v>
      </c>
      <c r="E92" s="15">
        <v>104000</v>
      </c>
    </row>
    <row r="93" spans="1:5" x14ac:dyDescent="0.2">
      <c r="A93">
        <v>2020</v>
      </c>
      <c r="B93" t="s">
        <v>113</v>
      </c>
      <c r="C93">
        <v>1</v>
      </c>
      <c r="D93" t="s">
        <v>100</v>
      </c>
      <c r="E93" s="15">
        <v>1186</v>
      </c>
    </row>
    <row r="94" spans="1:5" x14ac:dyDescent="0.2">
      <c r="A94">
        <v>2020</v>
      </c>
      <c r="B94" t="s">
        <v>113</v>
      </c>
      <c r="C94">
        <v>1</v>
      </c>
      <c r="D94" t="s">
        <v>101</v>
      </c>
      <c r="E94" s="15">
        <v>754</v>
      </c>
    </row>
    <row r="95" spans="1:5" x14ac:dyDescent="0.2">
      <c r="A95">
        <v>2020</v>
      </c>
      <c r="B95" t="s">
        <v>114</v>
      </c>
      <c r="C95">
        <v>2</v>
      </c>
      <c r="D95" t="s">
        <v>100</v>
      </c>
      <c r="E95" s="15">
        <v>14729</v>
      </c>
    </row>
    <row r="96" spans="1:5" x14ac:dyDescent="0.2">
      <c r="A96">
        <v>2020</v>
      </c>
      <c r="B96" t="s">
        <v>114</v>
      </c>
      <c r="C96">
        <v>2</v>
      </c>
      <c r="D96" t="s">
        <v>101</v>
      </c>
      <c r="E96" s="15">
        <v>7726</v>
      </c>
    </row>
    <row r="97" spans="1:5" x14ac:dyDescent="0.2">
      <c r="A97">
        <v>2020</v>
      </c>
      <c r="B97" t="s">
        <v>115</v>
      </c>
      <c r="C97">
        <v>3</v>
      </c>
      <c r="D97" t="s">
        <v>100</v>
      </c>
      <c r="E97" s="15">
        <v>11761</v>
      </c>
    </row>
    <row r="98" spans="1:5" x14ac:dyDescent="0.2">
      <c r="A98">
        <v>2020</v>
      </c>
      <c r="B98" t="s">
        <v>115</v>
      </c>
      <c r="C98">
        <v>3</v>
      </c>
      <c r="D98" t="s">
        <v>101</v>
      </c>
      <c r="E98" s="15">
        <v>5056</v>
      </c>
    </row>
    <row r="99" spans="1:5" x14ac:dyDescent="0.2">
      <c r="A99">
        <v>2020</v>
      </c>
      <c r="B99" t="s">
        <v>116</v>
      </c>
      <c r="C99">
        <v>4</v>
      </c>
      <c r="D99" t="s">
        <v>100</v>
      </c>
      <c r="E99" s="15">
        <v>5371</v>
      </c>
    </row>
    <row r="100" spans="1:5" x14ac:dyDescent="0.2">
      <c r="A100">
        <v>2020</v>
      </c>
      <c r="B100" t="s">
        <v>116</v>
      </c>
      <c r="C100">
        <v>4</v>
      </c>
      <c r="D100" t="s">
        <v>101</v>
      </c>
      <c r="E100" s="15">
        <v>2048</v>
      </c>
    </row>
    <row r="101" spans="1:5" x14ac:dyDescent="0.2">
      <c r="A101">
        <v>2020</v>
      </c>
      <c r="B101" t="s">
        <v>117</v>
      </c>
      <c r="C101">
        <v>5</v>
      </c>
      <c r="D101" t="s">
        <v>100</v>
      </c>
      <c r="E101" s="15">
        <v>16396</v>
      </c>
    </row>
    <row r="102" spans="1:5" x14ac:dyDescent="0.2">
      <c r="A102">
        <v>2020</v>
      </c>
      <c r="B102" t="s">
        <v>117</v>
      </c>
      <c r="C102">
        <v>5</v>
      </c>
      <c r="D102" t="s">
        <v>101</v>
      </c>
      <c r="E102" s="15">
        <v>5888</v>
      </c>
    </row>
    <row r="103" spans="1:5" x14ac:dyDescent="0.2">
      <c r="A103">
        <v>2020</v>
      </c>
      <c r="B103" t="s">
        <v>118</v>
      </c>
      <c r="C103">
        <v>6</v>
      </c>
      <c r="D103" t="s">
        <v>100</v>
      </c>
      <c r="E103" s="15">
        <v>27102</v>
      </c>
    </row>
    <row r="104" spans="1:5" x14ac:dyDescent="0.2">
      <c r="A104">
        <v>2020</v>
      </c>
      <c r="B104" t="s">
        <v>118</v>
      </c>
      <c r="C104">
        <v>6</v>
      </c>
      <c r="D104" t="s">
        <v>101</v>
      </c>
      <c r="E104" s="15">
        <v>8883</v>
      </c>
    </row>
    <row r="105" spans="1:5" x14ac:dyDescent="0.2">
      <c r="A105">
        <v>2020</v>
      </c>
      <c r="B105" t="s">
        <v>119</v>
      </c>
      <c r="C105">
        <v>7</v>
      </c>
      <c r="D105" t="s">
        <v>100</v>
      </c>
      <c r="E105" s="15">
        <v>17853</v>
      </c>
    </row>
    <row r="106" spans="1:5" x14ac:dyDescent="0.2">
      <c r="A106">
        <v>2020</v>
      </c>
      <c r="B106" t="s">
        <v>119</v>
      </c>
      <c r="C106">
        <v>7</v>
      </c>
      <c r="D106" t="s">
        <v>101</v>
      </c>
      <c r="E106" s="15">
        <v>6690</v>
      </c>
    </row>
    <row r="107" spans="1:5" x14ac:dyDescent="0.2">
      <c r="A107">
        <v>2020</v>
      </c>
      <c r="B107" t="s">
        <v>120</v>
      </c>
      <c r="C107">
        <v>8</v>
      </c>
      <c r="D107" t="s">
        <v>100</v>
      </c>
      <c r="E107" s="15">
        <v>52795</v>
      </c>
    </row>
    <row r="108" spans="1:5" x14ac:dyDescent="0.2">
      <c r="A108">
        <v>2020</v>
      </c>
      <c r="B108" t="s">
        <v>120</v>
      </c>
      <c r="C108">
        <v>8</v>
      </c>
      <c r="D108" t="s">
        <v>101</v>
      </c>
      <c r="E108" s="15">
        <v>28258</v>
      </c>
    </row>
    <row r="109" spans="1:5" x14ac:dyDescent="0.2">
      <c r="A109">
        <v>2020</v>
      </c>
      <c r="B109" t="s">
        <v>121</v>
      </c>
      <c r="C109">
        <v>9</v>
      </c>
      <c r="D109" t="s">
        <v>100</v>
      </c>
      <c r="E109" s="15">
        <v>50885</v>
      </c>
    </row>
    <row r="110" spans="1:5" x14ac:dyDescent="0.2">
      <c r="A110">
        <v>2020</v>
      </c>
      <c r="B110" t="s">
        <v>121</v>
      </c>
      <c r="C110">
        <v>9</v>
      </c>
      <c r="D110" t="s">
        <v>101</v>
      </c>
      <c r="E110" s="15">
        <v>31288</v>
      </c>
    </row>
    <row r="111" spans="1:5" x14ac:dyDescent="0.2">
      <c r="A111">
        <v>2020</v>
      </c>
      <c r="B111" t="s">
        <v>122</v>
      </c>
      <c r="C111">
        <v>10</v>
      </c>
      <c r="D111" t="s">
        <v>100</v>
      </c>
      <c r="E111" s="15">
        <v>49696</v>
      </c>
    </row>
    <row r="112" spans="1:5" x14ac:dyDescent="0.2">
      <c r="A112">
        <v>2020</v>
      </c>
      <c r="B112" t="s">
        <v>122</v>
      </c>
      <c r="C112">
        <v>10</v>
      </c>
      <c r="D112" t="s">
        <v>101</v>
      </c>
      <c r="E112" s="15">
        <v>31963</v>
      </c>
    </row>
    <row r="113" spans="1:5" x14ac:dyDescent="0.2">
      <c r="A113">
        <v>2020</v>
      </c>
      <c r="B113" t="s">
        <v>123</v>
      </c>
      <c r="C113">
        <v>11</v>
      </c>
      <c r="D113" t="s">
        <v>100</v>
      </c>
      <c r="E113" s="15">
        <v>168242</v>
      </c>
    </row>
    <row r="114" spans="1:5" x14ac:dyDescent="0.2">
      <c r="A114">
        <v>2020</v>
      </c>
      <c r="B114" t="s">
        <v>123</v>
      </c>
      <c r="C114">
        <v>11</v>
      </c>
      <c r="D114" t="s">
        <v>101</v>
      </c>
      <c r="E114" s="15">
        <v>106847</v>
      </c>
    </row>
    <row r="115" spans="1:5" x14ac:dyDescent="0.2">
      <c r="A115">
        <v>2021</v>
      </c>
      <c r="B115" t="s">
        <v>113</v>
      </c>
      <c r="C115">
        <v>1</v>
      </c>
      <c r="D115" t="s">
        <v>100</v>
      </c>
      <c r="E115" s="15">
        <v>1310</v>
      </c>
    </row>
    <row r="116" spans="1:5" x14ac:dyDescent="0.2">
      <c r="A116">
        <v>2021</v>
      </c>
      <c r="B116" t="s">
        <v>113</v>
      </c>
      <c r="C116">
        <v>1</v>
      </c>
      <c r="D116" t="s">
        <v>101</v>
      </c>
      <c r="E116" s="15">
        <v>861</v>
      </c>
    </row>
    <row r="117" spans="1:5" x14ac:dyDescent="0.2">
      <c r="A117">
        <v>2021</v>
      </c>
      <c r="B117" t="s">
        <v>114</v>
      </c>
      <c r="C117">
        <v>2</v>
      </c>
      <c r="D117" t="s">
        <v>100</v>
      </c>
      <c r="E117" s="15">
        <v>15438</v>
      </c>
    </row>
    <row r="118" spans="1:5" x14ac:dyDescent="0.2">
      <c r="A118">
        <v>2021</v>
      </c>
      <c r="B118" t="s">
        <v>114</v>
      </c>
      <c r="C118">
        <v>2</v>
      </c>
      <c r="D118" t="s">
        <v>101</v>
      </c>
      <c r="E118" s="15">
        <v>8137</v>
      </c>
    </row>
    <row r="119" spans="1:5" x14ac:dyDescent="0.2">
      <c r="A119">
        <v>2021</v>
      </c>
      <c r="B119" t="s">
        <v>115</v>
      </c>
      <c r="C119">
        <v>3</v>
      </c>
      <c r="D119" t="s">
        <v>100</v>
      </c>
      <c r="E119" s="15">
        <v>12612</v>
      </c>
    </row>
    <row r="120" spans="1:5" x14ac:dyDescent="0.2">
      <c r="A120">
        <v>2021</v>
      </c>
      <c r="B120" t="s">
        <v>115</v>
      </c>
      <c r="C120">
        <v>3</v>
      </c>
      <c r="D120" t="s">
        <v>101</v>
      </c>
      <c r="E120" s="15">
        <v>5560</v>
      </c>
    </row>
    <row r="121" spans="1:5" x14ac:dyDescent="0.2">
      <c r="A121">
        <v>2021</v>
      </c>
      <c r="B121" t="s">
        <v>116</v>
      </c>
      <c r="C121">
        <v>4</v>
      </c>
      <c r="D121" t="s">
        <v>100</v>
      </c>
      <c r="E121" s="15">
        <v>5744</v>
      </c>
    </row>
    <row r="122" spans="1:5" x14ac:dyDescent="0.2">
      <c r="A122">
        <v>2021</v>
      </c>
      <c r="B122" t="s">
        <v>116</v>
      </c>
      <c r="C122">
        <v>4</v>
      </c>
      <c r="D122" t="s">
        <v>101</v>
      </c>
      <c r="E122" s="15">
        <v>2171</v>
      </c>
    </row>
    <row r="123" spans="1:5" x14ac:dyDescent="0.2">
      <c r="A123">
        <v>2021</v>
      </c>
      <c r="B123" t="s">
        <v>117</v>
      </c>
      <c r="C123">
        <v>5</v>
      </c>
      <c r="D123" t="s">
        <v>100</v>
      </c>
      <c r="E123" s="15">
        <v>18583</v>
      </c>
    </row>
    <row r="124" spans="1:5" x14ac:dyDescent="0.2">
      <c r="A124">
        <v>2021</v>
      </c>
      <c r="B124" t="s">
        <v>117</v>
      </c>
      <c r="C124">
        <v>5</v>
      </c>
      <c r="D124" t="s">
        <v>101</v>
      </c>
      <c r="E124" s="15">
        <v>6818</v>
      </c>
    </row>
    <row r="125" spans="1:5" x14ac:dyDescent="0.2">
      <c r="A125">
        <v>2021</v>
      </c>
      <c r="B125" t="s">
        <v>118</v>
      </c>
      <c r="C125">
        <v>6</v>
      </c>
      <c r="D125" t="s">
        <v>100</v>
      </c>
      <c r="E125" s="15">
        <v>29800</v>
      </c>
    </row>
    <row r="126" spans="1:5" x14ac:dyDescent="0.2">
      <c r="A126">
        <v>2021</v>
      </c>
      <c r="B126" t="s">
        <v>118</v>
      </c>
      <c r="C126">
        <v>6</v>
      </c>
      <c r="D126" t="s">
        <v>101</v>
      </c>
      <c r="E126" s="15">
        <v>9674</v>
      </c>
    </row>
    <row r="127" spans="1:5" x14ac:dyDescent="0.2">
      <c r="A127">
        <v>2021</v>
      </c>
      <c r="B127" t="s">
        <v>119</v>
      </c>
      <c r="C127">
        <v>7</v>
      </c>
      <c r="D127" t="s">
        <v>100</v>
      </c>
      <c r="E127" s="15">
        <v>18346</v>
      </c>
    </row>
    <row r="128" spans="1:5" x14ac:dyDescent="0.2">
      <c r="A128">
        <v>2021</v>
      </c>
      <c r="B128" t="s">
        <v>119</v>
      </c>
      <c r="C128">
        <v>7</v>
      </c>
      <c r="D128" t="s">
        <v>101</v>
      </c>
      <c r="E128" s="15">
        <v>6586</v>
      </c>
    </row>
    <row r="129" spans="1:5" x14ac:dyDescent="0.2">
      <c r="A129">
        <v>2021</v>
      </c>
      <c r="B129" t="s">
        <v>120</v>
      </c>
      <c r="C129">
        <v>8</v>
      </c>
      <c r="D129" t="s">
        <v>100</v>
      </c>
      <c r="E129" s="15">
        <v>51990</v>
      </c>
    </row>
    <row r="130" spans="1:5" x14ac:dyDescent="0.2">
      <c r="A130">
        <v>2021</v>
      </c>
      <c r="B130" t="s">
        <v>120</v>
      </c>
      <c r="C130">
        <v>8</v>
      </c>
      <c r="D130" t="s">
        <v>101</v>
      </c>
      <c r="E130" s="15">
        <v>27498</v>
      </c>
    </row>
    <row r="131" spans="1:5" x14ac:dyDescent="0.2">
      <c r="A131">
        <v>2021</v>
      </c>
      <c r="B131" t="s">
        <v>121</v>
      </c>
      <c r="C131">
        <v>9</v>
      </c>
      <c r="D131" t="s">
        <v>100</v>
      </c>
      <c r="E131" s="15">
        <v>49901</v>
      </c>
    </row>
    <row r="132" spans="1:5" x14ac:dyDescent="0.2">
      <c r="A132">
        <v>2021</v>
      </c>
      <c r="B132" t="s">
        <v>121</v>
      </c>
      <c r="C132">
        <v>9</v>
      </c>
      <c r="D132" t="s">
        <v>101</v>
      </c>
      <c r="E132" s="15">
        <v>30978</v>
      </c>
    </row>
    <row r="133" spans="1:5" x14ac:dyDescent="0.2">
      <c r="A133">
        <v>2021</v>
      </c>
      <c r="B133" t="s">
        <v>122</v>
      </c>
      <c r="C133">
        <v>10</v>
      </c>
      <c r="D133" t="s">
        <v>100</v>
      </c>
      <c r="E133" s="15">
        <v>53246</v>
      </c>
    </row>
    <row r="134" spans="1:5" x14ac:dyDescent="0.2">
      <c r="A134">
        <v>2021</v>
      </c>
      <c r="B134" t="s">
        <v>122</v>
      </c>
      <c r="C134">
        <v>10</v>
      </c>
      <c r="D134" t="s">
        <v>101</v>
      </c>
      <c r="E134" s="15">
        <v>33615</v>
      </c>
    </row>
    <row r="135" spans="1:5" x14ac:dyDescent="0.2">
      <c r="A135">
        <v>2021</v>
      </c>
      <c r="B135" t="s">
        <v>123</v>
      </c>
      <c r="C135">
        <v>11</v>
      </c>
      <c r="D135" t="s">
        <v>100</v>
      </c>
      <c r="E135" s="15">
        <v>174848</v>
      </c>
    </row>
    <row r="136" spans="1:5" x14ac:dyDescent="0.2">
      <c r="A136">
        <v>2021</v>
      </c>
      <c r="B136" t="s">
        <v>123</v>
      </c>
      <c r="C136">
        <v>11</v>
      </c>
      <c r="D136" t="s">
        <v>101</v>
      </c>
      <c r="E136" s="15">
        <v>110267</v>
      </c>
    </row>
    <row r="137" spans="1:5" x14ac:dyDescent="0.2">
      <c r="A137">
        <v>2022</v>
      </c>
      <c r="B137" t="s">
        <v>113</v>
      </c>
      <c r="C137">
        <v>1</v>
      </c>
      <c r="D137" t="s">
        <v>100</v>
      </c>
      <c r="E137" s="15">
        <v>1326</v>
      </c>
    </row>
    <row r="138" spans="1:5" x14ac:dyDescent="0.2">
      <c r="A138">
        <v>2022</v>
      </c>
      <c r="B138" t="s">
        <v>113</v>
      </c>
      <c r="C138">
        <v>1</v>
      </c>
      <c r="D138" t="s">
        <v>101</v>
      </c>
      <c r="E138" s="15">
        <v>886</v>
      </c>
    </row>
    <row r="139" spans="1:5" x14ac:dyDescent="0.2">
      <c r="A139">
        <v>2022</v>
      </c>
      <c r="B139" t="s">
        <v>114</v>
      </c>
      <c r="C139">
        <v>2</v>
      </c>
      <c r="D139" t="s">
        <v>100</v>
      </c>
      <c r="E139" s="15">
        <v>15302</v>
      </c>
    </row>
    <row r="140" spans="1:5" x14ac:dyDescent="0.2">
      <c r="A140">
        <v>2022</v>
      </c>
      <c r="B140" t="s">
        <v>114</v>
      </c>
      <c r="C140">
        <v>2</v>
      </c>
      <c r="D140" t="s">
        <v>101</v>
      </c>
      <c r="E140" s="15">
        <v>8228</v>
      </c>
    </row>
    <row r="141" spans="1:5" x14ac:dyDescent="0.2">
      <c r="A141">
        <v>2022</v>
      </c>
      <c r="B141" t="s">
        <v>115</v>
      </c>
      <c r="C141">
        <v>3</v>
      </c>
      <c r="D141" t="s">
        <v>100</v>
      </c>
      <c r="E141" s="15">
        <v>12769</v>
      </c>
    </row>
    <row r="142" spans="1:5" x14ac:dyDescent="0.2">
      <c r="A142">
        <v>2022</v>
      </c>
      <c r="B142" t="s">
        <v>115</v>
      </c>
      <c r="C142">
        <v>3</v>
      </c>
      <c r="D142" t="s">
        <v>101</v>
      </c>
      <c r="E142" s="15">
        <v>5766</v>
      </c>
    </row>
    <row r="143" spans="1:5" x14ac:dyDescent="0.2">
      <c r="A143">
        <v>2022</v>
      </c>
      <c r="B143" t="s">
        <v>116</v>
      </c>
      <c r="C143">
        <v>4</v>
      </c>
      <c r="D143" t="s">
        <v>100</v>
      </c>
      <c r="E143" s="15">
        <v>6136</v>
      </c>
    </row>
    <row r="144" spans="1:5" x14ac:dyDescent="0.2">
      <c r="A144">
        <v>2022</v>
      </c>
      <c r="B144" t="s">
        <v>116</v>
      </c>
      <c r="C144">
        <v>4</v>
      </c>
      <c r="D144" t="s">
        <v>101</v>
      </c>
      <c r="E144" s="15">
        <v>2259</v>
      </c>
    </row>
    <row r="145" spans="1:5" x14ac:dyDescent="0.2">
      <c r="A145">
        <v>2022</v>
      </c>
      <c r="B145" t="s">
        <v>117</v>
      </c>
      <c r="C145">
        <v>5</v>
      </c>
      <c r="D145" t="s">
        <v>100</v>
      </c>
      <c r="E145" s="15">
        <v>19744</v>
      </c>
    </row>
    <row r="146" spans="1:5" x14ac:dyDescent="0.2">
      <c r="A146">
        <v>2022</v>
      </c>
      <c r="B146" t="s">
        <v>117</v>
      </c>
      <c r="C146">
        <v>5</v>
      </c>
      <c r="D146" t="s">
        <v>101</v>
      </c>
      <c r="E146" s="15">
        <v>7169</v>
      </c>
    </row>
    <row r="147" spans="1:5" x14ac:dyDescent="0.2">
      <c r="A147">
        <v>2022</v>
      </c>
      <c r="B147" t="s">
        <v>118</v>
      </c>
      <c r="C147">
        <v>6</v>
      </c>
      <c r="D147" t="s">
        <v>100</v>
      </c>
      <c r="E147" s="15">
        <v>32083</v>
      </c>
    </row>
    <row r="148" spans="1:5" x14ac:dyDescent="0.2">
      <c r="A148">
        <v>2022</v>
      </c>
      <c r="B148" t="s">
        <v>118</v>
      </c>
      <c r="C148">
        <v>6</v>
      </c>
      <c r="D148" t="s">
        <v>101</v>
      </c>
      <c r="E148" s="15">
        <v>10272</v>
      </c>
    </row>
    <row r="149" spans="1:5" x14ac:dyDescent="0.2">
      <c r="A149">
        <v>2022</v>
      </c>
      <c r="B149" t="s">
        <v>119</v>
      </c>
      <c r="C149">
        <v>7</v>
      </c>
      <c r="D149" t="s">
        <v>100</v>
      </c>
      <c r="E149" s="15">
        <v>18886</v>
      </c>
    </row>
    <row r="150" spans="1:5" x14ac:dyDescent="0.2">
      <c r="A150">
        <v>2022</v>
      </c>
      <c r="B150" t="s">
        <v>119</v>
      </c>
      <c r="C150">
        <v>7</v>
      </c>
      <c r="D150" t="s">
        <v>101</v>
      </c>
      <c r="E150" s="15">
        <v>6522</v>
      </c>
    </row>
    <row r="151" spans="1:5" x14ac:dyDescent="0.2">
      <c r="A151">
        <v>2022</v>
      </c>
      <c r="B151" t="s">
        <v>120</v>
      </c>
      <c r="C151">
        <v>8</v>
      </c>
      <c r="D151" t="s">
        <v>100</v>
      </c>
      <c r="E151" s="15">
        <v>50959</v>
      </c>
    </row>
    <row r="152" spans="1:5" x14ac:dyDescent="0.2">
      <c r="A152">
        <v>2022</v>
      </c>
      <c r="B152" t="s">
        <v>120</v>
      </c>
      <c r="C152">
        <v>8</v>
      </c>
      <c r="D152" t="s">
        <v>101</v>
      </c>
      <c r="E152" s="15">
        <v>26350</v>
      </c>
    </row>
    <row r="153" spans="1:5" x14ac:dyDescent="0.2">
      <c r="A153">
        <v>2022</v>
      </c>
      <c r="B153" t="s">
        <v>121</v>
      </c>
      <c r="C153">
        <v>9</v>
      </c>
      <c r="D153" t="s">
        <v>100</v>
      </c>
      <c r="E153" s="15">
        <v>48560</v>
      </c>
    </row>
    <row r="154" spans="1:5" x14ac:dyDescent="0.2">
      <c r="A154">
        <v>2022</v>
      </c>
      <c r="B154" t="s">
        <v>121</v>
      </c>
      <c r="C154">
        <v>9</v>
      </c>
      <c r="D154" t="s">
        <v>101</v>
      </c>
      <c r="E154" s="15">
        <v>30061</v>
      </c>
    </row>
    <row r="155" spans="1:5" x14ac:dyDescent="0.2">
      <c r="A155">
        <v>2022</v>
      </c>
      <c r="B155" t="s">
        <v>122</v>
      </c>
      <c r="C155">
        <v>10</v>
      </c>
      <c r="D155" t="s">
        <v>100</v>
      </c>
      <c r="E155" s="15">
        <v>55916</v>
      </c>
    </row>
    <row r="156" spans="1:5" x14ac:dyDescent="0.2">
      <c r="A156">
        <v>2022</v>
      </c>
      <c r="B156" t="s">
        <v>122</v>
      </c>
      <c r="C156">
        <v>10</v>
      </c>
      <c r="D156" t="s">
        <v>101</v>
      </c>
      <c r="E156" s="15">
        <v>35419</v>
      </c>
    </row>
    <row r="157" spans="1:5" x14ac:dyDescent="0.2">
      <c r="A157">
        <v>2022</v>
      </c>
      <c r="B157" t="s">
        <v>123</v>
      </c>
      <c r="C157">
        <v>11</v>
      </c>
      <c r="D157" t="s">
        <v>100</v>
      </c>
      <c r="E157" s="15">
        <v>176788</v>
      </c>
    </row>
    <row r="158" spans="1:5" x14ac:dyDescent="0.2">
      <c r="A158">
        <v>2022</v>
      </c>
      <c r="B158" t="s">
        <v>123</v>
      </c>
      <c r="C158">
        <v>11</v>
      </c>
      <c r="D158" t="s">
        <v>101</v>
      </c>
      <c r="E158" s="15">
        <v>111541</v>
      </c>
    </row>
    <row r="159" spans="1:5" x14ac:dyDescent="0.2">
      <c r="A159">
        <v>2023</v>
      </c>
      <c r="B159" t="s">
        <v>113</v>
      </c>
      <c r="C159">
        <v>1</v>
      </c>
      <c r="D159" t="s">
        <v>100</v>
      </c>
      <c r="E159" s="15">
        <v>1265</v>
      </c>
    </row>
    <row r="160" spans="1:5" x14ac:dyDescent="0.2">
      <c r="A160">
        <v>2023</v>
      </c>
      <c r="B160" t="s">
        <v>113</v>
      </c>
      <c r="C160">
        <v>1</v>
      </c>
      <c r="D160" t="s">
        <v>101</v>
      </c>
      <c r="E160" s="15">
        <v>865</v>
      </c>
    </row>
    <row r="161" spans="1:5" x14ac:dyDescent="0.2">
      <c r="A161">
        <v>2023</v>
      </c>
      <c r="B161" t="s">
        <v>114</v>
      </c>
      <c r="C161">
        <v>2</v>
      </c>
      <c r="D161" t="s">
        <v>100</v>
      </c>
      <c r="E161" s="15">
        <v>14582</v>
      </c>
    </row>
    <row r="162" spans="1:5" x14ac:dyDescent="0.2">
      <c r="A162">
        <v>2023</v>
      </c>
      <c r="B162" t="s">
        <v>114</v>
      </c>
      <c r="C162">
        <v>2</v>
      </c>
      <c r="D162" t="s">
        <v>101</v>
      </c>
      <c r="E162" s="15">
        <v>7791</v>
      </c>
    </row>
    <row r="163" spans="1:5" x14ac:dyDescent="0.2">
      <c r="A163">
        <v>2023</v>
      </c>
      <c r="B163" t="s">
        <v>115</v>
      </c>
      <c r="C163">
        <v>3</v>
      </c>
      <c r="D163" t="s">
        <v>100</v>
      </c>
      <c r="E163" s="15">
        <v>12676</v>
      </c>
    </row>
    <row r="164" spans="1:5" x14ac:dyDescent="0.2">
      <c r="A164">
        <v>2023</v>
      </c>
      <c r="B164" t="s">
        <v>115</v>
      </c>
      <c r="C164">
        <v>3</v>
      </c>
      <c r="D164" t="s">
        <v>101</v>
      </c>
      <c r="E164" s="15">
        <v>5680</v>
      </c>
    </row>
    <row r="165" spans="1:5" x14ac:dyDescent="0.2">
      <c r="A165">
        <v>2023</v>
      </c>
      <c r="B165" t="s">
        <v>116</v>
      </c>
      <c r="C165">
        <v>4</v>
      </c>
      <c r="D165" t="s">
        <v>100</v>
      </c>
      <c r="E165" s="15">
        <v>6372</v>
      </c>
    </row>
    <row r="166" spans="1:5" x14ac:dyDescent="0.2">
      <c r="A166">
        <v>2023</v>
      </c>
      <c r="B166" t="s">
        <v>116</v>
      </c>
      <c r="C166">
        <v>4</v>
      </c>
      <c r="D166" t="s">
        <v>101</v>
      </c>
      <c r="E166" s="15">
        <v>2338</v>
      </c>
    </row>
    <row r="167" spans="1:5" x14ac:dyDescent="0.2">
      <c r="A167">
        <v>2023</v>
      </c>
      <c r="B167" t="s">
        <v>117</v>
      </c>
      <c r="C167">
        <v>5</v>
      </c>
      <c r="D167" t="s">
        <v>100</v>
      </c>
      <c r="E167" s="15">
        <v>21136</v>
      </c>
    </row>
    <row r="168" spans="1:5" x14ac:dyDescent="0.2">
      <c r="A168">
        <v>2023</v>
      </c>
      <c r="B168" t="s">
        <v>117</v>
      </c>
      <c r="C168">
        <v>5</v>
      </c>
      <c r="D168" t="s">
        <v>101</v>
      </c>
      <c r="E168" s="15">
        <v>7410</v>
      </c>
    </row>
    <row r="169" spans="1:5" x14ac:dyDescent="0.2">
      <c r="A169">
        <v>2023</v>
      </c>
      <c r="B169" t="s">
        <v>118</v>
      </c>
      <c r="C169">
        <v>6</v>
      </c>
      <c r="D169" t="s">
        <v>100</v>
      </c>
      <c r="E169" s="15">
        <v>33711</v>
      </c>
    </row>
    <row r="170" spans="1:5" x14ac:dyDescent="0.2">
      <c r="A170">
        <v>2023</v>
      </c>
      <c r="B170" t="s">
        <v>118</v>
      </c>
      <c r="C170">
        <v>6</v>
      </c>
      <c r="D170" t="s">
        <v>101</v>
      </c>
      <c r="E170" s="15">
        <v>10598</v>
      </c>
    </row>
    <row r="171" spans="1:5" x14ac:dyDescent="0.2">
      <c r="A171">
        <v>2023</v>
      </c>
      <c r="B171" t="s">
        <v>119</v>
      </c>
      <c r="C171">
        <v>7</v>
      </c>
      <c r="D171" t="s">
        <v>100</v>
      </c>
      <c r="E171" s="15">
        <v>19125</v>
      </c>
    </row>
    <row r="172" spans="1:5" x14ac:dyDescent="0.2">
      <c r="A172">
        <v>2023</v>
      </c>
      <c r="B172" t="s">
        <v>119</v>
      </c>
      <c r="C172">
        <v>7</v>
      </c>
      <c r="D172" t="s">
        <v>101</v>
      </c>
      <c r="E172" s="15">
        <v>6213</v>
      </c>
    </row>
    <row r="173" spans="1:5" x14ac:dyDescent="0.2">
      <c r="A173">
        <v>2023</v>
      </c>
      <c r="B173" t="s">
        <v>120</v>
      </c>
      <c r="C173">
        <v>8</v>
      </c>
      <c r="D173" t="s">
        <v>100</v>
      </c>
      <c r="E173" s="15">
        <v>49188</v>
      </c>
    </row>
    <row r="174" spans="1:5" x14ac:dyDescent="0.2">
      <c r="A174">
        <v>2023</v>
      </c>
      <c r="B174" t="s">
        <v>120</v>
      </c>
      <c r="C174">
        <v>8</v>
      </c>
      <c r="D174" t="s">
        <v>101</v>
      </c>
      <c r="E174" s="15">
        <v>24641</v>
      </c>
    </row>
    <row r="175" spans="1:5" x14ac:dyDescent="0.2">
      <c r="A175">
        <v>2023</v>
      </c>
      <c r="B175" t="s">
        <v>121</v>
      </c>
      <c r="C175">
        <v>9</v>
      </c>
      <c r="D175" t="s">
        <v>100</v>
      </c>
      <c r="E175" s="15">
        <v>44944</v>
      </c>
    </row>
    <row r="176" spans="1:5" x14ac:dyDescent="0.2">
      <c r="A176">
        <v>2023</v>
      </c>
      <c r="B176" t="s">
        <v>121</v>
      </c>
      <c r="C176">
        <v>9</v>
      </c>
      <c r="D176" t="s">
        <v>101</v>
      </c>
      <c r="E176" s="15">
        <v>27721</v>
      </c>
    </row>
    <row r="177" spans="1:5" x14ac:dyDescent="0.2">
      <c r="A177">
        <v>2023</v>
      </c>
      <c r="B177" t="s">
        <v>122</v>
      </c>
      <c r="C177">
        <v>10</v>
      </c>
      <c r="D177" t="s">
        <v>100</v>
      </c>
      <c r="E177" s="15">
        <v>57646</v>
      </c>
    </row>
    <row r="178" spans="1:5" x14ac:dyDescent="0.2">
      <c r="A178">
        <v>2023</v>
      </c>
      <c r="B178" t="s">
        <v>122</v>
      </c>
      <c r="C178">
        <v>10</v>
      </c>
      <c r="D178" t="s">
        <v>101</v>
      </c>
      <c r="E178" s="15">
        <v>36313</v>
      </c>
    </row>
    <row r="179" spans="1:5" x14ac:dyDescent="0.2">
      <c r="A179">
        <v>2023</v>
      </c>
      <c r="B179" t="s">
        <v>123</v>
      </c>
      <c r="C179">
        <v>11</v>
      </c>
      <c r="D179" t="s">
        <v>100</v>
      </c>
      <c r="E179" s="15">
        <v>179148</v>
      </c>
    </row>
    <row r="180" spans="1:5" x14ac:dyDescent="0.2">
      <c r="A180">
        <v>2023</v>
      </c>
      <c r="B180" t="s">
        <v>123</v>
      </c>
      <c r="C180">
        <v>11</v>
      </c>
      <c r="D180" t="s">
        <v>101</v>
      </c>
      <c r="E180" s="15">
        <v>112763</v>
      </c>
    </row>
    <row r="181" spans="1:5" x14ac:dyDescent="0.2">
      <c r="A181">
        <v>2024</v>
      </c>
      <c r="B181" t="s">
        <v>113</v>
      </c>
      <c r="C181">
        <v>1</v>
      </c>
      <c r="D181" t="s">
        <v>100</v>
      </c>
      <c r="E181" s="15">
        <v>1334</v>
      </c>
    </row>
    <row r="182" spans="1:5" x14ac:dyDescent="0.2">
      <c r="A182">
        <v>2024</v>
      </c>
      <c r="B182" t="s">
        <v>113</v>
      </c>
      <c r="C182">
        <v>1</v>
      </c>
      <c r="D182" t="s">
        <v>101</v>
      </c>
      <c r="E182" s="15">
        <v>855</v>
      </c>
    </row>
    <row r="183" spans="1:5" x14ac:dyDescent="0.2">
      <c r="A183">
        <v>2024</v>
      </c>
      <c r="B183" t="s">
        <v>114</v>
      </c>
      <c r="C183">
        <v>2</v>
      </c>
      <c r="D183" t="s">
        <v>100</v>
      </c>
      <c r="E183" s="15">
        <v>14137</v>
      </c>
    </row>
    <row r="184" spans="1:5" x14ac:dyDescent="0.2">
      <c r="A184">
        <v>2024</v>
      </c>
      <c r="B184" t="s">
        <v>114</v>
      </c>
      <c r="C184">
        <v>2</v>
      </c>
      <c r="D184" t="s">
        <v>101</v>
      </c>
      <c r="E184" s="15">
        <v>7655</v>
      </c>
    </row>
    <row r="185" spans="1:5" x14ac:dyDescent="0.2">
      <c r="A185">
        <v>2024</v>
      </c>
      <c r="B185" t="s">
        <v>115</v>
      </c>
      <c r="C185">
        <v>3</v>
      </c>
      <c r="D185" t="s">
        <v>100</v>
      </c>
      <c r="E185" s="15">
        <v>12704</v>
      </c>
    </row>
    <row r="186" spans="1:5" x14ac:dyDescent="0.2">
      <c r="A186">
        <v>2024</v>
      </c>
      <c r="B186" t="s">
        <v>115</v>
      </c>
      <c r="C186">
        <v>3</v>
      </c>
      <c r="D186" t="s">
        <v>101</v>
      </c>
      <c r="E186" s="15">
        <v>5562</v>
      </c>
    </row>
    <row r="187" spans="1:5" x14ac:dyDescent="0.2">
      <c r="A187">
        <v>2024</v>
      </c>
      <c r="B187" t="s">
        <v>116</v>
      </c>
      <c r="C187">
        <v>4</v>
      </c>
      <c r="D187" t="s">
        <v>100</v>
      </c>
      <c r="E187" s="15">
        <v>6595</v>
      </c>
    </row>
    <row r="188" spans="1:5" x14ac:dyDescent="0.2">
      <c r="A188">
        <v>2024</v>
      </c>
      <c r="B188" t="s">
        <v>116</v>
      </c>
      <c r="C188">
        <v>4</v>
      </c>
      <c r="D188" t="s">
        <v>101</v>
      </c>
      <c r="E188" s="15">
        <v>2478</v>
      </c>
    </row>
    <row r="189" spans="1:5" x14ac:dyDescent="0.2">
      <c r="A189">
        <v>2024</v>
      </c>
      <c r="B189" t="s">
        <v>117</v>
      </c>
      <c r="C189">
        <v>5</v>
      </c>
      <c r="D189" t="s">
        <v>100</v>
      </c>
      <c r="E189" s="15">
        <v>22933</v>
      </c>
    </row>
    <row r="190" spans="1:5" x14ac:dyDescent="0.2">
      <c r="A190">
        <v>2024</v>
      </c>
      <c r="B190" t="s">
        <v>117</v>
      </c>
      <c r="C190">
        <v>5</v>
      </c>
      <c r="D190" t="s">
        <v>101</v>
      </c>
      <c r="E190" s="15">
        <v>7498</v>
      </c>
    </row>
    <row r="191" spans="1:5" x14ac:dyDescent="0.2">
      <c r="A191">
        <v>2024</v>
      </c>
      <c r="B191" t="s">
        <v>118</v>
      </c>
      <c r="C191">
        <v>6</v>
      </c>
      <c r="D191" t="s">
        <v>100</v>
      </c>
      <c r="E191" s="15">
        <v>36261</v>
      </c>
    </row>
    <row r="192" spans="1:5" x14ac:dyDescent="0.2">
      <c r="A192">
        <v>2024</v>
      </c>
      <c r="B192" t="s">
        <v>118</v>
      </c>
      <c r="C192">
        <v>6</v>
      </c>
      <c r="D192" t="s">
        <v>101</v>
      </c>
      <c r="E192" s="15">
        <v>11216</v>
      </c>
    </row>
    <row r="193" spans="1:5" x14ac:dyDescent="0.2">
      <c r="A193">
        <v>2024</v>
      </c>
      <c r="B193" t="s">
        <v>119</v>
      </c>
      <c r="C193">
        <v>7</v>
      </c>
      <c r="D193" t="s">
        <v>100</v>
      </c>
      <c r="E193" s="15">
        <v>20100</v>
      </c>
    </row>
    <row r="194" spans="1:5" x14ac:dyDescent="0.2">
      <c r="A194">
        <v>2024</v>
      </c>
      <c r="B194" t="s">
        <v>119</v>
      </c>
      <c r="C194">
        <v>7</v>
      </c>
      <c r="D194" t="s">
        <v>101</v>
      </c>
      <c r="E194" s="15">
        <v>6285</v>
      </c>
    </row>
    <row r="195" spans="1:5" x14ac:dyDescent="0.2">
      <c r="A195">
        <v>2024</v>
      </c>
      <c r="B195" t="s">
        <v>120</v>
      </c>
      <c r="C195">
        <v>8</v>
      </c>
      <c r="D195" t="s">
        <v>100</v>
      </c>
      <c r="E195" s="15">
        <v>48359</v>
      </c>
    </row>
    <row r="196" spans="1:5" x14ac:dyDescent="0.2">
      <c r="A196">
        <v>2024</v>
      </c>
      <c r="B196" t="s">
        <v>120</v>
      </c>
      <c r="C196">
        <v>8</v>
      </c>
      <c r="D196" t="s">
        <v>101</v>
      </c>
      <c r="E196" s="15">
        <v>23329</v>
      </c>
    </row>
    <row r="197" spans="1:5" x14ac:dyDescent="0.2">
      <c r="A197">
        <v>2024</v>
      </c>
      <c r="B197" t="s">
        <v>121</v>
      </c>
      <c r="C197">
        <v>9</v>
      </c>
      <c r="D197" t="s">
        <v>100</v>
      </c>
      <c r="E197" s="15">
        <v>40824</v>
      </c>
    </row>
    <row r="198" spans="1:5" x14ac:dyDescent="0.2">
      <c r="A198">
        <v>2024</v>
      </c>
      <c r="B198" t="s">
        <v>121</v>
      </c>
      <c r="C198">
        <v>9</v>
      </c>
      <c r="D198" t="s">
        <v>101</v>
      </c>
      <c r="E198" s="15">
        <v>25139</v>
      </c>
    </row>
    <row r="199" spans="1:5" x14ac:dyDescent="0.2">
      <c r="A199">
        <v>2024</v>
      </c>
      <c r="B199" t="s">
        <v>122</v>
      </c>
      <c r="C199">
        <v>10</v>
      </c>
      <c r="D199" t="s">
        <v>100</v>
      </c>
      <c r="E199" s="15">
        <v>58289</v>
      </c>
    </row>
    <row r="200" spans="1:5" x14ac:dyDescent="0.2">
      <c r="A200">
        <v>2024</v>
      </c>
      <c r="B200" t="s">
        <v>122</v>
      </c>
      <c r="C200">
        <v>10</v>
      </c>
      <c r="D200" t="s">
        <v>101</v>
      </c>
      <c r="E200" s="15">
        <v>36450</v>
      </c>
    </row>
    <row r="201" spans="1:5" x14ac:dyDescent="0.2">
      <c r="A201">
        <v>2024</v>
      </c>
      <c r="B201" t="s">
        <v>123</v>
      </c>
      <c r="C201">
        <v>11</v>
      </c>
      <c r="D201" t="s">
        <v>100</v>
      </c>
      <c r="E201" s="15">
        <v>183833</v>
      </c>
    </row>
    <row r="202" spans="1:5" x14ac:dyDescent="0.2">
      <c r="A202">
        <v>2024</v>
      </c>
      <c r="B202" t="s">
        <v>123</v>
      </c>
      <c r="C202">
        <v>11</v>
      </c>
      <c r="D202" t="s">
        <v>101</v>
      </c>
      <c r="E202" s="15">
        <v>114872</v>
      </c>
    </row>
    <row r="203" spans="1:5" x14ac:dyDescent="0.2">
      <c r="A203">
        <v>2025</v>
      </c>
      <c r="B203" t="s">
        <v>113</v>
      </c>
      <c r="C203">
        <v>1</v>
      </c>
      <c r="D203" t="s">
        <v>100</v>
      </c>
      <c r="E203" s="15">
        <v>1347</v>
      </c>
    </row>
    <row r="204" spans="1:5" x14ac:dyDescent="0.2">
      <c r="A204">
        <v>2025</v>
      </c>
      <c r="B204" t="s">
        <v>113</v>
      </c>
      <c r="C204">
        <v>1</v>
      </c>
      <c r="D204" t="s">
        <v>101</v>
      </c>
      <c r="E204" s="15">
        <v>824</v>
      </c>
    </row>
    <row r="205" spans="1:5" x14ac:dyDescent="0.2">
      <c r="A205">
        <v>2025</v>
      </c>
      <c r="B205" t="s">
        <v>114</v>
      </c>
      <c r="C205">
        <v>2</v>
      </c>
      <c r="D205" t="s">
        <v>100</v>
      </c>
      <c r="E205" s="15">
        <v>14268</v>
      </c>
    </row>
    <row r="206" spans="1:5" x14ac:dyDescent="0.2">
      <c r="A206">
        <v>2025</v>
      </c>
      <c r="B206" t="s">
        <v>114</v>
      </c>
      <c r="C206">
        <v>2</v>
      </c>
      <c r="D206" t="s">
        <v>101</v>
      </c>
      <c r="E206" s="15">
        <v>7472</v>
      </c>
    </row>
    <row r="207" spans="1:5" x14ac:dyDescent="0.2">
      <c r="A207">
        <v>2025</v>
      </c>
      <c r="B207" t="s">
        <v>115</v>
      </c>
      <c r="C207">
        <v>3</v>
      </c>
      <c r="D207" t="s">
        <v>100</v>
      </c>
      <c r="E207" s="15">
        <v>13350</v>
      </c>
    </row>
    <row r="208" spans="1:5" x14ac:dyDescent="0.2">
      <c r="A208">
        <v>2025</v>
      </c>
      <c r="B208" t="s">
        <v>115</v>
      </c>
      <c r="C208">
        <v>3</v>
      </c>
      <c r="D208" t="s">
        <v>101</v>
      </c>
      <c r="E208" s="15">
        <v>5537</v>
      </c>
    </row>
    <row r="209" spans="1:5" x14ac:dyDescent="0.2">
      <c r="A209">
        <v>2025</v>
      </c>
      <c r="B209" t="s">
        <v>116</v>
      </c>
      <c r="C209">
        <v>4</v>
      </c>
      <c r="D209" t="s">
        <v>100</v>
      </c>
      <c r="E209" s="15">
        <v>7024</v>
      </c>
    </row>
    <row r="210" spans="1:5" x14ac:dyDescent="0.2">
      <c r="A210">
        <v>2025</v>
      </c>
      <c r="B210" t="s">
        <v>116</v>
      </c>
      <c r="C210">
        <v>4</v>
      </c>
      <c r="D210" t="s">
        <v>101</v>
      </c>
      <c r="E210" s="15">
        <v>2498</v>
      </c>
    </row>
    <row r="211" spans="1:5" x14ac:dyDescent="0.2">
      <c r="A211">
        <v>2025</v>
      </c>
      <c r="B211" t="s">
        <v>117</v>
      </c>
      <c r="C211">
        <v>5</v>
      </c>
      <c r="D211" t="s">
        <v>100</v>
      </c>
      <c r="E211" s="15">
        <v>24839</v>
      </c>
    </row>
    <row r="212" spans="1:5" x14ac:dyDescent="0.2">
      <c r="A212">
        <v>2025</v>
      </c>
      <c r="B212" t="s">
        <v>117</v>
      </c>
      <c r="C212">
        <v>5</v>
      </c>
      <c r="D212" t="s">
        <v>101</v>
      </c>
      <c r="E212" s="15">
        <v>8060</v>
      </c>
    </row>
    <row r="213" spans="1:5" x14ac:dyDescent="0.2">
      <c r="A213">
        <v>2025</v>
      </c>
      <c r="B213" t="s">
        <v>118</v>
      </c>
      <c r="C213">
        <v>6</v>
      </c>
      <c r="D213" t="s">
        <v>100</v>
      </c>
      <c r="E213" s="15">
        <v>39369</v>
      </c>
    </row>
    <row r="214" spans="1:5" x14ac:dyDescent="0.2">
      <c r="A214">
        <v>2025</v>
      </c>
      <c r="B214" t="s">
        <v>118</v>
      </c>
      <c r="C214">
        <v>6</v>
      </c>
      <c r="D214" t="s">
        <v>101</v>
      </c>
      <c r="E214" s="15">
        <v>12016</v>
      </c>
    </row>
    <row r="215" spans="1:5" x14ac:dyDescent="0.2">
      <c r="A215">
        <v>2025</v>
      </c>
      <c r="B215" t="s">
        <v>119</v>
      </c>
      <c r="C215">
        <v>7</v>
      </c>
      <c r="D215" t="s">
        <v>100</v>
      </c>
      <c r="E215" s="15">
        <v>21606</v>
      </c>
    </row>
    <row r="216" spans="1:5" x14ac:dyDescent="0.2">
      <c r="A216">
        <v>2025</v>
      </c>
      <c r="B216" t="s">
        <v>119</v>
      </c>
      <c r="C216">
        <v>7</v>
      </c>
      <c r="D216" t="s">
        <v>101</v>
      </c>
      <c r="E216" s="15">
        <v>6399</v>
      </c>
    </row>
    <row r="217" spans="1:5" x14ac:dyDescent="0.2">
      <c r="A217">
        <v>2025</v>
      </c>
      <c r="B217" t="s">
        <v>120</v>
      </c>
      <c r="C217">
        <v>8</v>
      </c>
      <c r="D217" t="s">
        <v>100</v>
      </c>
      <c r="E217" s="15">
        <v>48396</v>
      </c>
    </row>
    <row r="218" spans="1:5" x14ac:dyDescent="0.2">
      <c r="A218">
        <v>2025</v>
      </c>
      <c r="B218" t="s">
        <v>120</v>
      </c>
      <c r="C218">
        <v>8</v>
      </c>
      <c r="D218" t="s">
        <v>101</v>
      </c>
      <c r="E218" s="15">
        <v>22454</v>
      </c>
    </row>
    <row r="219" spans="1:5" x14ac:dyDescent="0.2">
      <c r="A219">
        <v>2025</v>
      </c>
      <c r="B219" t="s">
        <v>121</v>
      </c>
      <c r="C219">
        <v>9</v>
      </c>
      <c r="D219" t="s">
        <v>100</v>
      </c>
      <c r="E219" s="15">
        <v>37439</v>
      </c>
    </row>
    <row r="220" spans="1:5" x14ac:dyDescent="0.2">
      <c r="A220">
        <v>2025</v>
      </c>
      <c r="B220" t="s">
        <v>121</v>
      </c>
      <c r="C220">
        <v>9</v>
      </c>
      <c r="D220" t="s">
        <v>101</v>
      </c>
      <c r="E220" s="15">
        <v>22880</v>
      </c>
    </row>
    <row r="221" spans="1:5" x14ac:dyDescent="0.2">
      <c r="A221">
        <v>2025</v>
      </c>
      <c r="B221" t="s">
        <v>122</v>
      </c>
      <c r="C221">
        <v>10</v>
      </c>
      <c r="D221" t="s">
        <v>100</v>
      </c>
      <c r="E221" s="15">
        <v>57318</v>
      </c>
    </row>
    <row r="222" spans="1:5" x14ac:dyDescent="0.2">
      <c r="A222">
        <v>2025</v>
      </c>
      <c r="B222" t="s">
        <v>122</v>
      </c>
      <c r="C222">
        <v>10</v>
      </c>
      <c r="D222" t="s">
        <v>101</v>
      </c>
      <c r="E222" s="15">
        <v>36368</v>
      </c>
    </row>
    <row r="223" spans="1:5" x14ac:dyDescent="0.2">
      <c r="A223">
        <v>2025</v>
      </c>
      <c r="B223" t="s">
        <v>123</v>
      </c>
      <c r="C223">
        <v>11</v>
      </c>
      <c r="D223" t="s">
        <v>100</v>
      </c>
      <c r="E223" s="15">
        <v>189106</v>
      </c>
    </row>
    <row r="224" spans="1:5" x14ac:dyDescent="0.2">
      <c r="A224">
        <v>2025</v>
      </c>
      <c r="B224" t="s">
        <v>123</v>
      </c>
      <c r="C224">
        <v>11</v>
      </c>
      <c r="D224" t="s">
        <v>101</v>
      </c>
      <c r="E224" s="15">
        <v>117047</v>
      </c>
    </row>
  </sheetData>
  <pageMargins left="0.75" right="0.75" top="1" bottom="1" header="0.5" footer="0.5"/>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N20"/>
  <sheetViews>
    <sheetView workbookViewId="0">
      <selection activeCell="A17" sqref="A17"/>
    </sheetView>
  </sheetViews>
  <sheetFormatPr baseColWidth="10" defaultColWidth="8.83203125" defaultRowHeight="15" x14ac:dyDescent="0.2"/>
  <cols>
    <col min="1" max="1" width="26" customWidth="1"/>
    <col min="2" max="4" width="12" customWidth="1"/>
    <col min="5" max="5" width="11" customWidth="1"/>
    <col min="6" max="8" width="12" customWidth="1"/>
    <col min="9" max="9" width="11" customWidth="1"/>
    <col min="10" max="10" width="12" customWidth="1"/>
    <col min="11" max="11" width="13" customWidth="1"/>
    <col min="12" max="13" width="15" customWidth="1"/>
    <col min="14" max="14" width="14" customWidth="1"/>
  </cols>
  <sheetData>
    <row r="1" spans="1:14" ht="19" x14ac:dyDescent="0.25">
      <c r="A1" s="1" t="s">
        <v>128</v>
      </c>
    </row>
    <row r="2" spans="1:14" x14ac:dyDescent="0.2">
      <c r="A2" s="2" t="s">
        <v>129</v>
      </c>
    </row>
    <row r="4" spans="1:14" ht="30" customHeight="1" x14ac:dyDescent="0.2">
      <c r="A4" s="5" t="s">
        <v>130</v>
      </c>
      <c r="B4" s="5" t="s">
        <v>131</v>
      </c>
      <c r="C4" s="5" t="s">
        <v>132</v>
      </c>
      <c r="D4" s="5" t="s">
        <v>103</v>
      </c>
      <c r="E4" s="5" t="s">
        <v>104</v>
      </c>
      <c r="F4" s="5" t="s">
        <v>133</v>
      </c>
      <c r="G4" s="5" t="s">
        <v>134</v>
      </c>
      <c r="H4" s="5" t="s">
        <v>102</v>
      </c>
      <c r="I4" s="5" t="s">
        <v>135</v>
      </c>
      <c r="J4" s="5" t="s">
        <v>136</v>
      </c>
      <c r="K4" s="5" t="s">
        <v>137</v>
      </c>
      <c r="L4" s="5" t="s">
        <v>138</v>
      </c>
      <c r="M4" s="5" t="s">
        <v>107</v>
      </c>
      <c r="N4" s="5" t="s">
        <v>139</v>
      </c>
    </row>
    <row r="5" spans="1:14" x14ac:dyDescent="0.2">
      <c r="A5" s="6" t="e" vm="1">
        <v>#VALUE!</v>
      </c>
      <c r="B5" s="7">
        <v>76079</v>
      </c>
      <c r="C5" s="7">
        <v>73638</v>
      </c>
      <c r="D5" s="7">
        <f t="shared" ref="D5:D17" si="0">B5-C5</f>
        <v>2441</v>
      </c>
      <c r="E5" s="9">
        <f t="shared" ref="E5:E17" si="1">IFERROR(D5/C5,"")</f>
        <v>3.3148646079469837E-2</v>
      </c>
      <c r="F5" s="7">
        <v>48708</v>
      </c>
      <c r="G5" s="7">
        <v>27371</v>
      </c>
      <c r="H5" s="8">
        <f t="shared" ref="H5:H18" si="2">G5/B5</f>
        <v>0.35977076459995533</v>
      </c>
      <c r="I5" s="7">
        <v>5892</v>
      </c>
      <c r="J5" s="7">
        <v>36879</v>
      </c>
      <c r="K5" s="7">
        <v>11245898</v>
      </c>
      <c r="L5" s="10">
        <f t="shared" ref="L5:L16" si="3">B5/K5*1000</f>
        <v>6.7650444633234272</v>
      </c>
      <c r="M5" s="10">
        <f t="shared" ref="M5:M16" si="4">IFERROR(B5/N5,"")</f>
        <v>854.82022471910113</v>
      </c>
      <c r="N5" s="10">
        <v>89</v>
      </c>
    </row>
    <row r="6" spans="1:14" x14ac:dyDescent="0.2">
      <c r="A6" s="6" t="e" vm="2">
        <v>#VALUE!</v>
      </c>
      <c r="B6" s="7">
        <v>144501</v>
      </c>
      <c r="C6" s="7">
        <v>138837</v>
      </c>
      <c r="D6" s="7">
        <f t="shared" si="0"/>
        <v>5664</v>
      </c>
      <c r="E6" s="9">
        <f t="shared" si="1"/>
        <v>4.0796041401067441E-2</v>
      </c>
      <c r="F6" s="7">
        <v>92486</v>
      </c>
      <c r="G6" s="7">
        <v>52015</v>
      </c>
      <c r="H6" s="8">
        <f t="shared" si="2"/>
        <v>0.35996290683109461</v>
      </c>
      <c r="I6" s="7">
        <v>9557</v>
      </c>
      <c r="J6" s="7">
        <v>63445</v>
      </c>
      <c r="K6" s="7">
        <v>13248928</v>
      </c>
      <c r="L6" s="10">
        <f t="shared" si="3"/>
        <v>10.906618256209105</v>
      </c>
      <c r="M6" s="10">
        <f t="shared" si="4"/>
        <v>845.03508771929819</v>
      </c>
      <c r="N6" s="10">
        <v>171</v>
      </c>
    </row>
    <row r="7" spans="1:14" x14ac:dyDescent="0.2">
      <c r="A7" s="6" t="e" vm="3">
        <v>#VALUE!</v>
      </c>
      <c r="B7" s="7">
        <v>27777</v>
      </c>
      <c r="C7" s="7">
        <v>24022</v>
      </c>
      <c r="D7" s="7">
        <f t="shared" si="0"/>
        <v>3755</v>
      </c>
      <c r="E7" s="9">
        <f t="shared" si="1"/>
        <v>0.1563150445425027</v>
      </c>
      <c r="F7" s="7">
        <v>18775</v>
      </c>
      <c r="G7" s="7">
        <v>9002</v>
      </c>
      <c r="H7" s="8">
        <f t="shared" si="2"/>
        <v>0.32408107427007954</v>
      </c>
      <c r="I7" s="7">
        <v>1774</v>
      </c>
      <c r="J7" s="7">
        <v>11155</v>
      </c>
      <c r="K7" s="7">
        <v>6242012</v>
      </c>
      <c r="L7" s="10">
        <f t="shared" si="3"/>
        <v>4.4500074655415593</v>
      </c>
      <c r="M7" s="10">
        <f t="shared" si="4"/>
        <v>1461.9473684210527</v>
      </c>
      <c r="N7" s="10">
        <v>19</v>
      </c>
    </row>
    <row r="8" spans="1:14" x14ac:dyDescent="0.2">
      <c r="A8" s="6" t="e" vm="4">
        <v>#VALUE!</v>
      </c>
      <c r="B8" s="7">
        <v>22099</v>
      </c>
      <c r="C8" s="7">
        <v>21615</v>
      </c>
      <c r="D8" s="7">
        <f t="shared" si="0"/>
        <v>484</v>
      </c>
      <c r="E8" s="9">
        <f t="shared" si="1"/>
        <v>2.2391857506361322E-2</v>
      </c>
      <c r="F8" s="7">
        <v>13936</v>
      </c>
      <c r="G8" s="7">
        <v>8163</v>
      </c>
      <c r="H8" s="8">
        <f t="shared" si="2"/>
        <v>0.36938323001040774</v>
      </c>
      <c r="I8" s="7">
        <v>2351</v>
      </c>
      <c r="J8" s="7">
        <v>9527</v>
      </c>
      <c r="K8" s="7">
        <v>1862565</v>
      </c>
      <c r="L8" s="10">
        <f t="shared" si="3"/>
        <v>11.864820825045031</v>
      </c>
      <c r="M8" s="10">
        <f t="shared" si="4"/>
        <v>1163.1052631578948</v>
      </c>
      <c r="N8" s="10">
        <v>19</v>
      </c>
    </row>
    <row r="9" spans="1:14" x14ac:dyDescent="0.2">
      <c r="A9" s="6" t="e" vm="5">
        <v>#VALUE!</v>
      </c>
      <c r="B9" s="7">
        <v>49741</v>
      </c>
      <c r="C9" s="7">
        <v>48284</v>
      </c>
      <c r="D9" s="7">
        <f t="shared" si="0"/>
        <v>1457</v>
      </c>
      <c r="E9" s="9">
        <f t="shared" si="1"/>
        <v>3.0175627537072321E-2</v>
      </c>
      <c r="F9" s="7">
        <v>32266</v>
      </c>
      <c r="G9" s="7">
        <v>17475</v>
      </c>
      <c r="H9" s="8">
        <f t="shared" si="2"/>
        <v>0.35131983675438772</v>
      </c>
      <c r="I9" s="7">
        <v>3830</v>
      </c>
      <c r="J9" s="7">
        <v>22652</v>
      </c>
      <c r="K9" s="7">
        <v>6280793</v>
      </c>
      <c r="L9" s="10">
        <f t="shared" si="3"/>
        <v>7.9195413700149011</v>
      </c>
      <c r="M9" s="10">
        <f t="shared" si="4"/>
        <v>938.5094339622641</v>
      </c>
      <c r="N9" s="10">
        <v>53</v>
      </c>
    </row>
    <row r="10" spans="1:14" x14ac:dyDescent="0.2">
      <c r="A10" s="6" t="e" vm="6">
        <v>#VALUE!</v>
      </c>
      <c r="B10" s="7">
        <v>18752</v>
      </c>
      <c r="C10" s="7">
        <v>17152</v>
      </c>
      <c r="D10" s="7">
        <f t="shared" si="0"/>
        <v>1600</v>
      </c>
      <c r="E10" s="9">
        <f t="shared" si="1"/>
        <v>9.3283582089552244E-2</v>
      </c>
      <c r="F10" s="7">
        <v>12251</v>
      </c>
      <c r="G10" s="7">
        <v>6501</v>
      </c>
      <c r="H10" s="8">
        <f t="shared" si="2"/>
        <v>0.34668302047781568</v>
      </c>
      <c r="I10" s="7">
        <v>557</v>
      </c>
      <c r="J10" s="7">
        <v>7183</v>
      </c>
      <c r="K10" s="7">
        <v>1573597</v>
      </c>
      <c r="L10" s="10">
        <f t="shared" si="3"/>
        <v>11.916647019535498</v>
      </c>
      <c r="M10" s="10">
        <f t="shared" si="4"/>
        <v>1103.0588235294117</v>
      </c>
      <c r="N10" s="10">
        <v>17</v>
      </c>
    </row>
    <row r="11" spans="1:14" x14ac:dyDescent="0.2">
      <c r="A11" s="6" t="e" vm="7">
        <v>#VALUE!</v>
      </c>
      <c r="B11" s="7">
        <v>78772</v>
      </c>
      <c r="C11" s="7">
        <v>72383</v>
      </c>
      <c r="D11" s="7">
        <f t="shared" si="0"/>
        <v>6389</v>
      </c>
      <c r="E11" s="9">
        <f t="shared" si="1"/>
        <v>8.8266581932221658E-2</v>
      </c>
      <c r="F11" s="7">
        <v>52184</v>
      </c>
      <c r="G11" s="7">
        <v>26588</v>
      </c>
      <c r="H11" s="8">
        <f t="shared" si="2"/>
        <v>0.33753110242218048</v>
      </c>
      <c r="I11" s="7">
        <v>4131</v>
      </c>
      <c r="J11" s="7">
        <v>35353</v>
      </c>
      <c r="K11" s="7">
        <v>8709370</v>
      </c>
      <c r="L11" s="10">
        <f t="shared" si="3"/>
        <v>9.044511830362012</v>
      </c>
      <c r="M11" s="10">
        <f t="shared" si="4"/>
        <v>1009.8974358974359</v>
      </c>
      <c r="N11" s="10">
        <v>78</v>
      </c>
    </row>
    <row r="12" spans="1:14" x14ac:dyDescent="0.2">
      <c r="A12" s="6" t="e" vm="8">
        <v>#VALUE!</v>
      </c>
      <c r="B12" s="7">
        <v>144750</v>
      </c>
      <c r="C12" s="7">
        <v>134637</v>
      </c>
      <c r="D12" s="7">
        <f t="shared" si="0"/>
        <v>10113</v>
      </c>
      <c r="E12" s="9">
        <f t="shared" si="1"/>
        <v>7.5113081842287044E-2</v>
      </c>
      <c r="F12" s="7">
        <v>94837</v>
      </c>
      <c r="G12" s="7">
        <v>49913</v>
      </c>
      <c r="H12" s="8">
        <f t="shared" si="2"/>
        <v>0.34482210708117444</v>
      </c>
      <c r="I12" s="7">
        <v>8113</v>
      </c>
      <c r="J12" s="7">
        <v>67040</v>
      </c>
      <c r="K12" s="7">
        <v>18034454</v>
      </c>
      <c r="L12" s="10">
        <f t="shared" si="3"/>
        <v>8.0263034300899836</v>
      </c>
      <c r="M12" s="10">
        <f t="shared" si="4"/>
        <v>921.97452229299358</v>
      </c>
      <c r="N12" s="10">
        <v>157</v>
      </c>
    </row>
    <row r="13" spans="1:14" x14ac:dyDescent="0.2">
      <c r="A13" s="6" t="e" vm="9">
        <v>#VALUE!</v>
      </c>
      <c r="B13" s="7">
        <v>30113</v>
      </c>
      <c r="C13" s="7">
        <v>28298</v>
      </c>
      <c r="D13" s="7">
        <f t="shared" si="0"/>
        <v>1815</v>
      </c>
      <c r="E13" s="9">
        <f t="shared" si="1"/>
        <v>6.4138808396353095E-2</v>
      </c>
      <c r="F13" s="7">
        <v>19803</v>
      </c>
      <c r="G13" s="7">
        <v>10310</v>
      </c>
      <c r="H13" s="8">
        <f t="shared" si="2"/>
        <v>0.34237704645834027</v>
      </c>
      <c r="I13" s="7">
        <v>1877</v>
      </c>
      <c r="J13" s="7">
        <v>14337</v>
      </c>
      <c r="K13" s="7">
        <v>5141710</v>
      </c>
      <c r="L13" s="10">
        <f t="shared" si="3"/>
        <v>5.8566119053777825</v>
      </c>
      <c r="M13" s="10">
        <f t="shared" si="4"/>
        <v>772.12820512820508</v>
      </c>
      <c r="N13" s="10">
        <v>39</v>
      </c>
    </row>
    <row r="14" spans="1:14" x14ac:dyDescent="0.2">
      <c r="A14" s="6" t="e" vm="10">
        <v>#VALUE!</v>
      </c>
      <c r="B14" s="7">
        <v>2168</v>
      </c>
      <c r="C14" s="7">
        <v>1601</v>
      </c>
      <c r="D14" s="7">
        <f t="shared" si="0"/>
        <v>567</v>
      </c>
      <c r="E14" s="9">
        <f t="shared" si="1"/>
        <v>0.35415365396627108</v>
      </c>
      <c r="F14" s="7">
        <v>1113</v>
      </c>
      <c r="G14" s="7">
        <v>1055</v>
      </c>
      <c r="H14" s="8">
        <f t="shared" si="2"/>
        <v>0.48662361623616235</v>
      </c>
      <c r="I14" s="7">
        <v>172</v>
      </c>
      <c r="J14" s="7">
        <v>679</v>
      </c>
      <c r="K14" s="7">
        <v>2135597</v>
      </c>
      <c r="L14" s="10">
        <f t="shared" si="3"/>
        <v>1.0151728064798742</v>
      </c>
      <c r="M14" s="10">
        <f t="shared" si="4"/>
        <v>433.6</v>
      </c>
      <c r="N14" s="10">
        <v>5</v>
      </c>
    </row>
    <row r="15" spans="1:14" x14ac:dyDescent="0.2">
      <c r="A15" s="6" t="e" vm="11">
        <v>#VALUE!</v>
      </c>
      <c r="B15" s="7">
        <v>13696</v>
      </c>
      <c r="C15" s="7">
        <v>11727</v>
      </c>
      <c r="D15" s="7">
        <f t="shared" si="0"/>
        <v>1969</v>
      </c>
      <c r="E15" s="9">
        <f t="shared" si="1"/>
        <v>0.16790312953014411</v>
      </c>
      <c r="F15" s="7">
        <v>9222</v>
      </c>
      <c r="G15" s="7">
        <v>4474</v>
      </c>
      <c r="H15" s="8">
        <f t="shared" si="2"/>
        <v>0.32666471962616822</v>
      </c>
      <c r="I15" s="7">
        <v>835</v>
      </c>
      <c r="J15" s="7">
        <v>4784</v>
      </c>
      <c r="K15" s="7">
        <v>6142699</v>
      </c>
      <c r="L15" s="10">
        <f t="shared" si="3"/>
        <v>2.2296387955848074</v>
      </c>
      <c r="M15" s="10">
        <f t="shared" si="4"/>
        <v>652.19047619047615</v>
      </c>
      <c r="N15" s="10">
        <v>21</v>
      </c>
    </row>
    <row r="16" spans="1:14" x14ac:dyDescent="0.2">
      <c r="A16" s="6" t="e" vm="12">
        <v>#VALUE!</v>
      </c>
      <c r="B16" s="7">
        <v>54471</v>
      </c>
      <c r="C16" s="7">
        <v>48255</v>
      </c>
      <c r="D16" s="7">
        <f t="shared" si="0"/>
        <v>6216</v>
      </c>
      <c r="E16" s="9">
        <f t="shared" si="1"/>
        <v>0.12881566677028286</v>
      </c>
      <c r="F16" s="7">
        <v>35144</v>
      </c>
      <c r="G16" s="7">
        <v>19327</v>
      </c>
      <c r="H16" s="8">
        <f t="shared" si="2"/>
        <v>0.35481265260413797</v>
      </c>
      <c r="I16" s="7">
        <v>3399</v>
      </c>
      <c r="J16" s="7">
        <v>24189</v>
      </c>
      <c r="K16" s="7">
        <v>2959517</v>
      </c>
      <c r="L16" s="10">
        <f t="shared" si="3"/>
        <v>18.405368173252594</v>
      </c>
      <c r="M16" s="10">
        <f t="shared" si="4"/>
        <v>1027.7547169811321</v>
      </c>
      <c r="N16" s="10">
        <v>53</v>
      </c>
    </row>
    <row r="17" spans="1:14" x14ac:dyDescent="0.2">
      <c r="A17" s="6" t="s">
        <v>152</v>
      </c>
      <c r="B17" s="7">
        <v>32698</v>
      </c>
      <c r="C17" s="7">
        <v>22709</v>
      </c>
      <c r="D17" s="7">
        <f t="shared" si="0"/>
        <v>9989</v>
      </c>
      <c r="E17" s="9">
        <f t="shared" si="1"/>
        <v>0.43986965520278304</v>
      </c>
      <c r="F17" s="7">
        <v>23337</v>
      </c>
      <c r="G17" s="7">
        <v>9361</v>
      </c>
      <c r="H17" s="8">
        <f t="shared" si="2"/>
        <v>0.28628662303504804</v>
      </c>
      <c r="I17" s="7">
        <v>310</v>
      </c>
      <c r="J17" s="7">
        <v>8930</v>
      </c>
      <c r="K17" s="7" t="s">
        <v>153</v>
      </c>
      <c r="L17" s="10" t="s">
        <v>153</v>
      </c>
      <c r="M17" s="10" t="s">
        <v>153</v>
      </c>
      <c r="N17" s="10" t="s">
        <v>153</v>
      </c>
    </row>
    <row r="18" spans="1:14" x14ac:dyDescent="0.2">
      <c r="A18" s="13" t="s">
        <v>112</v>
      </c>
      <c r="B18" s="14">
        <f>SUM(B5:B17)</f>
        <v>695617</v>
      </c>
      <c r="C18" s="14">
        <f>SUM(C5:C17)</f>
        <v>643158</v>
      </c>
      <c r="D18" s="14">
        <f>SUM(D5:D17)</f>
        <v>52459</v>
      </c>
      <c r="E18" s="16">
        <f>D18/C18</f>
        <v>8.1564716601519371E-2</v>
      </c>
      <c r="F18" s="14">
        <f>SUM(F5:F17)</f>
        <v>454062</v>
      </c>
      <c r="G18" s="14">
        <f>SUM(G5:G17)</f>
        <v>241555</v>
      </c>
      <c r="H18" s="17">
        <f t="shared" si="2"/>
        <v>0.34725287047326331</v>
      </c>
      <c r="I18" s="14">
        <f>SUM(I5:I17)</f>
        <v>42798</v>
      </c>
      <c r="J18" s="14">
        <f>SUM(J5:J17)</f>
        <v>306153</v>
      </c>
      <c r="K18" s="7"/>
      <c r="L18" s="10"/>
      <c r="M18" s="10"/>
      <c r="N18" s="10"/>
    </row>
    <row r="20" spans="1:14" x14ac:dyDescent="0.2">
      <c r="A20" s="2" t="s">
        <v>154</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E1434"/>
  <sheetViews>
    <sheetView workbookViewId="0"/>
  </sheetViews>
  <sheetFormatPr baseColWidth="10" defaultColWidth="8.83203125" defaultRowHeight="15" x14ac:dyDescent="0.2"/>
  <cols>
    <col min="1" max="1" width="8" customWidth="1"/>
    <col min="2" max="2" width="26" customWidth="1"/>
    <col min="3" max="3" width="14" customWidth="1"/>
    <col min="4" max="4" width="10" customWidth="1"/>
    <col min="5" max="5" width="12" customWidth="1"/>
  </cols>
  <sheetData>
    <row r="1" spans="1:5" ht="19" x14ac:dyDescent="0.25">
      <c r="A1" s="1" t="s">
        <v>155</v>
      </c>
    </row>
    <row r="2" spans="1:5" x14ac:dyDescent="0.2">
      <c r="A2" s="2" t="s">
        <v>156</v>
      </c>
    </row>
    <row r="4" spans="1:5" ht="30" customHeight="1" x14ac:dyDescent="0.2">
      <c r="A4" s="5" t="s">
        <v>98</v>
      </c>
      <c r="B4" s="5" t="s">
        <v>130</v>
      </c>
      <c r="C4" s="5" t="s">
        <v>111</v>
      </c>
      <c r="D4" s="5" t="s">
        <v>126</v>
      </c>
      <c r="E4" s="5" t="s">
        <v>99</v>
      </c>
    </row>
    <row r="5" spans="1:5" x14ac:dyDescent="0.2">
      <c r="A5">
        <v>2016</v>
      </c>
      <c r="B5" t="s">
        <v>140</v>
      </c>
      <c r="C5" t="s">
        <v>113</v>
      </c>
      <c r="D5">
        <v>1</v>
      </c>
      <c r="E5" s="15">
        <v>274</v>
      </c>
    </row>
    <row r="6" spans="1:5" x14ac:dyDescent="0.2">
      <c r="A6">
        <v>2016</v>
      </c>
      <c r="B6" t="s">
        <v>140</v>
      </c>
      <c r="C6" t="s">
        <v>114</v>
      </c>
      <c r="D6">
        <v>2</v>
      </c>
      <c r="E6" s="15">
        <v>3645</v>
      </c>
    </row>
    <row r="7" spans="1:5" x14ac:dyDescent="0.2">
      <c r="A7">
        <v>2016</v>
      </c>
      <c r="B7" t="s">
        <v>140</v>
      </c>
      <c r="C7" t="s">
        <v>115</v>
      </c>
      <c r="D7">
        <v>3</v>
      </c>
      <c r="E7" s="15">
        <v>2589</v>
      </c>
    </row>
    <row r="8" spans="1:5" x14ac:dyDescent="0.2">
      <c r="A8">
        <v>2016</v>
      </c>
      <c r="B8" t="s">
        <v>140</v>
      </c>
      <c r="C8" t="s">
        <v>116</v>
      </c>
      <c r="D8">
        <v>4</v>
      </c>
      <c r="E8" s="15">
        <v>1093</v>
      </c>
    </row>
    <row r="9" spans="1:5" x14ac:dyDescent="0.2">
      <c r="A9">
        <v>2016</v>
      </c>
      <c r="B9" t="s">
        <v>140</v>
      </c>
      <c r="C9" t="s">
        <v>117</v>
      </c>
      <c r="D9">
        <v>5</v>
      </c>
      <c r="E9" s="15">
        <v>2684</v>
      </c>
    </row>
    <row r="10" spans="1:5" x14ac:dyDescent="0.2">
      <c r="A10">
        <v>2016</v>
      </c>
      <c r="B10" t="s">
        <v>140</v>
      </c>
      <c r="C10" t="s">
        <v>118</v>
      </c>
      <c r="D10">
        <v>6</v>
      </c>
      <c r="E10" s="15">
        <v>3418</v>
      </c>
    </row>
    <row r="11" spans="1:5" x14ac:dyDescent="0.2">
      <c r="A11">
        <v>2016</v>
      </c>
      <c r="B11" t="s">
        <v>140</v>
      </c>
      <c r="C11" t="s">
        <v>119</v>
      </c>
      <c r="D11">
        <v>7</v>
      </c>
      <c r="E11" s="15">
        <v>2226</v>
      </c>
    </row>
    <row r="12" spans="1:5" x14ac:dyDescent="0.2">
      <c r="A12">
        <v>2016</v>
      </c>
      <c r="B12" t="s">
        <v>140</v>
      </c>
      <c r="C12" t="s">
        <v>120</v>
      </c>
      <c r="D12">
        <v>8</v>
      </c>
      <c r="E12" s="15">
        <v>10029</v>
      </c>
    </row>
    <row r="13" spans="1:5" x14ac:dyDescent="0.2">
      <c r="A13">
        <v>2016</v>
      </c>
      <c r="B13" t="s">
        <v>140</v>
      </c>
      <c r="C13" t="s">
        <v>121</v>
      </c>
      <c r="D13">
        <v>9</v>
      </c>
      <c r="E13" s="15">
        <v>8410</v>
      </c>
    </row>
    <row r="14" spans="1:5" x14ac:dyDescent="0.2">
      <c r="A14">
        <v>2016</v>
      </c>
      <c r="B14" t="s">
        <v>140</v>
      </c>
      <c r="C14" t="s">
        <v>122</v>
      </c>
      <c r="D14">
        <v>10</v>
      </c>
      <c r="E14" s="15">
        <v>7764</v>
      </c>
    </row>
    <row r="15" spans="1:5" x14ac:dyDescent="0.2">
      <c r="A15">
        <v>2016</v>
      </c>
      <c r="B15" t="s">
        <v>140</v>
      </c>
      <c r="C15" t="s">
        <v>123</v>
      </c>
      <c r="D15">
        <v>11</v>
      </c>
      <c r="E15" s="15">
        <v>31506</v>
      </c>
    </row>
    <row r="16" spans="1:5" x14ac:dyDescent="0.2">
      <c r="A16">
        <v>2016</v>
      </c>
      <c r="B16" t="s">
        <v>141</v>
      </c>
      <c r="C16" t="s">
        <v>113</v>
      </c>
      <c r="D16">
        <v>1</v>
      </c>
      <c r="E16" s="15">
        <v>504</v>
      </c>
    </row>
    <row r="17" spans="1:5" x14ac:dyDescent="0.2">
      <c r="A17">
        <v>2016</v>
      </c>
      <c r="B17" t="s">
        <v>141</v>
      </c>
      <c r="C17" t="s">
        <v>114</v>
      </c>
      <c r="D17">
        <v>2</v>
      </c>
      <c r="E17" s="15">
        <v>5329</v>
      </c>
    </row>
    <row r="18" spans="1:5" x14ac:dyDescent="0.2">
      <c r="A18">
        <v>2016</v>
      </c>
      <c r="B18" t="s">
        <v>141</v>
      </c>
      <c r="C18" t="s">
        <v>115</v>
      </c>
      <c r="D18">
        <v>3</v>
      </c>
      <c r="E18" s="15">
        <v>3869</v>
      </c>
    </row>
    <row r="19" spans="1:5" x14ac:dyDescent="0.2">
      <c r="A19">
        <v>2016</v>
      </c>
      <c r="B19" t="s">
        <v>141</v>
      </c>
      <c r="C19" t="s">
        <v>116</v>
      </c>
      <c r="D19">
        <v>4</v>
      </c>
      <c r="E19" s="15">
        <v>1528</v>
      </c>
    </row>
    <row r="20" spans="1:5" x14ac:dyDescent="0.2">
      <c r="A20">
        <v>2016</v>
      </c>
      <c r="B20" t="s">
        <v>141</v>
      </c>
      <c r="C20" t="s">
        <v>117</v>
      </c>
      <c r="D20">
        <v>5</v>
      </c>
      <c r="E20" s="15">
        <v>4838</v>
      </c>
    </row>
    <row r="21" spans="1:5" x14ac:dyDescent="0.2">
      <c r="A21">
        <v>2016</v>
      </c>
      <c r="B21" t="s">
        <v>141</v>
      </c>
      <c r="C21" t="s">
        <v>118</v>
      </c>
      <c r="D21">
        <v>6</v>
      </c>
      <c r="E21" s="15">
        <v>8054</v>
      </c>
    </row>
    <row r="22" spans="1:5" x14ac:dyDescent="0.2">
      <c r="A22">
        <v>2016</v>
      </c>
      <c r="B22" t="s">
        <v>141</v>
      </c>
      <c r="C22" t="s">
        <v>119</v>
      </c>
      <c r="D22">
        <v>7</v>
      </c>
      <c r="E22" s="15">
        <v>6391</v>
      </c>
    </row>
    <row r="23" spans="1:5" x14ac:dyDescent="0.2">
      <c r="A23">
        <v>2016</v>
      </c>
      <c r="B23" t="s">
        <v>141</v>
      </c>
      <c r="C23" t="s">
        <v>120</v>
      </c>
      <c r="D23">
        <v>8</v>
      </c>
      <c r="E23" s="15">
        <v>23794</v>
      </c>
    </row>
    <row r="24" spans="1:5" x14ac:dyDescent="0.2">
      <c r="A24">
        <v>2016</v>
      </c>
      <c r="B24" t="s">
        <v>141</v>
      </c>
      <c r="C24" t="s">
        <v>121</v>
      </c>
      <c r="D24">
        <v>9</v>
      </c>
      <c r="E24" s="15">
        <v>17226</v>
      </c>
    </row>
    <row r="25" spans="1:5" x14ac:dyDescent="0.2">
      <c r="A25">
        <v>2016</v>
      </c>
      <c r="B25" t="s">
        <v>141</v>
      </c>
      <c r="C25" t="s">
        <v>122</v>
      </c>
      <c r="D25">
        <v>10</v>
      </c>
      <c r="E25" s="15">
        <v>15261</v>
      </c>
    </row>
    <row r="26" spans="1:5" x14ac:dyDescent="0.2">
      <c r="A26">
        <v>2016</v>
      </c>
      <c r="B26" t="s">
        <v>141</v>
      </c>
      <c r="C26" t="s">
        <v>123</v>
      </c>
      <c r="D26">
        <v>11</v>
      </c>
      <c r="E26" s="15">
        <v>52043</v>
      </c>
    </row>
    <row r="27" spans="1:5" x14ac:dyDescent="0.2">
      <c r="A27">
        <v>2016</v>
      </c>
      <c r="B27" t="s">
        <v>142</v>
      </c>
      <c r="C27" t="s">
        <v>113</v>
      </c>
      <c r="D27">
        <v>1</v>
      </c>
      <c r="E27" s="15">
        <v>60</v>
      </c>
    </row>
    <row r="28" spans="1:5" x14ac:dyDescent="0.2">
      <c r="A28">
        <v>2016</v>
      </c>
      <c r="B28" t="s">
        <v>142</v>
      </c>
      <c r="C28" t="s">
        <v>114</v>
      </c>
      <c r="D28">
        <v>2</v>
      </c>
      <c r="E28" s="15">
        <v>1024</v>
      </c>
    </row>
    <row r="29" spans="1:5" x14ac:dyDescent="0.2">
      <c r="A29">
        <v>2016</v>
      </c>
      <c r="B29" t="s">
        <v>142</v>
      </c>
      <c r="C29" t="s">
        <v>115</v>
      </c>
      <c r="D29">
        <v>3</v>
      </c>
      <c r="E29" s="15">
        <v>637</v>
      </c>
    </row>
    <row r="30" spans="1:5" x14ac:dyDescent="0.2">
      <c r="A30">
        <v>2016</v>
      </c>
      <c r="B30" t="s">
        <v>142</v>
      </c>
      <c r="C30" t="s">
        <v>116</v>
      </c>
      <c r="D30">
        <v>4</v>
      </c>
      <c r="E30" s="15">
        <v>202</v>
      </c>
    </row>
    <row r="31" spans="1:5" x14ac:dyDescent="0.2">
      <c r="A31">
        <v>2016</v>
      </c>
      <c r="B31" t="s">
        <v>142</v>
      </c>
      <c r="C31" t="s">
        <v>117</v>
      </c>
      <c r="D31">
        <v>5</v>
      </c>
      <c r="E31" s="15">
        <v>538</v>
      </c>
    </row>
    <row r="32" spans="1:5" x14ac:dyDescent="0.2">
      <c r="A32">
        <v>2016</v>
      </c>
      <c r="B32" t="s">
        <v>142</v>
      </c>
      <c r="C32" t="s">
        <v>118</v>
      </c>
      <c r="D32">
        <v>6</v>
      </c>
      <c r="E32" s="15">
        <v>1303</v>
      </c>
    </row>
    <row r="33" spans="1:5" x14ac:dyDescent="0.2">
      <c r="A33">
        <v>2016</v>
      </c>
      <c r="B33" t="s">
        <v>142</v>
      </c>
      <c r="C33" t="s">
        <v>119</v>
      </c>
      <c r="D33">
        <v>7</v>
      </c>
      <c r="E33" s="15">
        <v>1277</v>
      </c>
    </row>
    <row r="34" spans="1:5" x14ac:dyDescent="0.2">
      <c r="A34">
        <v>2016</v>
      </c>
      <c r="B34" t="s">
        <v>142</v>
      </c>
      <c r="C34" t="s">
        <v>120</v>
      </c>
      <c r="D34">
        <v>8</v>
      </c>
      <c r="E34" s="15">
        <v>4863</v>
      </c>
    </row>
    <row r="35" spans="1:5" x14ac:dyDescent="0.2">
      <c r="A35">
        <v>2016</v>
      </c>
      <c r="B35" t="s">
        <v>142</v>
      </c>
      <c r="C35" t="s">
        <v>121</v>
      </c>
      <c r="D35">
        <v>9</v>
      </c>
      <c r="E35" s="15">
        <v>3337</v>
      </c>
    </row>
    <row r="36" spans="1:5" x14ac:dyDescent="0.2">
      <c r="A36">
        <v>2016</v>
      </c>
      <c r="B36" t="s">
        <v>142</v>
      </c>
      <c r="C36" t="s">
        <v>122</v>
      </c>
      <c r="D36">
        <v>10</v>
      </c>
      <c r="E36" s="15">
        <v>2557</v>
      </c>
    </row>
    <row r="37" spans="1:5" x14ac:dyDescent="0.2">
      <c r="A37">
        <v>2016</v>
      </c>
      <c r="B37" t="s">
        <v>142</v>
      </c>
      <c r="C37" t="s">
        <v>123</v>
      </c>
      <c r="D37">
        <v>11</v>
      </c>
      <c r="E37" s="15">
        <v>8224</v>
      </c>
    </row>
    <row r="38" spans="1:5" x14ac:dyDescent="0.2">
      <c r="A38">
        <v>2016</v>
      </c>
      <c r="B38" t="s">
        <v>143</v>
      </c>
      <c r="C38" t="s">
        <v>113</v>
      </c>
      <c r="D38">
        <v>1</v>
      </c>
      <c r="E38" s="15">
        <v>62</v>
      </c>
    </row>
    <row r="39" spans="1:5" x14ac:dyDescent="0.2">
      <c r="A39">
        <v>2016</v>
      </c>
      <c r="B39" t="s">
        <v>143</v>
      </c>
      <c r="C39" t="s">
        <v>114</v>
      </c>
      <c r="D39">
        <v>2</v>
      </c>
      <c r="E39" s="15">
        <v>1282</v>
      </c>
    </row>
    <row r="40" spans="1:5" x14ac:dyDescent="0.2">
      <c r="A40">
        <v>2016</v>
      </c>
      <c r="B40" t="s">
        <v>143</v>
      </c>
      <c r="C40" t="s">
        <v>115</v>
      </c>
      <c r="D40">
        <v>3</v>
      </c>
      <c r="E40" s="15">
        <v>821</v>
      </c>
    </row>
    <row r="41" spans="1:5" x14ac:dyDescent="0.2">
      <c r="A41">
        <v>2016</v>
      </c>
      <c r="B41" t="s">
        <v>143</v>
      </c>
      <c r="C41" t="s">
        <v>116</v>
      </c>
      <c r="D41">
        <v>4</v>
      </c>
      <c r="E41" s="15">
        <v>323</v>
      </c>
    </row>
    <row r="42" spans="1:5" x14ac:dyDescent="0.2">
      <c r="A42">
        <v>2016</v>
      </c>
      <c r="B42" t="s">
        <v>143</v>
      </c>
      <c r="C42" t="s">
        <v>117</v>
      </c>
      <c r="D42">
        <v>5</v>
      </c>
      <c r="E42" s="15">
        <v>719</v>
      </c>
    </row>
    <row r="43" spans="1:5" x14ac:dyDescent="0.2">
      <c r="A43">
        <v>2016</v>
      </c>
      <c r="B43" t="s">
        <v>143</v>
      </c>
      <c r="C43" t="s">
        <v>118</v>
      </c>
      <c r="D43">
        <v>6</v>
      </c>
      <c r="E43" s="15">
        <v>927</v>
      </c>
    </row>
    <row r="44" spans="1:5" x14ac:dyDescent="0.2">
      <c r="A44">
        <v>2016</v>
      </c>
      <c r="B44" t="s">
        <v>143</v>
      </c>
      <c r="C44" t="s">
        <v>119</v>
      </c>
      <c r="D44">
        <v>7</v>
      </c>
      <c r="E44" s="15">
        <v>750</v>
      </c>
    </row>
    <row r="45" spans="1:5" x14ac:dyDescent="0.2">
      <c r="A45">
        <v>2016</v>
      </c>
      <c r="B45" t="s">
        <v>143</v>
      </c>
      <c r="C45" t="s">
        <v>120</v>
      </c>
      <c r="D45">
        <v>8</v>
      </c>
      <c r="E45" s="15">
        <v>3319</v>
      </c>
    </row>
    <row r="46" spans="1:5" x14ac:dyDescent="0.2">
      <c r="A46">
        <v>2016</v>
      </c>
      <c r="B46" t="s">
        <v>143</v>
      </c>
      <c r="C46" t="s">
        <v>121</v>
      </c>
      <c r="D46">
        <v>9</v>
      </c>
      <c r="E46" s="15">
        <v>2258</v>
      </c>
    </row>
    <row r="47" spans="1:5" x14ac:dyDescent="0.2">
      <c r="A47">
        <v>2016</v>
      </c>
      <c r="B47" t="s">
        <v>143</v>
      </c>
      <c r="C47" t="s">
        <v>122</v>
      </c>
      <c r="D47">
        <v>10</v>
      </c>
      <c r="E47" s="15">
        <v>1951</v>
      </c>
    </row>
    <row r="48" spans="1:5" x14ac:dyDescent="0.2">
      <c r="A48">
        <v>2016</v>
      </c>
      <c r="B48" t="s">
        <v>143</v>
      </c>
      <c r="C48" t="s">
        <v>123</v>
      </c>
      <c r="D48">
        <v>11</v>
      </c>
      <c r="E48" s="15">
        <v>9203</v>
      </c>
    </row>
    <row r="49" spans="1:5" x14ac:dyDescent="0.2">
      <c r="A49">
        <v>2016</v>
      </c>
      <c r="B49" t="s">
        <v>144</v>
      </c>
      <c r="C49" t="s">
        <v>113</v>
      </c>
      <c r="D49">
        <v>1</v>
      </c>
      <c r="E49" s="15">
        <v>128</v>
      </c>
    </row>
    <row r="50" spans="1:5" x14ac:dyDescent="0.2">
      <c r="A50">
        <v>2016</v>
      </c>
      <c r="B50" t="s">
        <v>144</v>
      </c>
      <c r="C50" t="s">
        <v>114</v>
      </c>
      <c r="D50">
        <v>2</v>
      </c>
      <c r="E50" s="15">
        <v>2068</v>
      </c>
    </row>
    <row r="51" spans="1:5" x14ac:dyDescent="0.2">
      <c r="A51">
        <v>2016</v>
      </c>
      <c r="B51" t="s">
        <v>144</v>
      </c>
      <c r="C51" t="s">
        <v>115</v>
      </c>
      <c r="D51">
        <v>3</v>
      </c>
      <c r="E51" s="15">
        <v>1455</v>
      </c>
    </row>
    <row r="52" spans="1:5" x14ac:dyDescent="0.2">
      <c r="A52">
        <v>2016</v>
      </c>
      <c r="B52" t="s">
        <v>144</v>
      </c>
      <c r="C52" t="s">
        <v>116</v>
      </c>
      <c r="D52">
        <v>4</v>
      </c>
      <c r="E52" s="15">
        <v>575</v>
      </c>
    </row>
    <row r="53" spans="1:5" x14ac:dyDescent="0.2">
      <c r="A53">
        <v>2016</v>
      </c>
      <c r="B53" t="s">
        <v>144</v>
      </c>
      <c r="C53" t="s">
        <v>117</v>
      </c>
      <c r="D53">
        <v>5</v>
      </c>
      <c r="E53" s="15">
        <v>1413</v>
      </c>
    </row>
    <row r="54" spans="1:5" x14ac:dyDescent="0.2">
      <c r="A54">
        <v>2016</v>
      </c>
      <c r="B54" t="s">
        <v>144</v>
      </c>
      <c r="C54" t="s">
        <v>118</v>
      </c>
      <c r="D54">
        <v>6</v>
      </c>
      <c r="E54" s="15">
        <v>2218</v>
      </c>
    </row>
    <row r="55" spans="1:5" x14ac:dyDescent="0.2">
      <c r="A55">
        <v>2016</v>
      </c>
      <c r="B55" t="s">
        <v>144</v>
      </c>
      <c r="C55" t="s">
        <v>119</v>
      </c>
      <c r="D55">
        <v>7</v>
      </c>
      <c r="E55" s="15">
        <v>1797</v>
      </c>
    </row>
    <row r="56" spans="1:5" x14ac:dyDescent="0.2">
      <c r="A56">
        <v>2016</v>
      </c>
      <c r="B56" t="s">
        <v>144</v>
      </c>
      <c r="C56" t="s">
        <v>120</v>
      </c>
      <c r="D56">
        <v>8</v>
      </c>
      <c r="E56" s="15">
        <v>7632</v>
      </c>
    </row>
    <row r="57" spans="1:5" x14ac:dyDescent="0.2">
      <c r="A57">
        <v>2016</v>
      </c>
      <c r="B57" t="s">
        <v>144</v>
      </c>
      <c r="C57" t="s">
        <v>121</v>
      </c>
      <c r="D57">
        <v>9</v>
      </c>
      <c r="E57" s="15">
        <v>5612</v>
      </c>
    </row>
    <row r="58" spans="1:5" x14ac:dyDescent="0.2">
      <c r="A58">
        <v>2016</v>
      </c>
      <c r="B58" t="s">
        <v>144</v>
      </c>
      <c r="C58" t="s">
        <v>122</v>
      </c>
      <c r="D58">
        <v>10</v>
      </c>
      <c r="E58" s="15">
        <v>5090</v>
      </c>
    </row>
    <row r="59" spans="1:5" x14ac:dyDescent="0.2">
      <c r="A59">
        <v>2016</v>
      </c>
      <c r="B59" t="s">
        <v>144</v>
      </c>
      <c r="C59" t="s">
        <v>123</v>
      </c>
      <c r="D59">
        <v>11</v>
      </c>
      <c r="E59" s="15">
        <v>20296</v>
      </c>
    </row>
    <row r="60" spans="1:5" x14ac:dyDescent="0.2">
      <c r="A60">
        <v>2016</v>
      </c>
      <c r="B60" t="s">
        <v>145</v>
      </c>
      <c r="C60" t="s">
        <v>113</v>
      </c>
      <c r="D60">
        <v>1</v>
      </c>
      <c r="E60" s="15">
        <v>11</v>
      </c>
    </row>
    <row r="61" spans="1:5" x14ac:dyDescent="0.2">
      <c r="A61">
        <v>2016</v>
      </c>
      <c r="B61" t="s">
        <v>145</v>
      </c>
      <c r="C61" t="s">
        <v>114</v>
      </c>
      <c r="D61">
        <v>2</v>
      </c>
      <c r="E61" s="15">
        <v>273</v>
      </c>
    </row>
    <row r="62" spans="1:5" x14ac:dyDescent="0.2">
      <c r="A62">
        <v>2016</v>
      </c>
      <c r="B62" t="s">
        <v>145</v>
      </c>
      <c r="C62" t="s">
        <v>115</v>
      </c>
      <c r="D62">
        <v>3</v>
      </c>
      <c r="E62" s="15">
        <v>261</v>
      </c>
    </row>
    <row r="63" spans="1:5" x14ac:dyDescent="0.2">
      <c r="A63">
        <v>2016</v>
      </c>
      <c r="B63" t="s">
        <v>145</v>
      </c>
      <c r="C63" t="s">
        <v>116</v>
      </c>
      <c r="D63">
        <v>4</v>
      </c>
      <c r="E63" s="15">
        <v>115</v>
      </c>
    </row>
    <row r="64" spans="1:5" x14ac:dyDescent="0.2">
      <c r="A64">
        <v>2016</v>
      </c>
      <c r="B64" t="s">
        <v>145</v>
      </c>
      <c r="C64" t="s">
        <v>117</v>
      </c>
      <c r="D64">
        <v>5</v>
      </c>
      <c r="E64" s="15">
        <v>277</v>
      </c>
    </row>
    <row r="65" spans="1:5" x14ac:dyDescent="0.2">
      <c r="A65">
        <v>2016</v>
      </c>
      <c r="B65" t="s">
        <v>145</v>
      </c>
      <c r="C65" t="s">
        <v>118</v>
      </c>
      <c r="D65">
        <v>6</v>
      </c>
      <c r="E65" s="15">
        <v>1227</v>
      </c>
    </row>
    <row r="66" spans="1:5" x14ac:dyDescent="0.2">
      <c r="A66">
        <v>2016</v>
      </c>
      <c r="B66" t="s">
        <v>145</v>
      </c>
      <c r="C66" t="s">
        <v>119</v>
      </c>
      <c r="D66">
        <v>7</v>
      </c>
      <c r="E66" s="15">
        <v>1385</v>
      </c>
    </row>
    <row r="67" spans="1:5" x14ac:dyDescent="0.2">
      <c r="A67">
        <v>2016</v>
      </c>
      <c r="B67" t="s">
        <v>145</v>
      </c>
      <c r="C67" t="s">
        <v>120</v>
      </c>
      <c r="D67">
        <v>8</v>
      </c>
      <c r="E67" s="15">
        <v>4469</v>
      </c>
    </row>
    <row r="68" spans="1:5" x14ac:dyDescent="0.2">
      <c r="A68">
        <v>2016</v>
      </c>
      <c r="B68" t="s">
        <v>145</v>
      </c>
      <c r="C68" t="s">
        <v>121</v>
      </c>
      <c r="D68">
        <v>9</v>
      </c>
      <c r="E68" s="15">
        <v>2769</v>
      </c>
    </row>
    <row r="69" spans="1:5" x14ac:dyDescent="0.2">
      <c r="A69">
        <v>2016</v>
      </c>
      <c r="B69" t="s">
        <v>145</v>
      </c>
      <c r="C69" t="s">
        <v>122</v>
      </c>
      <c r="D69">
        <v>10</v>
      </c>
      <c r="E69" s="15">
        <v>1901</v>
      </c>
    </row>
    <row r="70" spans="1:5" x14ac:dyDescent="0.2">
      <c r="A70">
        <v>2016</v>
      </c>
      <c r="B70" t="s">
        <v>145</v>
      </c>
      <c r="C70" t="s">
        <v>123</v>
      </c>
      <c r="D70">
        <v>11</v>
      </c>
      <c r="E70" s="15">
        <v>4464</v>
      </c>
    </row>
    <row r="71" spans="1:5" x14ac:dyDescent="0.2">
      <c r="A71">
        <v>2016</v>
      </c>
      <c r="B71" t="s">
        <v>146</v>
      </c>
      <c r="C71" t="s">
        <v>113</v>
      </c>
      <c r="D71">
        <v>1</v>
      </c>
      <c r="E71" s="15">
        <v>169</v>
      </c>
    </row>
    <row r="72" spans="1:5" x14ac:dyDescent="0.2">
      <c r="A72">
        <v>2016</v>
      </c>
      <c r="B72" t="s">
        <v>146</v>
      </c>
      <c r="C72" t="s">
        <v>114</v>
      </c>
      <c r="D72">
        <v>2</v>
      </c>
      <c r="E72" s="15">
        <v>2193</v>
      </c>
    </row>
    <row r="73" spans="1:5" x14ac:dyDescent="0.2">
      <c r="A73">
        <v>2016</v>
      </c>
      <c r="B73" t="s">
        <v>146</v>
      </c>
      <c r="C73" t="s">
        <v>115</v>
      </c>
      <c r="D73">
        <v>3</v>
      </c>
      <c r="E73" s="15">
        <v>1738</v>
      </c>
    </row>
    <row r="74" spans="1:5" x14ac:dyDescent="0.2">
      <c r="A74">
        <v>2016</v>
      </c>
      <c r="B74" t="s">
        <v>146</v>
      </c>
      <c r="C74" t="s">
        <v>116</v>
      </c>
      <c r="D74">
        <v>4</v>
      </c>
      <c r="E74" s="15">
        <v>779</v>
      </c>
    </row>
    <row r="75" spans="1:5" x14ac:dyDescent="0.2">
      <c r="A75">
        <v>2016</v>
      </c>
      <c r="B75" t="s">
        <v>146</v>
      </c>
      <c r="C75" t="s">
        <v>117</v>
      </c>
      <c r="D75">
        <v>5</v>
      </c>
      <c r="E75" s="15">
        <v>2041</v>
      </c>
    </row>
    <row r="76" spans="1:5" x14ac:dyDescent="0.2">
      <c r="A76">
        <v>2016</v>
      </c>
      <c r="B76" t="s">
        <v>146</v>
      </c>
      <c r="C76" t="s">
        <v>118</v>
      </c>
      <c r="D76">
        <v>6</v>
      </c>
      <c r="E76" s="15">
        <v>4057</v>
      </c>
    </row>
    <row r="77" spans="1:5" x14ac:dyDescent="0.2">
      <c r="A77">
        <v>2016</v>
      </c>
      <c r="B77" t="s">
        <v>146</v>
      </c>
      <c r="C77" t="s">
        <v>119</v>
      </c>
      <c r="D77">
        <v>7</v>
      </c>
      <c r="E77" s="15">
        <v>3325</v>
      </c>
    </row>
    <row r="78" spans="1:5" x14ac:dyDescent="0.2">
      <c r="A78">
        <v>2016</v>
      </c>
      <c r="B78" t="s">
        <v>146</v>
      </c>
      <c r="C78" t="s">
        <v>120</v>
      </c>
      <c r="D78">
        <v>8</v>
      </c>
      <c r="E78" s="15">
        <v>12343</v>
      </c>
    </row>
    <row r="79" spans="1:5" x14ac:dyDescent="0.2">
      <c r="A79">
        <v>2016</v>
      </c>
      <c r="B79" t="s">
        <v>146</v>
      </c>
      <c r="C79" t="s">
        <v>121</v>
      </c>
      <c r="D79">
        <v>9</v>
      </c>
      <c r="E79" s="15">
        <v>8310</v>
      </c>
    </row>
    <row r="80" spans="1:5" x14ac:dyDescent="0.2">
      <c r="A80">
        <v>2016</v>
      </c>
      <c r="B80" t="s">
        <v>146</v>
      </c>
      <c r="C80" t="s">
        <v>122</v>
      </c>
      <c r="D80">
        <v>10</v>
      </c>
      <c r="E80" s="15">
        <v>7378</v>
      </c>
    </row>
    <row r="81" spans="1:5" x14ac:dyDescent="0.2">
      <c r="A81">
        <v>2016</v>
      </c>
      <c r="B81" t="s">
        <v>146</v>
      </c>
      <c r="C81" t="s">
        <v>123</v>
      </c>
      <c r="D81">
        <v>11</v>
      </c>
      <c r="E81" s="15">
        <v>30050</v>
      </c>
    </row>
    <row r="82" spans="1:5" x14ac:dyDescent="0.2">
      <c r="A82">
        <v>2016</v>
      </c>
      <c r="B82" t="s">
        <v>147</v>
      </c>
      <c r="C82" t="s">
        <v>113</v>
      </c>
      <c r="D82">
        <v>1</v>
      </c>
      <c r="E82" s="15">
        <v>392</v>
      </c>
    </row>
    <row r="83" spans="1:5" x14ac:dyDescent="0.2">
      <c r="A83">
        <v>2016</v>
      </c>
      <c r="B83" t="s">
        <v>147</v>
      </c>
      <c r="C83" t="s">
        <v>114</v>
      </c>
      <c r="D83">
        <v>2</v>
      </c>
      <c r="E83" s="15">
        <v>5013</v>
      </c>
    </row>
    <row r="84" spans="1:5" x14ac:dyDescent="0.2">
      <c r="A84">
        <v>2016</v>
      </c>
      <c r="B84" t="s">
        <v>147</v>
      </c>
      <c r="C84" t="s">
        <v>115</v>
      </c>
      <c r="D84">
        <v>3</v>
      </c>
      <c r="E84" s="15">
        <v>3709</v>
      </c>
    </row>
    <row r="85" spans="1:5" x14ac:dyDescent="0.2">
      <c r="A85">
        <v>2016</v>
      </c>
      <c r="B85" t="s">
        <v>147</v>
      </c>
      <c r="C85" t="s">
        <v>116</v>
      </c>
      <c r="D85">
        <v>4</v>
      </c>
      <c r="E85" s="15">
        <v>1531</v>
      </c>
    </row>
    <row r="86" spans="1:5" x14ac:dyDescent="0.2">
      <c r="A86">
        <v>2016</v>
      </c>
      <c r="B86" t="s">
        <v>147</v>
      </c>
      <c r="C86" t="s">
        <v>117</v>
      </c>
      <c r="D86">
        <v>5</v>
      </c>
      <c r="E86" s="15">
        <v>4316</v>
      </c>
    </row>
    <row r="87" spans="1:5" x14ac:dyDescent="0.2">
      <c r="A87">
        <v>2016</v>
      </c>
      <c r="B87" t="s">
        <v>147</v>
      </c>
      <c r="C87" t="s">
        <v>118</v>
      </c>
      <c r="D87">
        <v>6</v>
      </c>
      <c r="E87" s="15">
        <v>6804</v>
      </c>
    </row>
    <row r="88" spans="1:5" x14ac:dyDescent="0.2">
      <c r="A88">
        <v>2016</v>
      </c>
      <c r="B88" t="s">
        <v>147</v>
      </c>
      <c r="C88" t="s">
        <v>119</v>
      </c>
      <c r="D88">
        <v>7</v>
      </c>
      <c r="E88" s="15">
        <v>4724</v>
      </c>
    </row>
    <row r="89" spans="1:5" x14ac:dyDescent="0.2">
      <c r="A89">
        <v>2016</v>
      </c>
      <c r="B89" t="s">
        <v>147</v>
      </c>
      <c r="C89" t="s">
        <v>120</v>
      </c>
      <c r="D89">
        <v>8</v>
      </c>
      <c r="E89" s="15">
        <v>20708</v>
      </c>
    </row>
    <row r="90" spans="1:5" x14ac:dyDescent="0.2">
      <c r="A90">
        <v>2016</v>
      </c>
      <c r="B90" t="s">
        <v>147</v>
      </c>
      <c r="C90" t="s">
        <v>121</v>
      </c>
      <c r="D90">
        <v>9</v>
      </c>
      <c r="E90" s="15">
        <v>15628</v>
      </c>
    </row>
    <row r="91" spans="1:5" x14ac:dyDescent="0.2">
      <c r="A91">
        <v>2016</v>
      </c>
      <c r="B91" t="s">
        <v>147</v>
      </c>
      <c r="C91" t="s">
        <v>122</v>
      </c>
      <c r="D91">
        <v>10</v>
      </c>
      <c r="E91" s="15">
        <v>14094</v>
      </c>
    </row>
    <row r="92" spans="1:5" x14ac:dyDescent="0.2">
      <c r="A92">
        <v>2016</v>
      </c>
      <c r="B92" t="s">
        <v>147</v>
      </c>
      <c r="C92" t="s">
        <v>123</v>
      </c>
      <c r="D92">
        <v>11</v>
      </c>
      <c r="E92" s="15">
        <v>57718</v>
      </c>
    </row>
    <row r="93" spans="1:5" x14ac:dyDescent="0.2">
      <c r="A93">
        <v>2016</v>
      </c>
      <c r="B93" t="s">
        <v>148</v>
      </c>
      <c r="C93" t="s">
        <v>113</v>
      </c>
      <c r="D93">
        <v>1</v>
      </c>
      <c r="E93" s="15">
        <v>95</v>
      </c>
    </row>
    <row r="94" spans="1:5" x14ac:dyDescent="0.2">
      <c r="A94">
        <v>2016</v>
      </c>
      <c r="B94" t="s">
        <v>148</v>
      </c>
      <c r="C94" t="s">
        <v>114</v>
      </c>
      <c r="D94">
        <v>2</v>
      </c>
      <c r="E94" s="15">
        <v>1043</v>
      </c>
    </row>
    <row r="95" spans="1:5" x14ac:dyDescent="0.2">
      <c r="A95">
        <v>2016</v>
      </c>
      <c r="B95" t="s">
        <v>148</v>
      </c>
      <c r="C95" t="s">
        <v>115</v>
      </c>
      <c r="D95">
        <v>3</v>
      </c>
      <c r="E95" s="15">
        <v>836</v>
      </c>
    </row>
    <row r="96" spans="1:5" x14ac:dyDescent="0.2">
      <c r="A96">
        <v>2016</v>
      </c>
      <c r="B96" t="s">
        <v>148</v>
      </c>
      <c r="C96" t="s">
        <v>116</v>
      </c>
      <c r="D96">
        <v>4</v>
      </c>
      <c r="E96" s="15">
        <v>370</v>
      </c>
    </row>
    <row r="97" spans="1:5" x14ac:dyDescent="0.2">
      <c r="A97">
        <v>2016</v>
      </c>
      <c r="B97" t="s">
        <v>148</v>
      </c>
      <c r="C97" t="s">
        <v>117</v>
      </c>
      <c r="D97">
        <v>5</v>
      </c>
      <c r="E97" s="15">
        <v>855</v>
      </c>
    </row>
    <row r="98" spans="1:5" x14ac:dyDescent="0.2">
      <c r="A98">
        <v>2016</v>
      </c>
      <c r="B98" t="s">
        <v>148</v>
      </c>
      <c r="C98" t="s">
        <v>118</v>
      </c>
      <c r="D98">
        <v>6</v>
      </c>
      <c r="E98" s="15">
        <v>1271</v>
      </c>
    </row>
    <row r="99" spans="1:5" x14ac:dyDescent="0.2">
      <c r="A99">
        <v>2016</v>
      </c>
      <c r="B99" t="s">
        <v>148</v>
      </c>
      <c r="C99" t="s">
        <v>119</v>
      </c>
      <c r="D99">
        <v>7</v>
      </c>
      <c r="E99" s="15">
        <v>943</v>
      </c>
    </row>
    <row r="100" spans="1:5" x14ac:dyDescent="0.2">
      <c r="A100">
        <v>2016</v>
      </c>
      <c r="B100" t="s">
        <v>148</v>
      </c>
      <c r="C100" t="s">
        <v>120</v>
      </c>
      <c r="D100">
        <v>8</v>
      </c>
      <c r="E100" s="15">
        <v>4275</v>
      </c>
    </row>
    <row r="101" spans="1:5" x14ac:dyDescent="0.2">
      <c r="A101">
        <v>2016</v>
      </c>
      <c r="B101" t="s">
        <v>148</v>
      </c>
      <c r="C101" t="s">
        <v>121</v>
      </c>
      <c r="D101">
        <v>9</v>
      </c>
      <c r="E101" s="15">
        <v>3553</v>
      </c>
    </row>
    <row r="102" spans="1:5" x14ac:dyDescent="0.2">
      <c r="A102">
        <v>2016</v>
      </c>
      <c r="B102" t="s">
        <v>148</v>
      </c>
      <c r="C102" t="s">
        <v>122</v>
      </c>
      <c r="D102">
        <v>10</v>
      </c>
      <c r="E102" s="15">
        <v>3274</v>
      </c>
    </row>
    <row r="103" spans="1:5" x14ac:dyDescent="0.2">
      <c r="A103">
        <v>2016</v>
      </c>
      <c r="B103" t="s">
        <v>148</v>
      </c>
      <c r="C103" t="s">
        <v>123</v>
      </c>
      <c r="D103">
        <v>11</v>
      </c>
      <c r="E103" s="15">
        <v>11783</v>
      </c>
    </row>
    <row r="104" spans="1:5" x14ac:dyDescent="0.2">
      <c r="A104">
        <v>2016</v>
      </c>
      <c r="B104" t="s">
        <v>149</v>
      </c>
      <c r="C104" t="s">
        <v>113</v>
      </c>
      <c r="D104">
        <v>1</v>
      </c>
      <c r="E104" s="15">
        <v>12</v>
      </c>
    </row>
    <row r="105" spans="1:5" x14ac:dyDescent="0.2">
      <c r="A105">
        <v>2016</v>
      </c>
      <c r="B105" t="s">
        <v>149</v>
      </c>
      <c r="C105" t="s">
        <v>114</v>
      </c>
      <c r="D105">
        <v>2</v>
      </c>
      <c r="E105" s="15">
        <v>111</v>
      </c>
    </row>
    <row r="106" spans="1:5" x14ac:dyDescent="0.2">
      <c r="A106">
        <v>2016</v>
      </c>
      <c r="B106" t="s">
        <v>149</v>
      </c>
      <c r="C106" t="s">
        <v>115</v>
      </c>
      <c r="D106">
        <v>3</v>
      </c>
      <c r="E106" s="15">
        <v>62</v>
      </c>
    </row>
    <row r="107" spans="1:5" x14ac:dyDescent="0.2">
      <c r="A107">
        <v>2016</v>
      </c>
      <c r="B107" t="s">
        <v>149</v>
      </c>
      <c r="C107" t="s">
        <v>116</v>
      </c>
      <c r="D107">
        <v>4</v>
      </c>
      <c r="E107" s="15">
        <v>30</v>
      </c>
    </row>
    <row r="108" spans="1:5" x14ac:dyDescent="0.2">
      <c r="A108">
        <v>2016</v>
      </c>
      <c r="B108" t="s">
        <v>149</v>
      </c>
      <c r="C108" t="s">
        <v>117</v>
      </c>
      <c r="D108">
        <v>5</v>
      </c>
      <c r="E108" s="15">
        <v>90</v>
      </c>
    </row>
    <row r="109" spans="1:5" x14ac:dyDescent="0.2">
      <c r="A109">
        <v>2016</v>
      </c>
      <c r="B109" t="s">
        <v>149</v>
      </c>
      <c r="C109" t="s">
        <v>118</v>
      </c>
      <c r="D109">
        <v>6</v>
      </c>
      <c r="E109" s="15">
        <v>114</v>
      </c>
    </row>
    <row r="110" spans="1:5" x14ac:dyDescent="0.2">
      <c r="A110">
        <v>2016</v>
      </c>
      <c r="B110" t="s">
        <v>149</v>
      </c>
      <c r="C110" t="s">
        <v>119</v>
      </c>
      <c r="D110">
        <v>7</v>
      </c>
      <c r="E110" s="15">
        <v>83</v>
      </c>
    </row>
    <row r="111" spans="1:5" x14ac:dyDescent="0.2">
      <c r="A111">
        <v>2016</v>
      </c>
      <c r="B111" t="s">
        <v>149</v>
      </c>
      <c r="C111" t="s">
        <v>120</v>
      </c>
      <c r="D111">
        <v>8</v>
      </c>
      <c r="E111" s="15">
        <v>352</v>
      </c>
    </row>
    <row r="112" spans="1:5" x14ac:dyDescent="0.2">
      <c r="A112">
        <v>2016</v>
      </c>
      <c r="B112" t="s">
        <v>149</v>
      </c>
      <c r="C112" t="s">
        <v>121</v>
      </c>
      <c r="D112">
        <v>9</v>
      </c>
      <c r="E112" s="15">
        <v>267</v>
      </c>
    </row>
    <row r="113" spans="1:5" x14ac:dyDescent="0.2">
      <c r="A113">
        <v>2016</v>
      </c>
      <c r="B113" t="s">
        <v>149</v>
      </c>
      <c r="C113" t="s">
        <v>122</v>
      </c>
      <c r="D113">
        <v>10</v>
      </c>
      <c r="E113" s="15">
        <v>173</v>
      </c>
    </row>
    <row r="114" spans="1:5" x14ac:dyDescent="0.2">
      <c r="A114">
        <v>2016</v>
      </c>
      <c r="B114" t="s">
        <v>149</v>
      </c>
      <c r="C114" t="s">
        <v>123</v>
      </c>
      <c r="D114">
        <v>11</v>
      </c>
      <c r="E114" s="15">
        <v>307</v>
      </c>
    </row>
    <row r="115" spans="1:5" x14ac:dyDescent="0.2">
      <c r="A115">
        <v>2016</v>
      </c>
      <c r="B115" t="s">
        <v>150</v>
      </c>
      <c r="C115" t="s">
        <v>113</v>
      </c>
      <c r="D115">
        <v>1</v>
      </c>
      <c r="E115" s="15">
        <v>36</v>
      </c>
    </row>
    <row r="116" spans="1:5" x14ac:dyDescent="0.2">
      <c r="A116">
        <v>2016</v>
      </c>
      <c r="B116" t="s">
        <v>150</v>
      </c>
      <c r="C116" t="s">
        <v>114</v>
      </c>
      <c r="D116">
        <v>2</v>
      </c>
      <c r="E116" s="15">
        <v>501</v>
      </c>
    </row>
    <row r="117" spans="1:5" x14ac:dyDescent="0.2">
      <c r="A117">
        <v>2016</v>
      </c>
      <c r="B117" t="s">
        <v>150</v>
      </c>
      <c r="C117" t="s">
        <v>115</v>
      </c>
      <c r="D117">
        <v>3</v>
      </c>
      <c r="E117" s="15">
        <v>394</v>
      </c>
    </row>
    <row r="118" spans="1:5" x14ac:dyDescent="0.2">
      <c r="A118">
        <v>2016</v>
      </c>
      <c r="B118" t="s">
        <v>150</v>
      </c>
      <c r="C118" t="s">
        <v>116</v>
      </c>
      <c r="D118">
        <v>4</v>
      </c>
      <c r="E118" s="15">
        <v>112</v>
      </c>
    </row>
    <row r="119" spans="1:5" x14ac:dyDescent="0.2">
      <c r="A119">
        <v>2016</v>
      </c>
      <c r="B119" t="s">
        <v>150</v>
      </c>
      <c r="C119" t="s">
        <v>117</v>
      </c>
      <c r="D119">
        <v>5</v>
      </c>
      <c r="E119" s="15">
        <v>286</v>
      </c>
    </row>
    <row r="120" spans="1:5" x14ac:dyDescent="0.2">
      <c r="A120">
        <v>2016</v>
      </c>
      <c r="B120" t="s">
        <v>150</v>
      </c>
      <c r="C120" t="s">
        <v>118</v>
      </c>
      <c r="D120">
        <v>6</v>
      </c>
      <c r="E120" s="15">
        <v>806</v>
      </c>
    </row>
    <row r="121" spans="1:5" x14ac:dyDescent="0.2">
      <c r="A121">
        <v>2016</v>
      </c>
      <c r="B121" t="s">
        <v>150</v>
      </c>
      <c r="C121" t="s">
        <v>119</v>
      </c>
      <c r="D121">
        <v>7</v>
      </c>
      <c r="E121" s="15">
        <v>836</v>
      </c>
    </row>
    <row r="122" spans="1:5" x14ac:dyDescent="0.2">
      <c r="A122">
        <v>2016</v>
      </c>
      <c r="B122" t="s">
        <v>150</v>
      </c>
      <c r="C122" t="s">
        <v>120</v>
      </c>
      <c r="D122">
        <v>8</v>
      </c>
      <c r="E122" s="15">
        <v>2863</v>
      </c>
    </row>
    <row r="123" spans="1:5" x14ac:dyDescent="0.2">
      <c r="A123">
        <v>2016</v>
      </c>
      <c r="B123" t="s">
        <v>150</v>
      </c>
      <c r="C123" t="s">
        <v>121</v>
      </c>
      <c r="D123">
        <v>9</v>
      </c>
      <c r="E123" s="15">
        <v>1847</v>
      </c>
    </row>
    <row r="124" spans="1:5" x14ac:dyDescent="0.2">
      <c r="A124">
        <v>2016</v>
      </c>
      <c r="B124" t="s">
        <v>150</v>
      </c>
      <c r="C124" t="s">
        <v>122</v>
      </c>
      <c r="D124">
        <v>10</v>
      </c>
      <c r="E124" s="15">
        <v>1283</v>
      </c>
    </row>
    <row r="125" spans="1:5" x14ac:dyDescent="0.2">
      <c r="A125">
        <v>2016</v>
      </c>
      <c r="B125" t="s">
        <v>150</v>
      </c>
      <c r="C125" t="s">
        <v>123</v>
      </c>
      <c r="D125">
        <v>11</v>
      </c>
      <c r="E125" s="15">
        <v>2763</v>
      </c>
    </row>
    <row r="126" spans="1:5" x14ac:dyDescent="0.2">
      <c r="A126">
        <v>2016</v>
      </c>
      <c r="B126" t="s">
        <v>151</v>
      </c>
      <c r="C126" t="s">
        <v>113</v>
      </c>
      <c r="D126">
        <v>1</v>
      </c>
      <c r="E126" s="15">
        <v>130</v>
      </c>
    </row>
    <row r="127" spans="1:5" x14ac:dyDescent="0.2">
      <c r="A127">
        <v>2016</v>
      </c>
      <c r="B127" t="s">
        <v>151</v>
      </c>
      <c r="C127" t="s">
        <v>114</v>
      </c>
      <c r="D127">
        <v>2</v>
      </c>
      <c r="E127" s="15">
        <v>1808</v>
      </c>
    </row>
    <row r="128" spans="1:5" x14ac:dyDescent="0.2">
      <c r="A128">
        <v>2016</v>
      </c>
      <c r="B128" t="s">
        <v>151</v>
      </c>
      <c r="C128" t="s">
        <v>115</v>
      </c>
      <c r="D128">
        <v>3</v>
      </c>
      <c r="E128" s="15">
        <v>1300</v>
      </c>
    </row>
    <row r="129" spans="1:5" x14ac:dyDescent="0.2">
      <c r="A129">
        <v>2016</v>
      </c>
      <c r="B129" t="s">
        <v>151</v>
      </c>
      <c r="C129" t="s">
        <v>116</v>
      </c>
      <c r="D129">
        <v>4</v>
      </c>
      <c r="E129" s="15">
        <v>614</v>
      </c>
    </row>
    <row r="130" spans="1:5" x14ac:dyDescent="0.2">
      <c r="A130">
        <v>2016</v>
      </c>
      <c r="B130" t="s">
        <v>151</v>
      </c>
      <c r="C130" t="s">
        <v>117</v>
      </c>
      <c r="D130">
        <v>5</v>
      </c>
      <c r="E130" s="15">
        <v>1401</v>
      </c>
    </row>
    <row r="131" spans="1:5" x14ac:dyDescent="0.2">
      <c r="A131">
        <v>2016</v>
      </c>
      <c r="B131" t="s">
        <v>151</v>
      </c>
      <c r="C131" t="s">
        <v>118</v>
      </c>
      <c r="D131">
        <v>6</v>
      </c>
      <c r="E131" s="15">
        <v>2401</v>
      </c>
    </row>
    <row r="132" spans="1:5" x14ac:dyDescent="0.2">
      <c r="A132">
        <v>2016</v>
      </c>
      <c r="B132" t="s">
        <v>151</v>
      </c>
      <c r="C132" t="s">
        <v>119</v>
      </c>
      <c r="D132">
        <v>7</v>
      </c>
      <c r="E132" s="15">
        <v>2101</v>
      </c>
    </row>
    <row r="133" spans="1:5" x14ac:dyDescent="0.2">
      <c r="A133">
        <v>2016</v>
      </c>
      <c r="B133" t="s">
        <v>151</v>
      </c>
      <c r="C133" t="s">
        <v>120</v>
      </c>
      <c r="D133">
        <v>8</v>
      </c>
      <c r="E133" s="15">
        <v>8562</v>
      </c>
    </row>
    <row r="134" spans="1:5" x14ac:dyDescent="0.2">
      <c r="A134">
        <v>2016</v>
      </c>
      <c r="B134" t="s">
        <v>151</v>
      </c>
      <c r="C134" t="s">
        <v>121</v>
      </c>
      <c r="D134">
        <v>9</v>
      </c>
      <c r="E134" s="15">
        <v>5857</v>
      </c>
    </row>
    <row r="135" spans="1:5" x14ac:dyDescent="0.2">
      <c r="A135">
        <v>2016</v>
      </c>
      <c r="B135" t="s">
        <v>151</v>
      </c>
      <c r="C135" t="s">
        <v>122</v>
      </c>
      <c r="D135">
        <v>10</v>
      </c>
      <c r="E135" s="15">
        <v>4600</v>
      </c>
    </row>
    <row r="136" spans="1:5" x14ac:dyDescent="0.2">
      <c r="A136">
        <v>2016</v>
      </c>
      <c r="B136" t="s">
        <v>151</v>
      </c>
      <c r="C136" t="s">
        <v>123</v>
      </c>
      <c r="D136">
        <v>11</v>
      </c>
      <c r="E136" s="15">
        <v>19481</v>
      </c>
    </row>
    <row r="137" spans="1:5" x14ac:dyDescent="0.2">
      <c r="A137">
        <v>2016</v>
      </c>
      <c r="B137" t="s">
        <v>152</v>
      </c>
      <c r="C137" t="s">
        <v>113</v>
      </c>
      <c r="D137">
        <v>1</v>
      </c>
      <c r="E137" s="15">
        <v>0</v>
      </c>
    </row>
    <row r="138" spans="1:5" x14ac:dyDescent="0.2">
      <c r="A138">
        <v>2016</v>
      </c>
      <c r="B138" t="s">
        <v>152</v>
      </c>
      <c r="C138" t="s">
        <v>114</v>
      </c>
      <c r="D138">
        <v>2</v>
      </c>
      <c r="E138" s="15">
        <v>26</v>
      </c>
    </row>
    <row r="139" spans="1:5" x14ac:dyDescent="0.2">
      <c r="A139">
        <v>2016</v>
      </c>
      <c r="B139" t="s">
        <v>152</v>
      </c>
      <c r="C139" t="s">
        <v>115</v>
      </c>
      <c r="D139">
        <v>3</v>
      </c>
      <c r="E139" s="15">
        <v>93</v>
      </c>
    </row>
    <row r="140" spans="1:5" x14ac:dyDescent="0.2">
      <c r="A140">
        <v>2016</v>
      </c>
      <c r="B140" t="s">
        <v>152</v>
      </c>
      <c r="C140" t="s">
        <v>116</v>
      </c>
      <c r="D140">
        <v>4</v>
      </c>
      <c r="E140" s="15">
        <v>105</v>
      </c>
    </row>
    <row r="141" spans="1:5" x14ac:dyDescent="0.2">
      <c r="A141">
        <v>2016</v>
      </c>
      <c r="B141" t="s">
        <v>152</v>
      </c>
      <c r="C141" t="s">
        <v>117</v>
      </c>
      <c r="D141">
        <v>5</v>
      </c>
      <c r="E141" s="15">
        <v>578</v>
      </c>
    </row>
    <row r="142" spans="1:5" x14ac:dyDescent="0.2">
      <c r="A142">
        <v>2016</v>
      </c>
      <c r="B142" t="s">
        <v>152</v>
      </c>
      <c r="C142" t="s">
        <v>118</v>
      </c>
      <c r="D142">
        <v>6</v>
      </c>
      <c r="E142" s="15">
        <v>2261</v>
      </c>
    </row>
    <row r="143" spans="1:5" x14ac:dyDescent="0.2">
      <c r="A143">
        <v>2016</v>
      </c>
      <c r="B143" t="s">
        <v>152</v>
      </c>
      <c r="C143" t="s">
        <v>119</v>
      </c>
      <c r="D143">
        <v>7</v>
      </c>
      <c r="E143" s="15">
        <v>2170</v>
      </c>
    </row>
    <row r="144" spans="1:5" x14ac:dyDescent="0.2">
      <c r="A144">
        <v>2016</v>
      </c>
      <c r="B144" t="s">
        <v>152</v>
      </c>
      <c r="C144" t="s">
        <v>120</v>
      </c>
      <c r="D144">
        <v>8</v>
      </c>
      <c r="E144" s="15">
        <v>6750</v>
      </c>
    </row>
    <row r="145" spans="1:5" x14ac:dyDescent="0.2">
      <c r="A145">
        <v>2016</v>
      </c>
      <c r="B145" t="s">
        <v>152</v>
      </c>
      <c r="C145" t="s">
        <v>121</v>
      </c>
      <c r="D145">
        <v>9</v>
      </c>
      <c r="E145" s="15">
        <v>3549</v>
      </c>
    </row>
    <row r="146" spans="1:5" x14ac:dyDescent="0.2">
      <c r="A146">
        <v>2016</v>
      </c>
      <c r="B146" t="s">
        <v>152</v>
      </c>
      <c r="C146" t="s">
        <v>122</v>
      </c>
      <c r="D146">
        <v>10</v>
      </c>
      <c r="E146" s="15">
        <v>2368</v>
      </c>
    </row>
    <row r="147" spans="1:5" x14ac:dyDescent="0.2">
      <c r="A147">
        <v>2016</v>
      </c>
      <c r="B147" t="s">
        <v>152</v>
      </c>
      <c r="C147" t="s">
        <v>123</v>
      </c>
      <c r="D147">
        <v>11</v>
      </c>
      <c r="E147" s="15">
        <v>4809</v>
      </c>
    </row>
    <row r="148" spans="1:5" x14ac:dyDescent="0.2">
      <c r="A148">
        <v>2017</v>
      </c>
      <c r="B148" t="s">
        <v>140</v>
      </c>
      <c r="C148" t="s">
        <v>113</v>
      </c>
      <c r="D148">
        <v>1</v>
      </c>
      <c r="E148" s="15">
        <v>301</v>
      </c>
    </row>
    <row r="149" spans="1:5" x14ac:dyDescent="0.2">
      <c r="A149">
        <v>2017</v>
      </c>
      <c r="B149" t="s">
        <v>140</v>
      </c>
      <c r="C149" t="s">
        <v>114</v>
      </c>
      <c r="D149">
        <v>2</v>
      </c>
      <c r="E149" s="15">
        <v>3565</v>
      </c>
    </row>
    <row r="150" spans="1:5" x14ac:dyDescent="0.2">
      <c r="A150">
        <v>2017</v>
      </c>
      <c r="B150" t="s">
        <v>140</v>
      </c>
      <c r="C150" t="s">
        <v>115</v>
      </c>
      <c r="D150">
        <v>3</v>
      </c>
      <c r="E150" s="15">
        <v>2496</v>
      </c>
    </row>
    <row r="151" spans="1:5" x14ac:dyDescent="0.2">
      <c r="A151">
        <v>2017</v>
      </c>
      <c r="B151" t="s">
        <v>140</v>
      </c>
      <c r="C151" t="s">
        <v>116</v>
      </c>
      <c r="D151">
        <v>4</v>
      </c>
      <c r="E151" s="15">
        <v>1061</v>
      </c>
    </row>
    <row r="152" spans="1:5" x14ac:dyDescent="0.2">
      <c r="A152">
        <v>2017</v>
      </c>
      <c r="B152" t="s">
        <v>140</v>
      </c>
      <c r="C152" t="s">
        <v>117</v>
      </c>
      <c r="D152">
        <v>5</v>
      </c>
      <c r="E152" s="15">
        <v>2707</v>
      </c>
    </row>
    <row r="153" spans="1:5" x14ac:dyDescent="0.2">
      <c r="A153">
        <v>2017</v>
      </c>
      <c r="B153" t="s">
        <v>140</v>
      </c>
      <c r="C153" t="s">
        <v>118</v>
      </c>
      <c r="D153">
        <v>6</v>
      </c>
      <c r="E153" s="15">
        <v>3459</v>
      </c>
    </row>
    <row r="154" spans="1:5" x14ac:dyDescent="0.2">
      <c r="A154">
        <v>2017</v>
      </c>
      <c r="B154" t="s">
        <v>140</v>
      </c>
      <c r="C154" t="s">
        <v>119</v>
      </c>
      <c r="D154">
        <v>7</v>
      </c>
      <c r="E154" s="15">
        <v>2300</v>
      </c>
    </row>
    <row r="155" spans="1:5" x14ac:dyDescent="0.2">
      <c r="A155">
        <v>2017</v>
      </c>
      <c r="B155" t="s">
        <v>140</v>
      </c>
      <c r="C155" t="s">
        <v>120</v>
      </c>
      <c r="D155">
        <v>8</v>
      </c>
      <c r="E155" s="15">
        <v>9434</v>
      </c>
    </row>
    <row r="156" spans="1:5" x14ac:dyDescent="0.2">
      <c r="A156">
        <v>2017</v>
      </c>
      <c r="B156" t="s">
        <v>140</v>
      </c>
      <c r="C156" t="s">
        <v>121</v>
      </c>
      <c r="D156">
        <v>9</v>
      </c>
      <c r="E156" s="15">
        <v>8494</v>
      </c>
    </row>
    <row r="157" spans="1:5" x14ac:dyDescent="0.2">
      <c r="A157">
        <v>2017</v>
      </c>
      <c r="B157" t="s">
        <v>140</v>
      </c>
      <c r="C157" t="s">
        <v>122</v>
      </c>
      <c r="D157">
        <v>10</v>
      </c>
      <c r="E157" s="15">
        <v>8081</v>
      </c>
    </row>
    <row r="158" spans="1:5" x14ac:dyDescent="0.2">
      <c r="A158">
        <v>2017</v>
      </c>
      <c r="B158" t="s">
        <v>140</v>
      </c>
      <c r="C158" t="s">
        <v>123</v>
      </c>
      <c r="D158">
        <v>11</v>
      </c>
      <c r="E158" s="15">
        <v>32257</v>
      </c>
    </row>
    <row r="159" spans="1:5" x14ac:dyDescent="0.2">
      <c r="A159">
        <v>2017</v>
      </c>
      <c r="B159" t="s">
        <v>141</v>
      </c>
      <c r="C159" t="s">
        <v>113</v>
      </c>
      <c r="D159">
        <v>1</v>
      </c>
      <c r="E159" s="15">
        <v>424</v>
      </c>
    </row>
    <row r="160" spans="1:5" x14ac:dyDescent="0.2">
      <c r="A160">
        <v>2017</v>
      </c>
      <c r="B160" t="s">
        <v>141</v>
      </c>
      <c r="C160" t="s">
        <v>114</v>
      </c>
      <c r="D160">
        <v>2</v>
      </c>
      <c r="E160" s="15">
        <v>5271</v>
      </c>
    </row>
    <row r="161" spans="1:5" x14ac:dyDescent="0.2">
      <c r="A161">
        <v>2017</v>
      </c>
      <c r="B161" t="s">
        <v>141</v>
      </c>
      <c r="C161" t="s">
        <v>115</v>
      </c>
      <c r="D161">
        <v>3</v>
      </c>
      <c r="E161" s="15">
        <v>3673</v>
      </c>
    </row>
    <row r="162" spans="1:5" x14ac:dyDescent="0.2">
      <c r="A162">
        <v>2017</v>
      </c>
      <c r="B162" t="s">
        <v>141</v>
      </c>
      <c r="C162" t="s">
        <v>116</v>
      </c>
      <c r="D162">
        <v>4</v>
      </c>
      <c r="E162" s="15">
        <v>1533</v>
      </c>
    </row>
    <row r="163" spans="1:5" x14ac:dyDescent="0.2">
      <c r="A163">
        <v>2017</v>
      </c>
      <c r="B163" t="s">
        <v>141</v>
      </c>
      <c r="C163" t="s">
        <v>117</v>
      </c>
      <c r="D163">
        <v>5</v>
      </c>
      <c r="E163" s="15">
        <v>4867</v>
      </c>
    </row>
    <row r="164" spans="1:5" x14ac:dyDescent="0.2">
      <c r="A164">
        <v>2017</v>
      </c>
      <c r="B164" t="s">
        <v>141</v>
      </c>
      <c r="C164" t="s">
        <v>118</v>
      </c>
      <c r="D164">
        <v>6</v>
      </c>
      <c r="E164" s="15">
        <v>8041</v>
      </c>
    </row>
    <row r="165" spans="1:5" x14ac:dyDescent="0.2">
      <c r="A165">
        <v>2017</v>
      </c>
      <c r="B165" t="s">
        <v>141</v>
      </c>
      <c r="C165" t="s">
        <v>119</v>
      </c>
      <c r="D165">
        <v>7</v>
      </c>
      <c r="E165" s="15">
        <v>6192</v>
      </c>
    </row>
    <row r="166" spans="1:5" x14ac:dyDescent="0.2">
      <c r="A166">
        <v>2017</v>
      </c>
      <c r="B166" t="s">
        <v>141</v>
      </c>
      <c r="C166" t="s">
        <v>120</v>
      </c>
      <c r="D166">
        <v>8</v>
      </c>
      <c r="E166" s="15">
        <v>22112</v>
      </c>
    </row>
    <row r="167" spans="1:5" x14ac:dyDescent="0.2">
      <c r="A167">
        <v>2017</v>
      </c>
      <c r="B167" t="s">
        <v>141</v>
      </c>
      <c r="C167" t="s">
        <v>121</v>
      </c>
      <c r="D167">
        <v>9</v>
      </c>
      <c r="E167" s="15">
        <v>17602</v>
      </c>
    </row>
    <row r="168" spans="1:5" x14ac:dyDescent="0.2">
      <c r="A168">
        <v>2017</v>
      </c>
      <c r="B168" t="s">
        <v>141</v>
      </c>
      <c r="C168" t="s">
        <v>122</v>
      </c>
      <c r="D168">
        <v>10</v>
      </c>
      <c r="E168" s="15">
        <v>15883</v>
      </c>
    </row>
    <row r="169" spans="1:5" x14ac:dyDescent="0.2">
      <c r="A169">
        <v>2017</v>
      </c>
      <c r="B169" t="s">
        <v>141</v>
      </c>
      <c r="C169" t="s">
        <v>123</v>
      </c>
      <c r="D169">
        <v>11</v>
      </c>
      <c r="E169" s="15">
        <v>53317</v>
      </c>
    </row>
    <row r="170" spans="1:5" x14ac:dyDescent="0.2">
      <c r="A170">
        <v>2017</v>
      </c>
      <c r="B170" t="s">
        <v>142</v>
      </c>
      <c r="C170" t="s">
        <v>113</v>
      </c>
      <c r="D170">
        <v>1</v>
      </c>
      <c r="E170" s="15">
        <v>73</v>
      </c>
    </row>
    <row r="171" spans="1:5" x14ac:dyDescent="0.2">
      <c r="A171">
        <v>2017</v>
      </c>
      <c r="B171" t="s">
        <v>142</v>
      </c>
      <c r="C171" t="s">
        <v>114</v>
      </c>
      <c r="D171">
        <v>2</v>
      </c>
      <c r="E171" s="15">
        <v>1027</v>
      </c>
    </row>
    <row r="172" spans="1:5" x14ac:dyDescent="0.2">
      <c r="A172">
        <v>2017</v>
      </c>
      <c r="B172" t="s">
        <v>142</v>
      </c>
      <c r="C172" t="s">
        <v>115</v>
      </c>
      <c r="D172">
        <v>3</v>
      </c>
      <c r="E172" s="15">
        <v>638</v>
      </c>
    </row>
    <row r="173" spans="1:5" x14ac:dyDescent="0.2">
      <c r="A173">
        <v>2017</v>
      </c>
      <c r="B173" t="s">
        <v>142</v>
      </c>
      <c r="C173" t="s">
        <v>116</v>
      </c>
      <c r="D173">
        <v>4</v>
      </c>
      <c r="E173" s="15">
        <v>218</v>
      </c>
    </row>
    <row r="174" spans="1:5" x14ac:dyDescent="0.2">
      <c r="A174">
        <v>2017</v>
      </c>
      <c r="B174" t="s">
        <v>142</v>
      </c>
      <c r="C174" t="s">
        <v>117</v>
      </c>
      <c r="D174">
        <v>5</v>
      </c>
      <c r="E174" s="15">
        <v>546</v>
      </c>
    </row>
    <row r="175" spans="1:5" x14ac:dyDescent="0.2">
      <c r="A175">
        <v>2017</v>
      </c>
      <c r="B175" t="s">
        <v>142</v>
      </c>
      <c r="C175" t="s">
        <v>118</v>
      </c>
      <c r="D175">
        <v>6</v>
      </c>
      <c r="E175" s="15">
        <v>1239</v>
      </c>
    </row>
    <row r="176" spans="1:5" x14ac:dyDescent="0.2">
      <c r="A176">
        <v>2017</v>
      </c>
      <c r="B176" t="s">
        <v>142</v>
      </c>
      <c r="C176" t="s">
        <v>119</v>
      </c>
      <c r="D176">
        <v>7</v>
      </c>
      <c r="E176" s="15">
        <v>1213</v>
      </c>
    </row>
    <row r="177" spans="1:5" x14ac:dyDescent="0.2">
      <c r="A177">
        <v>2017</v>
      </c>
      <c r="B177" t="s">
        <v>142</v>
      </c>
      <c r="C177" t="s">
        <v>120</v>
      </c>
      <c r="D177">
        <v>8</v>
      </c>
      <c r="E177" s="15">
        <v>4574</v>
      </c>
    </row>
    <row r="178" spans="1:5" x14ac:dyDescent="0.2">
      <c r="A178">
        <v>2017</v>
      </c>
      <c r="B178" t="s">
        <v>142</v>
      </c>
      <c r="C178" t="s">
        <v>121</v>
      </c>
      <c r="D178">
        <v>9</v>
      </c>
      <c r="E178" s="15">
        <v>3533</v>
      </c>
    </row>
    <row r="179" spans="1:5" x14ac:dyDescent="0.2">
      <c r="A179">
        <v>2017</v>
      </c>
      <c r="B179" t="s">
        <v>142</v>
      </c>
      <c r="C179" t="s">
        <v>122</v>
      </c>
      <c r="D179">
        <v>10</v>
      </c>
      <c r="E179" s="15">
        <v>2723</v>
      </c>
    </row>
    <row r="180" spans="1:5" x14ac:dyDescent="0.2">
      <c r="A180">
        <v>2017</v>
      </c>
      <c r="B180" t="s">
        <v>142</v>
      </c>
      <c r="C180" t="s">
        <v>123</v>
      </c>
      <c r="D180">
        <v>11</v>
      </c>
      <c r="E180" s="15">
        <v>8584</v>
      </c>
    </row>
    <row r="181" spans="1:5" x14ac:dyDescent="0.2">
      <c r="A181">
        <v>2017</v>
      </c>
      <c r="B181" t="s">
        <v>143</v>
      </c>
      <c r="C181" t="s">
        <v>113</v>
      </c>
      <c r="D181">
        <v>1</v>
      </c>
      <c r="E181" s="15">
        <v>52</v>
      </c>
    </row>
    <row r="182" spans="1:5" x14ac:dyDescent="0.2">
      <c r="A182">
        <v>2017</v>
      </c>
      <c r="B182" t="s">
        <v>143</v>
      </c>
      <c r="C182" t="s">
        <v>114</v>
      </c>
      <c r="D182">
        <v>2</v>
      </c>
      <c r="E182" s="15">
        <v>1210</v>
      </c>
    </row>
    <row r="183" spans="1:5" x14ac:dyDescent="0.2">
      <c r="A183">
        <v>2017</v>
      </c>
      <c r="B183" t="s">
        <v>143</v>
      </c>
      <c r="C183" t="s">
        <v>115</v>
      </c>
      <c r="D183">
        <v>3</v>
      </c>
      <c r="E183" s="15">
        <v>828</v>
      </c>
    </row>
    <row r="184" spans="1:5" x14ac:dyDescent="0.2">
      <c r="A184">
        <v>2017</v>
      </c>
      <c r="B184" t="s">
        <v>143</v>
      </c>
      <c r="C184" t="s">
        <v>116</v>
      </c>
      <c r="D184">
        <v>4</v>
      </c>
      <c r="E184" s="15">
        <v>306</v>
      </c>
    </row>
    <row r="185" spans="1:5" x14ac:dyDescent="0.2">
      <c r="A185">
        <v>2017</v>
      </c>
      <c r="B185" t="s">
        <v>143</v>
      </c>
      <c r="C185" t="s">
        <v>117</v>
      </c>
      <c r="D185">
        <v>5</v>
      </c>
      <c r="E185" s="15">
        <v>725</v>
      </c>
    </row>
    <row r="186" spans="1:5" x14ac:dyDescent="0.2">
      <c r="A186">
        <v>2017</v>
      </c>
      <c r="B186" t="s">
        <v>143</v>
      </c>
      <c r="C186" t="s">
        <v>118</v>
      </c>
      <c r="D186">
        <v>6</v>
      </c>
      <c r="E186" s="15">
        <v>919</v>
      </c>
    </row>
    <row r="187" spans="1:5" x14ac:dyDescent="0.2">
      <c r="A187">
        <v>2017</v>
      </c>
      <c r="B187" t="s">
        <v>143</v>
      </c>
      <c r="C187" t="s">
        <v>119</v>
      </c>
      <c r="D187">
        <v>7</v>
      </c>
      <c r="E187" s="15">
        <v>651</v>
      </c>
    </row>
    <row r="188" spans="1:5" x14ac:dyDescent="0.2">
      <c r="A188">
        <v>2017</v>
      </c>
      <c r="B188" t="s">
        <v>143</v>
      </c>
      <c r="C188" t="s">
        <v>120</v>
      </c>
      <c r="D188">
        <v>8</v>
      </c>
      <c r="E188" s="15">
        <v>3038</v>
      </c>
    </row>
    <row r="189" spans="1:5" x14ac:dyDescent="0.2">
      <c r="A189">
        <v>2017</v>
      </c>
      <c r="B189" t="s">
        <v>143</v>
      </c>
      <c r="C189" t="s">
        <v>121</v>
      </c>
      <c r="D189">
        <v>9</v>
      </c>
      <c r="E189" s="15">
        <v>2323</v>
      </c>
    </row>
    <row r="190" spans="1:5" x14ac:dyDescent="0.2">
      <c r="A190">
        <v>2017</v>
      </c>
      <c r="B190" t="s">
        <v>143</v>
      </c>
      <c r="C190" t="s">
        <v>122</v>
      </c>
      <c r="D190">
        <v>10</v>
      </c>
      <c r="E190" s="15">
        <v>1997</v>
      </c>
    </row>
    <row r="191" spans="1:5" x14ac:dyDescent="0.2">
      <c r="A191">
        <v>2017</v>
      </c>
      <c r="B191" t="s">
        <v>143</v>
      </c>
      <c r="C191" t="s">
        <v>123</v>
      </c>
      <c r="D191">
        <v>11</v>
      </c>
      <c r="E191" s="15">
        <v>9151</v>
      </c>
    </row>
    <row r="192" spans="1:5" x14ac:dyDescent="0.2">
      <c r="A192">
        <v>2017</v>
      </c>
      <c r="B192" t="s">
        <v>144</v>
      </c>
      <c r="C192" t="s">
        <v>113</v>
      </c>
      <c r="D192">
        <v>1</v>
      </c>
      <c r="E192" s="15">
        <v>115</v>
      </c>
    </row>
    <row r="193" spans="1:5" x14ac:dyDescent="0.2">
      <c r="A193">
        <v>2017</v>
      </c>
      <c r="B193" t="s">
        <v>144</v>
      </c>
      <c r="C193" t="s">
        <v>114</v>
      </c>
      <c r="D193">
        <v>2</v>
      </c>
      <c r="E193" s="15">
        <v>2079</v>
      </c>
    </row>
    <row r="194" spans="1:5" x14ac:dyDescent="0.2">
      <c r="A194">
        <v>2017</v>
      </c>
      <c r="B194" t="s">
        <v>144</v>
      </c>
      <c r="C194" t="s">
        <v>115</v>
      </c>
      <c r="D194">
        <v>3</v>
      </c>
      <c r="E194" s="15">
        <v>1447</v>
      </c>
    </row>
    <row r="195" spans="1:5" x14ac:dyDescent="0.2">
      <c r="A195">
        <v>2017</v>
      </c>
      <c r="B195" t="s">
        <v>144</v>
      </c>
      <c r="C195" t="s">
        <v>116</v>
      </c>
      <c r="D195">
        <v>4</v>
      </c>
      <c r="E195" s="15">
        <v>589</v>
      </c>
    </row>
    <row r="196" spans="1:5" x14ac:dyDescent="0.2">
      <c r="A196">
        <v>2017</v>
      </c>
      <c r="B196" t="s">
        <v>144</v>
      </c>
      <c r="C196" t="s">
        <v>117</v>
      </c>
      <c r="D196">
        <v>5</v>
      </c>
      <c r="E196" s="15">
        <v>1419</v>
      </c>
    </row>
    <row r="197" spans="1:5" x14ac:dyDescent="0.2">
      <c r="A197">
        <v>2017</v>
      </c>
      <c r="B197" t="s">
        <v>144</v>
      </c>
      <c r="C197" t="s">
        <v>118</v>
      </c>
      <c r="D197">
        <v>6</v>
      </c>
      <c r="E197" s="15">
        <v>2086</v>
      </c>
    </row>
    <row r="198" spans="1:5" x14ac:dyDescent="0.2">
      <c r="A198">
        <v>2017</v>
      </c>
      <c r="B198" t="s">
        <v>144</v>
      </c>
      <c r="C198" t="s">
        <v>119</v>
      </c>
      <c r="D198">
        <v>7</v>
      </c>
      <c r="E198" s="15">
        <v>1725</v>
      </c>
    </row>
    <row r="199" spans="1:5" x14ac:dyDescent="0.2">
      <c r="A199">
        <v>2017</v>
      </c>
      <c r="B199" t="s">
        <v>144</v>
      </c>
      <c r="C199" t="s">
        <v>120</v>
      </c>
      <c r="D199">
        <v>8</v>
      </c>
      <c r="E199" s="15">
        <v>6971</v>
      </c>
    </row>
    <row r="200" spans="1:5" x14ac:dyDescent="0.2">
      <c r="A200">
        <v>2017</v>
      </c>
      <c r="B200" t="s">
        <v>144</v>
      </c>
      <c r="C200" t="s">
        <v>121</v>
      </c>
      <c r="D200">
        <v>9</v>
      </c>
      <c r="E200" s="15">
        <v>5764</v>
      </c>
    </row>
    <row r="201" spans="1:5" x14ac:dyDescent="0.2">
      <c r="A201">
        <v>2017</v>
      </c>
      <c r="B201" t="s">
        <v>144</v>
      </c>
      <c r="C201" t="s">
        <v>122</v>
      </c>
      <c r="D201">
        <v>10</v>
      </c>
      <c r="E201" s="15">
        <v>5247</v>
      </c>
    </row>
    <row r="202" spans="1:5" x14ac:dyDescent="0.2">
      <c r="A202">
        <v>2017</v>
      </c>
      <c r="B202" t="s">
        <v>144</v>
      </c>
      <c r="C202" t="s">
        <v>123</v>
      </c>
      <c r="D202">
        <v>11</v>
      </c>
      <c r="E202" s="15">
        <v>20550</v>
      </c>
    </row>
    <row r="203" spans="1:5" x14ac:dyDescent="0.2">
      <c r="A203">
        <v>2017</v>
      </c>
      <c r="B203" t="s">
        <v>145</v>
      </c>
      <c r="C203" t="s">
        <v>113</v>
      </c>
      <c r="D203">
        <v>1</v>
      </c>
      <c r="E203" s="15">
        <v>10</v>
      </c>
    </row>
    <row r="204" spans="1:5" x14ac:dyDescent="0.2">
      <c r="A204">
        <v>2017</v>
      </c>
      <c r="B204" t="s">
        <v>145</v>
      </c>
      <c r="C204" t="s">
        <v>114</v>
      </c>
      <c r="D204">
        <v>2</v>
      </c>
      <c r="E204" s="15">
        <v>278</v>
      </c>
    </row>
    <row r="205" spans="1:5" x14ac:dyDescent="0.2">
      <c r="A205">
        <v>2017</v>
      </c>
      <c r="B205" t="s">
        <v>145</v>
      </c>
      <c r="C205" t="s">
        <v>115</v>
      </c>
      <c r="D205">
        <v>3</v>
      </c>
      <c r="E205" s="15">
        <v>269</v>
      </c>
    </row>
    <row r="206" spans="1:5" x14ac:dyDescent="0.2">
      <c r="A206">
        <v>2017</v>
      </c>
      <c r="B206" t="s">
        <v>145</v>
      </c>
      <c r="C206" t="s">
        <v>116</v>
      </c>
      <c r="D206">
        <v>4</v>
      </c>
      <c r="E206" s="15">
        <v>108</v>
      </c>
    </row>
    <row r="207" spans="1:5" x14ac:dyDescent="0.2">
      <c r="A207">
        <v>2017</v>
      </c>
      <c r="B207" t="s">
        <v>145</v>
      </c>
      <c r="C207" t="s">
        <v>117</v>
      </c>
      <c r="D207">
        <v>5</v>
      </c>
      <c r="E207" s="15">
        <v>273</v>
      </c>
    </row>
    <row r="208" spans="1:5" x14ac:dyDescent="0.2">
      <c r="A208">
        <v>2017</v>
      </c>
      <c r="B208" t="s">
        <v>145</v>
      </c>
      <c r="C208" t="s">
        <v>118</v>
      </c>
      <c r="D208">
        <v>6</v>
      </c>
      <c r="E208" s="15">
        <v>1127</v>
      </c>
    </row>
    <row r="209" spans="1:5" x14ac:dyDescent="0.2">
      <c r="A209">
        <v>2017</v>
      </c>
      <c r="B209" t="s">
        <v>145</v>
      </c>
      <c r="C209" t="s">
        <v>119</v>
      </c>
      <c r="D209">
        <v>7</v>
      </c>
      <c r="E209" s="15">
        <v>1260</v>
      </c>
    </row>
    <row r="210" spans="1:5" x14ac:dyDescent="0.2">
      <c r="A210">
        <v>2017</v>
      </c>
      <c r="B210" t="s">
        <v>145</v>
      </c>
      <c r="C210" t="s">
        <v>120</v>
      </c>
      <c r="D210">
        <v>8</v>
      </c>
      <c r="E210" s="15">
        <v>4211</v>
      </c>
    </row>
    <row r="211" spans="1:5" x14ac:dyDescent="0.2">
      <c r="A211">
        <v>2017</v>
      </c>
      <c r="B211" t="s">
        <v>145</v>
      </c>
      <c r="C211" t="s">
        <v>121</v>
      </c>
      <c r="D211">
        <v>9</v>
      </c>
      <c r="E211" s="15">
        <v>2864</v>
      </c>
    </row>
    <row r="212" spans="1:5" x14ac:dyDescent="0.2">
      <c r="A212">
        <v>2017</v>
      </c>
      <c r="B212" t="s">
        <v>145</v>
      </c>
      <c r="C212" t="s">
        <v>122</v>
      </c>
      <c r="D212">
        <v>10</v>
      </c>
      <c r="E212" s="15">
        <v>2048</v>
      </c>
    </row>
    <row r="213" spans="1:5" x14ac:dyDescent="0.2">
      <c r="A213">
        <v>2017</v>
      </c>
      <c r="B213" t="s">
        <v>145</v>
      </c>
      <c r="C213" t="s">
        <v>123</v>
      </c>
      <c r="D213">
        <v>11</v>
      </c>
      <c r="E213" s="15">
        <v>4614</v>
      </c>
    </row>
    <row r="214" spans="1:5" x14ac:dyDescent="0.2">
      <c r="A214">
        <v>2017</v>
      </c>
      <c r="B214" t="s">
        <v>146</v>
      </c>
      <c r="C214" t="s">
        <v>113</v>
      </c>
      <c r="D214">
        <v>1</v>
      </c>
      <c r="E214" s="15">
        <v>172</v>
      </c>
    </row>
    <row r="215" spans="1:5" x14ac:dyDescent="0.2">
      <c r="A215">
        <v>2017</v>
      </c>
      <c r="B215" t="s">
        <v>146</v>
      </c>
      <c r="C215" t="s">
        <v>114</v>
      </c>
      <c r="D215">
        <v>2</v>
      </c>
      <c r="E215" s="15">
        <v>2091</v>
      </c>
    </row>
    <row r="216" spans="1:5" x14ac:dyDescent="0.2">
      <c r="A216">
        <v>2017</v>
      </c>
      <c r="B216" t="s">
        <v>146</v>
      </c>
      <c r="C216" t="s">
        <v>115</v>
      </c>
      <c r="D216">
        <v>3</v>
      </c>
      <c r="E216" s="15">
        <v>1645</v>
      </c>
    </row>
    <row r="217" spans="1:5" x14ac:dyDescent="0.2">
      <c r="A217">
        <v>2017</v>
      </c>
      <c r="B217" t="s">
        <v>146</v>
      </c>
      <c r="C217" t="s">
        <v>116</v>
      </c>
      <c r="D217">
        <v>4</v>
      </c>
      <c r="E217" s="15">
        <v>776</v>
      </c>
    </row>
    <row r="218" spans="1:5" x14ac:dyDescent="0.2">
      <c r="A218">
        <v>2017</v>
      </c>
      <c r="B218" t="s">
        <v>146</v>
      </c>
      <c r="C218" t="s">
        <v>117</v>
      </c>
      <c r="D218">
        <v>5</v>
      </c>
      <c r="E218" s="15">
        <v>2091</v>
      </c>
    </row>
    <row r="219" spans="1:5" x14ac:dyDescent="0.2">
      <c r="A219">
        <v>2017</v>
      </c>
      <c r="B219" t="s">
        <v>146</v>
      </c>
      <c r="C219" t="s">
        <v>118</v>
      </c>
      <c r="D219">
        <v>6</v>
      </c>
      <c r="E219" s="15">
        <v>4150</v>
      </c>
    </row>
    <row r="220" spans="1:5" x14ac:dyDescent="0.2">
      <c r="A220">
        <v>2017</v>
      </c>
      <c r="B220" t="s">
        <v>146</v>
      </c>
      <c r="C220" t="s">
        <v>119</v>
      </c>
      <c r="D220">
        <v>7</v>
      </c>
      <c r="E220" s="15">
        <v>3252</v>
      </c>
    </row>
    <row r="221" spans="1:5" x14ac:dyDescent="0.2">
      <c r="A221">
        <v>2017</v>
      </c>
      <c r="B221" t="s">
        <v>146</v>
      </c>
      <c r="C221" t="s">
        <v>120</v>
      </c>
      <c r="D221">
        <v>8</v>
      </c>
      <c r="E221" s="15">
        <v>11758</v>
      </c>
    </row>
    <row r="222" spans="1:5" x14ac:dyDescent="0.2">
      <c r="A222">
        <v>2017</v>
      </c>
      <c r="B222" t="s">
        <v>146</v>
      </c>
      <c r="C222" t="s">
        <v>121</v>
      </c>
      <c r="D222">
        <v>9</v>
      </c>
      <c r="E222" s="15">
        <v>8943</v>
      </c>
    </row>
    <row r="223" spans="1:5" x14ac:dyDescent="0.2">
      <c r="A223">
        <v>2017</v>
      </c>
      <c r="B223" t="s">
        <v>146</v>
      </c>
      <c r="C223" t="s">
        <v>122</v>
      </c>
      <c r="D223">
        <v>10</v>
      </c>
      <c r="E223" s="15">
        <v>7588</v>
      </c>
    </row>
    <row r="224" spans="1:5" x14ac:dyDescent="0.2">
      <c r="A224">
        <v>2017</v>
      </c>
      <c r="B224" t="s">
        <v>146</v>
      </c>
      <c r="C224" t="s">
        <v>123</v>
      </c>
      <c r="D224">
        <v>11</v>
      </c>
      <c r="E224" s="15">
        <v>30911</v>
      </c>
    </row>
    <row r="225" spans="1:5" x14ac:dyDescent="0.2">
      <c r="A225">
        <v>2017</v>
      </c>
      <c r="B225" t="s">
        <v>147</v>
      </c>
      <c r="C225" t="s">
        <v>113</v>
      </c>
      <c r="D225">
        <v>1</v>
      </c>
      <c r="E225" s="15">
        <v>378</v>
      </c>
    </row>
    <row r="226" spans="1:5" x14ac:dyDescent="0.2">
      <c r="A226">
        <v>2017</v>
      </c>
      <c r="B226" t="s">
        <v>147</v>
      </c>
      <c r="C226" t="s">
        <v>114</v>
      </c>
      <c r="D226">
        <v>2</v>
      </c>
      <c r="E226" s="15">
        <v>4783</v>
      </c>
    </row>
    <row r="227" spans="1:5" x14ac:dyDescent="0.2">
      <c r="A227">
        <v>2017</v>
      </c>
      <c r="B227" t="s">
        <v>147</v>
      </c>
      <c r="C227" t="s">
        <v>115</v>
      </c>
      <c r="D227">
        <v>3</v>
      </c>
      <c r="E227" s="15">
        <v>3601</v>
      </c>
    </row>
    <row r="228" spans="1:5" x14ac:dyDescent="0.2">
      <c r="A228">
        <v>2017</v>
      </c>
      <c r="B228" t="s">
        <v>147</v>
      </c>
      <c r="C228" t="s">
        <v>116</v>
      </c>
      <c r="D228">
        <v>4</v>
      </c>
      <c r="E228" s="15">
        <v>1530</v>
      </c>
    </row>
    <row r="229" spans="1:5" x14ac:dyDescent="0.2">
      <c r="A229">
        <v>2017</v>
      </c>
      <c r="B229" t="s">
        <v>147</v>
      </c>
      <c r="C229" t="s">
        <v>117</v>
      </c>
      <c r="D229">
        <v>5</v>
      </c>
      <c r="E229" s="15">
        <v>4369</v>
      </c>
    </row>
    <row r="230" spans="1:5" x14ac:dyDescent="0.2">
      <c r="A230">
        <v>2017</v>
      </c>
      <c r="B230" t="s">
        <v>147</v>
      </c>
      <c r="C230" t="s">
        <v>118</v>
      </c>
      <c r="D230">
        <v>6</v>
      </c>
      <c r="E230" s="15">
        <v>6829</v>
      </c>
    </row>
    <row r="231" spans="1:5" x14ac:dyDescent="0.2">
      <c r="A231">
        <v>2017</v>
      </c>
      <c r="B231" t="s">
        <v>147</v>
      </c>
      <c r="C231" t="s">
        <v>119</v>
      </c>
      <c r="D231">
        <v>7</v>
      </c>
      <c r="E231" s="15">
        <v>4583</v>
      </c>
    </row>
    <row r="232" spans="1:5" x14ac:dyDescent="0.2">
      <c r="A232">
        <v>2017</v>
      </c>
      <c r="B232" t="s">
        <v>147</v>
      </c>
      <c r="C232" t="s">
        <v>120</v>
      </c>
      <c r="D232">
        <v>8</v>
      </c>
      <c r="E232" s="15">
        <v>19401</v>
      </c>
    </row>
    <row r="233" spans="1:5" x14ac:dyDescent="0.2">
      <c r="A233">
        <v>2017</v>
      </c>
      <c r="B233" t="s">
        <v>147</v>
      </c>
      <c r="C233" t="s">
        <v>121</v>
      </c>
      <c r="D233">
        <v>9</v>
      </c>
      <c r="E233" s="15">
        <v>16335</v>
      </c>
    </row>
    <row r="234" spans="1:5" x14ac:dyDescent="0.2">
      <c r="A234">
        <v>2017</v>
      </c>
      <c r="B234" t="s">
        <v>147</v>
      </c>
      <c r="C234" t="s">
        <v>122</v>
      </c>
      <c r="D234">
        <v>10</v>
      </c>
      <c r="E234" s="15">
        <v>14654</v>
      </c>
    </row>
    <row r="235" spans="1:5" x14ac:dyDescent="0.2">
      <c r="A235">
        <v>2017</v>
      </c>
      <c r="B235" t="s">
        <v>147</v>
      </c>
      <c r="C235" t="s">
        <v>123</v>
      </c>
      <c r="D235">
        <v>11</v>
      </c>
      <c r="E235" s="15">
        <v>59278</v>
      </c>
    </row>
    <row r="236" spans="1:5" x14ac:dyDescent="0.2">
      <c r="A236">
        <v>2017</v>
      </c>
      <c r="B236" t="s">
        <v>148</v>
      </c>
      <c r="C236" t="s">
        <v>113</v>
      </c>
      <c r="D236">
        <v>1</v>
      </c>
      <c r="E236" s="15">
        <v>98</v>
      </c>
    </row>
    <row r="237" spans="1:5" x14ac:dyDescent="0.2">
      <c r="A237">
        <v>2017</v>
      </c>
      <c r="B237" t="s">
        <v>148</v>
      </c>
      <c r="C237" t="s">
        <v>114</v>
      </c>
      <c r="D237">
        <v>2</v>
      </c>
      <c r="E237" s="15">
        <v>1000</v>
      </c>
    </row>
    <row r="238" spans="1:5" x14ac:dyDescent="0.2">
      <c r="A238">
        <v>2017</v>
      </c>
      <c r="B238" t="s">
        <v>148</v>
      </c>
      <c r="C238" t="s">
        <v>115</v>
      </c>
      <c r="D238">
        <v>3</v>
      </c>
      <c r="E238" s="15">
        <v>787</v>
      </c>
    </row>
    <row r="239" spans="1:5" x14ac:dyDescent="0.2">
      <c r="A239">
        <v>2017</v>
      </c>
      <c r="B239" t="s">
        <v>148</v>
      </c>
      <c r="C239" t="s">
        <v>116</v>
      </c>
      <c r="D239">
        <v>4</v>
      </c>
      <c r="E239" s="15">
        <v>356</v>
      </c>
    </row>
    <row r="240" spans="1:5" x14ac:dyDescent="0.2">
      <c r="A240">
        <v>2017</v>
      </c>
      <c r="B240" t="s">
        <v>148</v>
      </c>
      <c r="C240" t="s">
        <v>117</v>
      </c>
      <c r="D240">
        <v>5</v>
      </c>
      <c r="E240" s="15">
        <v>841</v>
      </c>
    </row>
    <row r="241" spans="1:5" x14ac:dyDescent="0.2">
      <c r="A241">
        <v>2017</v>
      </c>
      <c r="B241" t="s">
        <v>148</v>
      </c>
      <c r="C241" t="s">
        <v>118</v>
      </c>
      <c r="D241">
        <v>6</v>
      </c>
      <c r="E241" s="15">
        <v>1198</v>
      </c>
    </row>
    <row r="242" spans="1:5" x14ac:dyDescent="0.2">
      <c r="A242">
        <v>2017</v>
      </c>
      <c r="B242" t="s">
        <v>148</v>
      </c>
      <c r="C242" t="s">
        <v>119</v>
      </c>
      <c r="D242">
        <v>7</v>
      </c>
      <c r="E242" s="15">
        <v>887</v>
      </c>
    </row>
    <row r="243" spans="1:5" x14ac:dyDescent="0.2">
      <c r="A243">
        <v>2017</v>
      </c>
      <c r="B243" t="s">
        <v>148</v>
      </c>
      <c r="C243" t="s">
        <v>120</v>
      </c>
      <c r="D243">
        <v>8</v>
      </c>
      <c r="E243" s="15">
        <v>3831</v>
      </c>
    </row>
    <row r="244" spans="1:5" x14ac:dyDescent="0.2">
      <c r="A244">
        <v>2017</v>
      </c>
      <c r="B244" t="s">
        <v>148</v>
      </c>
      <c r="C244" t="s">
        <v>121</v>
      </c>
      <c r="D244">
        <v>9</v>
      </c>
      <c r="E244" s="15">
        <v>3512</v>
      </c>
    </row>
    <row r="245" spans="1:5" x14ac:dyDescent="0.2">
      <c r="A245">
        <v>2017</v>
      </c>
      <c r="B245" t="s">
        <v>148</v>
      </c>
      <c r="C245" t="s">
        <v>122</v>
      </c>
      <c r="D245">
        <v>10</v>
      </c>
      <c r="E245" s="15">
        <v>3304</v>
      </c>
    </row>
    <row r="246" spans="1:5" x14ac:dyDescent="0.2">
      <c r="A246">
        <v>2017</v>
      </c>
      <c r="B246" t="s">
        <v>148</v>
      </c>
      <c r="C246" t="s">
        <v>123</v>
      </c>
      <c r="D246">
        <v>11</v>
      </c>
      <c r="E246" s="15">
        <v>11857</v>
      </c>
    </row>
    <row r="247" spans="1:5" x14ac:dyDescent="0.2">
      <c r="A247">
        <v>2017</v>
      </c>
      <c r="B247" t="s">
        <v>149</v>
      </c>
      <c r="C247" t="s">
        <v>113</v>
      </c>
      <c r="D247">
        <v>1</v>
      </c>
      <c r="E247" s="15">
        <v>8</v>
      </c>
    </row>
    <row r="248" spans="1:5" x14ac:dyDescent="0.2">
      <c r="A248">
        <v>2017</v>
      </c>
      <c r="B248" t="s">
        <v>149</v>
      </c>
      <c r="C248" t="s">
        <v>114</v>
      </c>
      <c r="D248">
        <v>2</v>
      </c>
      <c r="E248" s="15">
        <v>114</v>
      </c>
    </row>
    <row r="249" spans="1:5" x14ac:dyDescent="0.2">
      <c r="A249">
        <v>2017</v>
      </c>
      <c r="B249" t="s">
        <v>149</v>
      </c>
      <c r="C249" t="s">
        <v>115</v>
      </c>
      <c r="D249">
        <v>3</v>
      </c>
      <c r="E249" s="15">
        <v>64</v>
      </c>
    </row>
    <row r="250" spans="1:5" x14ac:dyDescent="0.2">
      <c r="A250">
        <v>2017</v>
      </c>
      <c r="B250" t="s">
        <v>149</v>
      </c>
      <c r="C250" t="s">
        <v>116</v>
      </c>
      <c r="D250">
        <v>4</v>
      </c>
      <c r="E250" s="15">
        <v>33</v>
      </c>
    </row>
    <row r="251" spans="1:5" x14ac:dyDescent="0.2">
      <c r="A251">
        <v>2017</v>
      </c>
      <c r="B251" t="s">
        <v>149</v>
      </c>
      <c r="C251" t="s">
        <v>117</v>
      </c>
      <c r="D251">
        <v>5</v>
      </c>
      <c r="E251" s="15">
        <v>96</v>
      </c>
    </row>
    <row r="252" spans="1:5" x14ac:dyDescent="0.2">
      <c r="A252">
        <v>2017</v>
      </c>
      <c r="B252" t="s">
        <v>149</v>
      </c>
      <c r="C252" t="s">
        <v>118</v>
      </c>
      <c r="D252">
        <v>6</v>
      </c>
      <c r="E252" s="15">
        <v>132</v>
      </c>
    </row>
    <row r="253" spans="1:5" x14ac:dyDescent="0.2">
      <c r="A253">
        <v>2017</v>
      </c>
      <c r="B253" t="s">
        <v>149</v>
      </c>
      <c r="C253" t="s">
        <v>119</v>
      </c>
      <c r="D253">
        <v>7</v>
      </c>
      <c r="E253" s="15">
        <v>77</v>
      </c>
    </row>
    <row r="254" spans="1:5" x14ac:dyDescent="0.2">
      <c r="A254">
        <v>2017</v>
      </c>
      <c r="B254" t="s">
        <v>149</v>
      </c>
      <c r="C254" t="s">
        <v>120</v>
      </c>
      <c r="D254">
        <v>8</v>
      </c>
      <c r="E254" s="15">
        <v>370</v>
      </c>
    </row>
    <row r="255" spans="1:5" x14ac:dyDescent="0.2">
      <c r="A255">
        <v>2017</v>
      </c>
      <c r="B255" t="s">
        <v>149</v>
      </c>
      <c r="C255" t="s">
        <v>121</v>
      </c>
      <c r="D255">
        <v>9</v>
      </c>
      <c r="E255" s="15">
        <v>264</v>
      </c>
    </row>
    <row r="256" spans="1:5" x14ac:dyDescent="0.2">
      <c r="A256">
        <v>2017</v>
      </c>
      <c r="B256" t="s">
        <v>149</v>
      </c>
      <c r="C256" t="s">
        <v>122</v>
      </c>
      <c r="D256">
        <v>10</v>
      </c>
      <c r="E256" s="15">
        <v>213</v>
      </c>
    </row>
    <row r="257" spans="1:5" x14ac:dyDescent="0.2">
      <c r="A257">
        <v>2017</v>
      </c>
      <c r="B257" t="s">
        <v>149</v>
      </c>
      <c r="C257" t="s">
        <v>123</v>
      </c>
      <c r="D257">
        <v>11</v>
      </c>
      <c r="E257" s="15">
        <v>358</v>
      </c>
    </row>
    <row r="258" spans="1:5" x14ac:dyDescent="0.2">
      <c r="A258">
        <v>2017</v>
      </c>
      <c r="B258" t="s">
        <v>150</v>
      </c>
      <c r="C258" t="s">
        <v>113</v>
      </c>
      <c r="D258">
        <v>1</v>
      </c>
      <c r="E258" s="15">
        <v>26</v>
      </c>
    </row>
    <row r="259" spans="1:5" x14ac:dyDescent="0.2">
      <c r="A259">
        <v>2017</v>
      </c>
      <c r="B259" t="s">
        <v>150</v>
      </c>
      <c r="C259" t="s">
        <v>114</v>
      </c>
      <c r="D259">
        <v>2</v>
      </c>
      <c r="E259" s="15">
        <v>496</v>
      </c>
    </row>
    <row r="260" spans="1:5" x14ac:dyDescent="0.2">
      <c r="A260">
        <v>2017</v>
      </c>
      <c r="B260" t="s">
        <v>150</v>
      </c>
      <c r="C260" t="s">
        <v>115</v>
      </c>
      <c r="D260">
        <v>3</v>
      </c>
      <c r="E260" s="15">
        <v>373</v>
      </c>
    </row>
    <row r="261" spans="1:5" x14ac:dyDescent="0.2">
      <c r="A261">
        <v>2017</v>
      </c>
      <c r="B261" t="s">
        <v>150</v>
      </c>
      <c r="C261" t="s">
        <v>116</v>
      </c>
      <c r="D261">
        <v>4</v>
      </c>
      <c r="E261" s="15">
        <v>122</v>
      </c>
    </row>
    <row r="262" spans="1:5" x14ac:dyDescent="0.2">
      <c r="A262">
        <v>2017</v>
      </c>
      <c r="B262" t="s">
        <v>150</v>
      </c>
      <c r="C262" t="s">
        <v>117</v>
      </c>
      <c r="D262">
        <v>5</v>
      </c>
      <c r="E262" s="15">
        <v>266</v>
      </c>
    </row>
    <row r="263" spans="1:5" x14ac:dyDescent="0.2">
      <c r="A263">
        <v>2017</v>
      </c>
      <c r="B263" t="s">
        <v>150</v>
      </c>
      <c r="C263" t="s">
        <v>118</v>
      </c>
      <c r="D263">
        <v>6</v>
      </c>
      <c r="E263" s="15">
        <v>690</v>
      </c>
    </row>
    <row r="264" spans="1:5" x14ac:dyDescent="0.2">
      <c r="A264">
        <v>2017</v>
      </c>
      <c r="B264" t="s">
        <v>150</v>
      </c>
      <c r="C264" t="s">
        <v>119</v>
      </c>
      <c r="D264">
        <v>7</v>
      </c>
      <c r="E264" s="15">
        <v>763</v>
      </c>
    </row>
    <row r="265" spans="1:5" x14ac:dyDescent="0.2">
      <c r="A265">
        <v>2017</v>
      </c>
      <c r="B265" t="s">
        <v>150</v>
      </c>
      <c r="C265" t="s">
        <v>120</v>
      </c>
      <c r="D265">
        <v>8</v>
      </c>
      <c r="E265" s="15">
        <v>2652</v>
      </c>
    </row>
    <row r="266" spans="1:5" x14ac:dyDescent="0.2">
      <c r="A266">
        <v>2017</v>
      </c>
      <c r="B266" t="s">
        <v>150</v>
      </c>
      <c r="C266" t="s">
        <v>121</v>
      </c>
      <c r="D266">
        <v>9</v>
      </c>
      <c r="E266" s="15">
        <v>1928</v>
      </c>
    </row>
    <row r="267" spans="1:5" x14ac:dyDescent="0.2">
      <c r="A267">
        <v>2017</v>
      </c>
      <c r="B267" t="s">
        <v>150</v>
      </c>
      <c r="C267" t="s">
        <v>122</v>
      </c>
      <c r="D267">
        <v>10</v>
      </c>
      <c r="E267" s="15">
        <v>1372</v>
      </c>
    </row>
    <row r="268" spans="1:5" x14ac:dyDescent="0.2">
      <c r="A268">
        <v>2017</v>
      </c>
      <c r="B268" t="s">
        <v>150</v>
      </c>
      <c r="C268" t="s">
        <v>123</v>
      </c>
      <c r="D268">
        <v>11</v>
      </c>
      <c r="E268" s="15">
        <v>2856</v>
      </c>
    </row>
    <row r="269" spans="1:5" x14ac:dyDescent="0.2">
      <c r="A269">
        <v>2017</v>
      </c>
      <c r="B269" t="s">
        <v>151</v>
      </c>
      <c r="C269" t="s">
        <v>113</v>
      </c>
      <c r="D269">
        <v>1</v>
      </c>
      <c r="E269" s="15">
        <v>125</v>
      </c>
    </row>
    <row r="270" spans="1:5" x14ac:dyDescent="0.2">
      <c r="A270">
        <v>2017</v>
      </c>
      <c r="B270" t="s">
        <v>151</v>
      </c>
      <c r="C270" t="s">
        <v>114</v>
      </c>
      <c r="D270">
        <v>2</v>
      </c>
      <c r="E270" s="15">
        <v>1786</v>
      </c>
    </row>
    <row r="271" spans="1:5" x14ac:dyDescent="0.2">
      <c r="A271">
        <v>2017</v>
      </c>
      <c r="B271" t="s">
        <v>151</v>
      </c>
      <c r="C271" t="s">
        <v>115</v>
      </c>
      <c r="D271">
        <v>3</v>
      </c>
      <c r="E271" s="15">
        <v>1258</v>
      </c>
    </row>
    <row r="272" spans="1:5" x14ac:dyDescent="0.2">
      <c r="A272">
        <v>2017</v>
      </c>
      <c r="B272" t="s">
        <v>151</v>
      </c>
      <c r="C272" t="s">
        <v>116</v>
      </c>
      <c r="D272">
        <v>4</v>
      </c>
      <c r="E272" s="15">
        <v>562</v>
      </c>
    </row>
    <row r="273" spans="1:5" x14ac:dyDescent="0.2">
      <c r="A273">
        <v>2017</v>
      </c>
      <c r="B273" t="s">
        <v>151</v>
      </c>
      <c r="C273" t="s">
        <v>117</v>
      </c>
      <c r="D273">
        <v>5</v>
      </c>
      <c r="E273" s="15">
        <v>1396</v>
      </c>
    </row>
    <row r="274" spans="1:5" x14ac:dyDescent="0.2">
      <c r="A274">
        <v>2017</v>
      </c>
      <c r="B274" t="s">
        <v>151</v>
      </c>
      <c r="C274" t="s">
        <v>118</v>
      </c>
      <c r="D274">
        <v>6</v>
      </c>
      <c r="E274" s="15">
        <v>2398</v>
      </c>
    </row>
    <row r="275" spans="1:5" x14ac:dyDescent="0.2">
      <c r="A275">
        <v>2017</v>
      </c>
      <c r="B275" t="s">
        <v>151</v>
      </c>
      <c r="C275" t="s">
        <v>119</v>
      </c>
      <c r="D275">
        <v>7</v>
      </c>
      <c r="E275" s="15">
        <v>2015</v>
      </c>
    </row>
    <row r="276" spans="1:5" x14ac:dyDescent="0.2">
      <c r="A276">
        <v>2017</v>
      </c>
      <c r="B276" t="s">
        <v>151</v>
      </c>
      <c r="C276" t="s">
        <v>120</v>
      </c>
      <c r="D276">
        <v>8</v>
      </c>
      <c r="E276" s="15">
        <v>8192</v>
      </c>
    </row>
    <row r="277" spans="1:5" x14ac:dyDescent="0.2">
      <c r="A277">
        <v>2017</v>
      </c>
      <c r="B277" t="s">
        <v>151</v>
      </c>
      <c r="C277" t="s">
        <v>121</v>
      </c>
      <c r="D277">
        <v>9</v>
      </c>
      <c r="E277" s="15">
        <v>6228</v>
      </c>
    </row>
    <row r="278" spans="1:5" x14ac:dyDescent="0.2">
      <c r="A278">
        <v>2017</v>
      </c>
      <c r="B278" t="s">
        <v>151</v>
      </c>
      <c r="C278" t="s">
        <v>122</v>
      </c>
      <c r="D278">
        <v>10</v>
      </c>
      <c r="E278" s="15">
        <v>4960</v>
      </c>
    </row>
    <row r="279" spans="1:5" x14ac:dyDescent="0.2">
      <c r="A279">
        <v>2017</v>
      </c>
      <c r="B279" t="s">
        <v>151</v>
      </c>
      <c r="C279" t="s">
        <v>123</v>
      </c>
      <c r="D279">
        <v>11</v>
      </c>
      <c r="E279" s="15">
        <v>19964</v>
      </c>
    </row>
    <row r="280" spans="1:5" x14ac:dyDescent="0.2">
      <c r="A280">
        <v>2017</v>
      </c>
      <c r="B280" t="s">
        <v>152</v>
      </c>
      <c r="C280" t="s">
        <v>113</v>
      </c>
      <c r="D280">
        <v>1</v>
      </c>
      <c r="E280" s="15">
        <v>0</v>
      </c>
    </row>
    <row r="281" spans="1:5" x14ac:dyDescent="0.2">
      <c r="A281">
        <v>2017</v>
      </c>
      <c r="B281" t="s">
        <v>152</v>
      </c>
      <c r="C281" t="s">
        <v>114</v>
      </c>
      <c r="D281">
        <v>2</v>
      </c>
      <c r="E281" s="15">
        <v>21</v>
      </c>
    </row>
    <row r="282" spans="1:5" x14ac:dyDescent="0.2">
      <c r="A282">
        <v>2017</v>
      </c>
      <c r="B282" t="s">
        <v>152</v>
      </c>
      <c r="C282" t="s">
        <v>115</v>
      </c>
      <c r="D282">
        <v>3</v>
      </c>
      <c r="E282" s="15">
        <v>91</v>
      </c>
    </row>
    <row r="283" spans="1:5" x14ac:dyDescent="0.2">
      <c r="A283">
        <v>2017</v>
      </c>
      <c r="B283" t="s">
        <v>152</v>
      </c>
      <c r="C283" t="s">
        <v>116</v>
      </c>
      <c r="D283">
        <v>4</v>
      </c>
      <c r="E283" s="15">
        <v>93</v>
      </c>
    </row>
    <row r="284" spans="1:5" x14ac:dyDescent="0.2">
      <c r="A284">
        <v>2017</v>
      </c>
      <c r="B284" t="s">
        <v>152</v>
      </c>
      <c r="C284" t="s">
        <v>117</v>
      </c>
      <c r="D284">
        <v>5</v>
      </c>
      <c r="E284" s="15">
        <v>558</v>
      </c>
    </row>
    <row r="285" spans="1:5" x14ac:dyDescent="0.2">
      <c r="A285">
        <v>2017</v>
      </c>
      <c r="B285" t="s">
        <v>152</v>
      </c>
      <c r="C285" t="s">
        <v>118</v>
      </c>
      <c r="D285">
        <v>6</v>
      </c>
      <c r="E285" s="15">
        <v>2132</v>
      </c>
    </row>
    <row r="286" spans="1:5" x14ac:dyDescent="0.2">
      <c r="A286">
        <v>2017</v>
      </c>
      <c r="B286" t="s">
        <v>152</v>
      </c>
      <c r="C286" t="s">
        <v>119</v>
      </c>
      <c r="D286">
        <v>7</v>
      </c>
      <c r="E286" s="15">
        <v>2006</v>
      </c>
    </row>
    <row r="287" spans="1:5" x14ac:dyDescent="0.2">
      <c r="A287">
        <v>2017</v>
      </c>
      <c r="B287" t="s">
        <v>152</v>
      </c>
      <c r="C287" t="s">
        <v>120</v>
      </c>
      <c r="D287">
        <v>8</v>
      </c>
      <c r="E287" s="15">
        <v>6235</v>
      </c>
    </row>
    <row r="288" spans="1:5" x14ac:dyDescent="0.2">
      <c r="A288">
        <v>2017</v>
      </c>
      <c r="B288" t="s">
        <v>152</v>
      </c>
      <c r="C288" t="s">
        <v>121</v>
      </c>
      <c r="D288">
        <v>9</v>
      </c>
      <c r="E288" s="15">
        <v>3712</v>
      </c>
    </row>
    <row r="289" spans="1:5" x14ac:dyDescent="0.2">
      <c r="A289">
        <v>2017</v>
      </c>
      <c r="B289" t="s">
        <v>152</v>
      </c>
      <c r="C289" t="s">
        <v>122</v>
      </c>
      <c r="D289">
        <v>10</v>
      </c>
      <c r="E289" s="15">
        <v>2478</v>
      </c>
    </row>
    <row r="290" spans="1:5" x14ac:dyDescent="0.2">
      <c r="A290">
        <v>2017</v>
      </c>
      <c r="B290" t="s">
        <v>152</v>
      </c>
      <c r="C290" t="s">
        <v>123</v>
      </c>
      <c r="D290">
        <v>11</v>
      </c>
      <c r="E290" s="15">
        <v>4979</v>
      </c>
    </row>
    <row r="291" spans="1:5" x14ac:dyDescent="0.2">
      <c r="A291">
        <v>2018</v>
      </c>
      <c r="B291" t="s">
        <v>140</v>
      </c>
      <c r="C291" t="s">
        <v>113</v>
      </c>
      <c r="D291">
        <v>1</v>
      </c>
      <c r="E291" s="15">
        <v>283</v>
      </c>
    </row>
    <row r="292" spans="1:5" x14ac:dyDescent="0.2">
      <c r="A292">
        <v>2018</v>
      </c>
      <c r="B292" t="s">
        <v>140</v>
      </c>
      <c r="C292" t="s">
        <v>114</v>
      </c>
      <c r="D292">
        <v>2</v>
      </c>
      <c r="E292" s="15">
        <v>3475</v>
      </c>
    </row>
    <row r="293" spans="1:5" x14ac:dyDescent="0.2">
      <c r="A293">
        <v>2018</v>
      </c>
      <c r="B293" t="s">
        <v>140</v>
      </c>
      <c r="C293" t="s">
        <v>115</v>
      </c>
      <c r="D293">
        <v>3</v>
      </c>
      <c r="E293" s="15">
        <v>2453</v>
      </c>
    </row>
    <row r="294" spans="1:5" x14ac:dyDescent="0.2">
      <c r="A294">
        <v>2018</v>
      </c>
      <c r="B294" t="s">
        <v>140</v>
      </c>
      <c r="C294" t="s">
        <v>116</v>
      </c>
      <c r="D294">
        <v>4</v>
      </c>
      <c r="E294" s="15">
        <v>1023</v>
      </c>
    </row>
    <row r="295" spans="1:5" x14ac:dyDescent="0.2">
      <c r="A295">
        <v>2018</v>
      </c>
      <c r="B295" t="s">
        <v>140</v>
      </c>
      <c r="C295" t="s">
        <v>117</v>
      </c>
      <c r="D295">
        <v>5</v>
      </c>
      <c r="E295" s="15">
        <v>2767</v>
      </c>
    </row>
    <row r="296" spans="1:5" x14ac:dyDescent="0.2">
      <c r="A296">
        <v>2018</v>
      </c>
      <c r="B296" t="s">
        <v>140</v>
      </c>
      <c r="C296" t="s">
        <v>118</v>
      </c>
      <c r="D296">
        <v>6</v>
      </c>
      <c r="E296" s="15">
        <v>3451</v>
      </c>
    </row>
    <row r="297" spans="1:5" x14ac:dyDescent="0.2">
      <c r="A297">
        <v>2018</v>
      </c>
      <c r="B297" t="s">
        <v>140</v>
      </c>
      <c r="C297" t="s">
        <v>119</v>
      </c>
      <c r="D297">
        <v>7</v>
      </c>
      <c r="E297" s="15">
        <v>2258</v>
      </c>
    </row>
    <row r="298" spans="1:5" x14ac:dyDescent="0.2">
      <c r="A298">
        <v>2018</v>
      </c>
      <c r="B298" t="s">
        <v>140</v>
      </c>
      <c r="C298" t="s">
        <v>120</v>
      </c>
      <c r="D298">
        <v>8</v>
      </c>
      <c r="E298" s="15">
        <v>8754</v>
      </c>
    </row>
    <row r="299" spans="1:5" x14ac:dyDescent="0.2">
      <c r="A299">
        <v>2018</v>
      </c>
      <c r="B299" t="s">
        <v>140</v>
      </c>
      <c r="C299" t="s">
        <v>121</v>
      </c>
      <c r="D299">
        <v>9</v>
      </c>
      <c r="E299" s="15">
        <v>8593</v>
      </c>
    </row>
    <row r="300" spans="1:5" x14ac:dyDescent="0.2">
      <c r="A300">
        <v>2018</v>
      </c>
      <c r="B300" t="s">
        <v>140</v>
      </c>
      <c r="C300" t="s">
        <v>122</v>
      </c>
      <c r="D300">
        <v>10</v>
      </c>
      <c r="E300" s="15">
        <v>8358</v>
      </c>
    </row>
    <row r="301" spans="1:5" x14ac:dyDescent="0.2">
      <c r="A301">
        <v>2018</v>
      </c>
      <c r="B301" t="s">
        <v>140</v>
      </c>
      <c r="C301" t="s">
        <v>123</v>
      </c>
      <c r="D301">
        <v>11</v>
      </c>
      <c r="E301" s="15">
        <v>33082</v>
      </c>
    </row>
    <row r="302" spans="1:5" x14ac:dyDescent="0.2">
      <c r="A302">
        <v>2018</v>
      </c>
      <c r="B302" t="s">
        <v>141</v>
      </c>
      <c r="C302" t="s">
        <v>113</v>
      </c>
      <c r="D302">
        <v>1</v>
      </c>
      <c r="E302" s="15">
        <v>474</v>
      </c>
    </row>
    <row r="303" spans="1:5" x14ac:dyDescent="0.2">
      <c r="A303">
        <v>2018</v>
      </c>
      <c r="B303" t="s">
        <v>141</v>
      </c>
      <c r="C303" t="s">
        <v>114</v>
      </c>
      <c r="D303">
        <v>2</v>
      </c>
      <c r="E303" s="15">
        <v>5096</v>
      </c>
    </row>
    <row r="304" spans="1:5" x14ac:dyDescent="0.2">
      <c r="A304">
        <v>2018</v>
      </c>
      <c r="B304" t="s">
        <v>141</v>
      </c>
      <c r="C304" t="s">
        <v>115</v>
      </c>
      <c r="D304">
        <v>3</v>
      </c>
      <c r="E304" s="15">
        <v>3523</v>
      </c>
    </row>
    <row r="305" spans="1:5" x14ac:dyDescent="0.2">
      <c r="A305">
        <v>2018</v>
      </c>
      <c r="B305" t="s">
        <v>141</v>
      </c>
      <c r="C305" t="s">
        <v>116</v>
      </c>
      <c r="D305">
        <v>4</v>
      </c>
      <c r="E305" s="15">
        <v>1531</v>
      </c>
    </row>
    <row r="306" spans="1:5" x14ac:dyDescent="0.2">
      <c r="A306">
        <v>2018</v>
      </c>
      <c r="B306" t="s">
        <v>141</v>
      </c>
      <c r="C306" t="s">
        <v>117</v>
      </c>
      <c r="D306">
        <v>5</v>
      </c>
      <c r="E306" s="15">
        <v>4862</v>
      </c>
    </row>
    <row r="307" spans="1:5" x14ac:dyDescent="0.2">
      <c r="A307">
        <v>2018</v>
      </c>
      <c r="B307" t="s">
        <v>141</v>
      </c>
      <c r="C307" t="s">
        <v>118</v>
      </c>
      <c r="D307">
        <v>6</v>
      </c>
      <c r="E307" s="15">
        <v>8029</v>
      </c>
    </row>
    <row r="308" spans="1:5" x14ac:dyDescent="0.2">
      <c r="A308">
        <v>2018</v>
      </c>
      <c r="B308" t="s">
        <v>141</v>
      </c>
      <c r="C308" t="s">
        <v>119</v>
      </c>
      <c r="D308">
        <v>7</v>
      </c>
      <c r="E308" s="15">
        <v>5959</v>
      </c>
    </row>
    <row r="309" spans="1:5" x14ac:dyDescent="0.2">
      <c r="A309">
        <v>2018</v>
      </c>
      <c r="B309" t="s">
        <v>141</v>
      </c>
      <c r="C309" t="s">
        <v>120</v>
      </c>
      <c r="D309">
        <v>8</v>
      </c>
      <c r="E309" s="15">
        <v>20366</v>
      </c>
    </row>
    <row r="310" spans="1:5" x14ac:dyDescent="0.2">
      <c r="A310">
        <v>2018</v>
      </c>
      <c r="B310" t="s">
        <v>141</v>
      </c>
      <c r="C310" t="s">
        <v>121</v>
      </c>
      <c r="D310">
        <v>9</v>
      </c>
      <c r="E310" s="15">
        <v>17801</v>
      </c>
    </row>
    <row r="311" spans="1:5" x14ac:dyDescent="0.2">
      <c r="A311">
        <v>2018</v>
      </c>
      <c r="B311" t="s">
        <v>141</v>
      </c>
      <c r="C311" t="s">
        <v>122</v>
      </c>
      <c r="D311">
        <v>10</v>
      </c>
      <c r="E311" s="15">
        <v>16274</v>
      </c>
    </row>
    <row r="312" spans="1:5" x14ac:dyDescent="0.2">
      <c r="A312">
        <v>2018</v>
      </c>
      <c r="B312" t="s">
        <v>141</v>
      </c>
      <c r="C312" t="s">
        <v>123</v>
      </c>
      <c r="D312">
        <v>11</v>
      </c>
      <c r="E312" s="15">
        <v>54477</v>
      </c>
    </row>
    <row r="313" spans="1:5" x14ac:dyDescent="0.2">
      <c r="A313">
        <v>2018</v>
      </c>
      <c r="B313" t="s">
        <v>142</v>
      </c>
      <c r="C313" t="s">
        <v>113</v>
      </c>
      <c r="D313">
        <v>1</v>
      </c>
      <c r="E313" s="15">
        <v>88</v>
      </c>
    </row>
    <row r="314" spans="1:5" x14ac:dyDescent="0.2">
      <c r="A314">
        <v>2018</v>
      </c>
      <c r="B314" t="s">
        <v>142</v>
      </c>
      <c r="C314" t="s">
        <v>114</v>
      </c>
      <c r="D314">
        <v>2</v>
      </c>
      <c r="E314" s="15">
        <v>998</v>
      </c>
    </row>
    <row r="315" spans="1:5" x14ac:dyDescent="0.2">
      <c r="A315">
        <v>2018</v>
      </c>
      <c r="B315" t="s">
        <v>142</v>
      </c>
      <c r="C315" t="s">
        <v>115</v>
      </c>
      <c r="D315">
        <v>3</v>
      </c>
      <c r="E315" s="15">
        <v>611</v>
      </c>
    </row>
    <row r="316" spans="1:5" x14ac:dyDescent="0.2">
      <c r="A316">
        <v>2018</v>
      </c>
      <c r="B316" t="s">
        <v>142</v>
      </c>
      <c r="C316" t="s">
        <v>116</v>
      </c>
      <c r="D316">
        <v>4</v>
      </c>
      <c r="E316" s="15">
        <v>247</v>
      </c>
    </row>
    <row r="317" spans="1:5" x14ac:dyDescent="0.2">
      <c r="A317">
        <v>2018</v>
      </c>
      <c r="B317" t="s">
        <v>142</v>
      </c>
      <c r="C317" t="s">
        <v>117</v>
      </c>
      <c r="D317">
        <v>5</v>
      </c>
      <c r="E317" s="15">
        <v>570</v>
      </c>
    </row>
    <row r="318" spans="1:5" x14ac:dyDescent="0.2">
      <c r="A318">
        <v>2018</v>
      </c>
      <c r="B318" t="s">
        <v>142</v>
      </c>
      <c r="C318" t="s">
        <v>118</v>
      </c>
      <c r="D318">
        <v>6</v>
      </c>
      <c r="E318" s="15">
        <v>1234</v>
      </c>
    </row>
    <row r="319" spans="1:5" x14ac:dyDescent="0.2">
      <c r="A319">
        <v>2018</v>
      </c>
      <c r="B319" t="s">
        <v>142</v>
      </c>
      <c r="C319" t="s">
        <v>119</v>
      </c>
      <c r="D319">
        <v>7</v>
      </c>
      <c r="E319" s="15">
        <v>1131</v>
      </c>
    </row>
    <row r="320" spans="1:5" x14ac:dyDescent="0.2">
      <c r="A320">
        <v>2018</v>
      </c>
      <c r="B320" t="s">
        <v>142</v>
      </c>
      <c r="C320" t="s">
        <v>120</v>
      </c>
      <c r="D320">
        <v>8</v>
      </c>
      <c r="E320" s="15">
        <v>4288</v>
      </c>
    </row>
    <row r="321" spans="1:5" x14ac:dyDescent="0.2">
      <c r="A321">
        <v>2018</v>
      </c>
      <c r="B321" t="s">
        <v>142</v>
      </c>
      <c r="C321" t="s">
        <v>121</v>
      </c>
      <c r="D321">
        <v>9</v>
      </c>
      <c r="E321" s="15">
        <v>3552</v>
      </c>
    </row>
    <row r="322" spans="1:5" x14ac:dyDescent="0.2">
      <c r="A322">
        <v>2018</v>
      </c>
      <c r="B322" t="s">
        <v>142</v>
      </c>
      <c r="C322" t="s">
        <v>122</v>
      </c>
      <c r="D322">
        <v>10</v>
      </c>
      <c r="E322" s="15">
        <v>2944</v>
      </c>
    </row>
    <row r="323" spans="1:5" x14ac:dyDescent="0.2">
      <c r="A323">
        <v>2018</v>
      </c>
      <c r="B323" t="s">
        <v>142</v>
      </c>
      <c r="C323" t="s">
        <v>123</v>
      </c>
      <c r="D323">
        <v>11</v>
      </c>
      <c r="E323" s="15">
        <v>8735</v>
      </c>
    </row>
    <row r="324" spans="1:5" x14ac:dyDescent="0.2">
      <c r="A324">
        <v>2018</v>
      </c>
      <c r="B324" t="s">
        <v>143</v>
      </c>
      <c r="C324" t="s">
        <v>113</v>
      </c>
      <c r="D324">
        <v>1</v>
      </c>
      <c r="E324" s="15">
        <v>46</v>
      </c>
    </row>
    <row r="325" spans="1:5" x14ac:dyDescent="0.2">
      <c r="A325">
        <v>2018</v>
      </c>
      <c r="B325" t="s">
        <v>143</v>
      </c>
      <c r="C325" t="s">
        <v>114</v>
      </c>
      <c r="D325">
        <v>2</v>
      </c>
      <c r="E325" s="15">
        <v>1169</v>
      </c>
    </row>
    <row r="326" spans="1:5" x14ac:dyDescent="0.2">
      <c r="A326">
        <v>2018</v>
      </c>
      <c r="B326" t="s">
        <v>143</v>
      </c>
      <c r="C326" t="s">
        <v>115</v>
      </c>
      <c r="D326">
        <v>3</v>
      </c>
      <c r="E326" s="15">
        <v>827</v>
      </c>
    </row>
    <row r="327" spans="1:5" x14ac:dyDescent="0.2">
      <c r="A327">
        <v>2018</v>
      </c>
      <c r="B327" t="s">
        <v>143</v>
      </c>
      <c r="C327" t="s">
        <v>116</v>
      </c>
      <c r="D327">
        <v>4</v>
      </c>
      <c r="E327" s="15">
        <v>292</v>
      </c>
    </row>
    <row r="328" spans="1:5" x14ac:dyDescent="0.2">
      <c r="A328">
        <v>2018</v>
      </c>
      <c r="B328" t="s">
        <v>143</v>
      </c>
      <c r="C328" t="s">
        <v>117</v>
      </c>
      <c r="D328">
        <v>5</v>
      </c>
      <c r="E328" s="15">
        <v>779</v>
      </c>
    </row>
    <row r="329" spans="1:5" x14ac:dyDescent="0.2">
      <c r="A329">
        <v>2018</v>
      </c>
      <c r="B329" t="s">
        <v>143</v>
      </c>
      <c r="C329" t="s">
        <v>118</v>
      </c>
      <c r="D329">
        <v>6</v>
      </c>
      <c r="E329" s="15">
        <v>917</v>
      </c>
    </row>
    <row r="330" spans="1:5" x14ac:dyDescent="0.2">
      <c r="A330">
        <v>2018</v>
      </c>
      <c r="B330" t="s">
        <v>143</v>
      </c>
      <c r="C330" t="s">
        <v>119</v>
      </c>
      <c r="D330">
        <v>7</v>
      </c>
      <c r="E330" s="15">
        <v>602</v>
      </c>
    </row>
    <row r="331" spans="1:5" x14ac:dyDescent="0.2">
      <c r="A331">
        <v>2018</v>
      </c>
      <c r="B331" t="s">
        <v>143</v>
      </c>
      <c r="C331" t="s">
        <v>120</v>
      </c>
      <c r="D331">
        <v>8</v>
      </c>
      <c r="E331" s="15">
        <v>2744</v>
      </c>
    </row>
    <row r="332" spans="1:5" x14ac:dyDescent="0.2">
      <c r="A332">
        <v>2018</v>
      </c>
      <c r="B332" t="s">
        <v>143</v>
      </c>
      <c r="C332" t="s">
        <v>121</v>
      </c>
      <c r="D332">
        <v>9</v>
      </c>
      <c r="E332" s="15">
        <v>2297</v>
      </c>
    </row>
    <row r="333" spans="1:5" x14ac:dyDescent="0.2">
      <c r="A333">
        <v>2018</v>
      </c>
      <c r="B333" t="s">
        <v>143</v>
      </c>
      <c r="C333" t="s">
        <v>122</v>
      </c>
      <c r="D333">
        <v>10</v>
      </c>
      <c r="E333" s="15">
        <v>2044</v>
      </c>
    </row>
    <row r="334" spans="1:5" x14ac:dyDescent="0.2">
      <c r="A334">
        <v>2018</v>
      </c>
      <c r="B334" t="s">
        <v>143</v>
      </c>
      <c r="C334" t="s">
        <v>123</v>
      </c>
      <c r="D334">
        <v>11</v>
      </c>
      <c r="E334" s="15">
        <v>9391</v>
      </c>
    </row>
    <row r="335" spans="1:5" x14ac:dyDescent="0.2">
      <c r="A335">
        <v>2018</v>
      </c>
      <c r="B335" t="s">
        <v>144</v>
      </c>
      <c r="C335" t="s">
        <v>113</v>
      </c>
      <c r="D335">
        <v>1</v>
      </c>
      <c r="E335" s="15">
        <v>117</v>
      </c>
    </row>
    <row r="336" spans="1:5" x14ac:dyDescent="0.2">
      <c r="A336">
        <v>2018</v>
      </c>
      <c r="B336" t="s">
        <v>144</v>
      </c>
      <c r="C336" t="s">
        <v>114</v>
      </c>
      <c r="D336">
        <v>2</v>
      </c>
      <c r="E336" s="15">
        <v>2115</v>
      </c>
    </row>
    <row r="337" spans="1:5" x14ac:dyDescent="0.2">
      <c r="A337">
        <v>2018</v>
      </c>
      <c r="B337" t="s">
        <v>144</v>
      </c>
      <c r="C337" t="s">
        <v>115</v>
      </c>
      <c r="D337">
        <v>3</v>
      </c>
      <c r="E337" s="15">
        <v>1356</v>
      </c>
    </row>
    <row r="338" spans="1:5" x14ac:dyDescent="0.2">
      <c r="A338">
        <v>2018</v>
      </c>
      <c r="B338" t="s">
        <v>144</v>
      </c>
      <c r="C338" t="s">
        <v>116</v>
      </c>
      <c r="D338">
        <v>4</v>
      </c>
      <c r="E338" s="15">
        <v>583</v>
      </c>
    </row>
    <row r="339" spans="1:5" x14ac:dyDescent="0.2">
      <c r="A339">
        <v>2018</v>
      </c>
      <c r="B339" t="s">
        <v>144</v>
      </c>
      <c r="C339" t="s">
        <v>117</v>
      </c>
      <c r="D339">
        <v>5</v>
      </c>
      <c r="E339" s="15">
        <v>1459</v>
      </c>
    </row>
    <row r="340" spans="1:5" x14ac:dyDescent="0.2">
      <c r="A340">
        <v>2018</v>
      </c>
      <c r="B340" t="s">
        <v>144</v>
      </c>
      <c r="C340" t="s">
        <v>118</v>
      </c>
      <c r="D340">
        <v>6</v>
      </c>
      <c r="E340" s="15">
        <v>2042</v>
      </c>
    </row>
    <row r="341" spans="1:5" x14ac:dyDescent="0.2">
      <c r="A341">
        <v>2018</v>
      </c>
      <c r="B341" t="s">
        <v>144</v>
      </c>
      <c r="C341" t="s">
        <v>119</v>
      </c>
      <c r="D341">
        <v>7</v>
      </c>
      <c r="E341" s="15">
        <v>1655</v>
      </c>
    </row>
    <row r="342" spans="1:5" x14ac:dyDescent="0.2">
      <c r="A342">
        <v>2018</v>
      </c>
      <c r="B342" t="s">
        <v>144</v>
      </c>
      <c r="C342" t="s">
        <v>120</v>
      </c>
      <c r="D342">
        <v>8</v>
      </c>
      <c r="E342" s="15">
        <v>6368</v>
      </c>
    </row>
    <row r="343" spans="1:5" x14ac:dyDescent="0.2">
      <c r="A343">
        <v>2018</v>
      </c>
      <c r="B343" t="s">
        <v>144</v>
      </c>
      <c r="C343" t="s">
        <v>121</v>
      </c>
      <c r="D343">
        <v>9</v>
      </c>
      <c r="E343" s="15">
        <v>5864</v>
      </c>
    </row>
    <row r="344" spans="1:5" x14ac:dyDescent="0.2">
      <c r="A344">
        <v>2018</v>
      </c>
      <c r="B344" t="s">
        <v>144</v>
      </c>
      <c r="C344" t="s">
        <v>122</v>
      </c>
      <c r="D344">
        <v>10</v>
      </c>
      <c r="E344" s="15">
        <v>5382</v>
      </c>
    </row>
    <row r="345" spans="1:5" x14ac:dyDescent="0.2">
      <c r="A345">
        <v>2018</v>
      </c>
      <c r="B345" t="s">
        <v>144</v>
      </c>
      <c r="C345" t="s">
        <v>123</v>
      </c>
      <c r="D345">
        <v>11</v>
      </c>
      <c r="E345" s="15">
        <v>20673</v>
      </c>
    </row>
    <row r="346" spans="1:5" x14ac:dyDescent="0.2">
      <c r="A346">
        <v>2018</v>
      </c>
      <c r="B346" t="s">
        <v>145</v>
      </c>
      <c r="C346" t="s">
        <v>113</v>
      </c>
      <c r="D346">
        <v>1</v>
      </c>
      <c r="E346" s="15">
        <v>5</v>
      </c>
    </row>
    <row r="347" spans="1:5" x14ac:dyDescent="0.2">
      <c r="A347">
        <v>2018</v>
      </c>
      <c r="B347" t="s">
        <v>145</v>
      </c>
      <c r="C347" t="s">
        <v>114</v>
      </c>
      <c r="D347">
        <v>2</v>
      </c>
      <c r="E347" s="15">
        <v>268</v>
      </c>
    </row>
    <row r="348" spans="1:5" x14ac:dyDescent="0.2">
      <c r="A348">
        <v>2018</v>
      </c>
      <c r="B348" t="s">
        <v>145</v>
      </c>
      <c r="C348" t="s">
        <v>115</v>
      </c>
      <c r="D348">
        <v>3</v>
      </c>
      <c r="E348" s="15">
        <v>260</v>
      </c>
    </row>
    <row r="349" spans="1:5" x14ac:dyDescent="0.2">
      <c r="A349">
        <v>2018</v>
      </c>
      <c r="B349" t="s">
        <v>145</v>
      </c>
      <c r="C349" t="s">
        <v>116</v>
      </c>
      <c r="D349">
        <v>4</v>
      </c>
      <c r="E349" s="15">
        <v>101</v>
      </c>
    </row>
    <row r="350" spans="1:5" x14ac:dyDescent="0.2">
      <c r="A350">
        <v>2018</v>
      </c>
      <c r="B350" t="s">
        <v>145</v>
      </c>
      <c r="C350" t="s">
        <v>117</v>
      </c>
      <c r="D350">
        <v>5</v>
      </c>
      <c r="E350" s="15">
        <v>302</v>
      </c>
    </row>
    <row r="351" spans="1:5" x14ac:dyDescent="0.2">
      <c r="A351">
        <v>2018</v>
      </c>
      <c r="B351" t="s">
        <v>145</v>
      </c>
      <c r="C351" t="s">
        <v>118</v>
      </c>
      <c r="D351">
        <v>6</v>
      </c>
      <c r="E351" s="15">
        <v>1044</v>
      </c>
    </row>
    <row r="352" spans="1:5" x14ac:dyDescent="0.2">
      <c r="A352">
        <v>2018</v>
      </c>
      <c r="B352" t="s">
        <v>145</v>
      </c>
      <c r="C352" t="s">
        <v>119</v>
      </c>
      <c r="D352">
        <v>7</v>
      </c>
      <c r="E352" s="15">
        <v>1145</v>
      </c>
    </row>
    <row r="353" spans="1:5" x14ac:dyDescent="0.2">
      <c r="A353">
        <v>2018</v>
      </c>
      <c r="B353" t="s">
        <v>145</v>
      </c>
      <c r="C353" t="s">
        <v>120</v>
      </c>
      <c r="D353">
        <v>8</v>
      </c>
      <c r="E353" s="15">
        <v>3776</v>
      </c>
    </row>
    <row r="354" spans="1:5" x14ac:dyDescent="0.2">
      <c r="A354">
        <v>2018</v>
      </c>
      <c r="B354" t="s">
        <v>145</v>
      </c>
      <c r="C354" t="s">
        <v>121</v>
      </c>
      <c r="D354">
        <v>9</v>
      </c>
      <c r="E354" s="15">
        <v>2837</v>
      </c>
    </row>
    <row r="355" spans="1:5" x14ac:dyDescent="0.2">
      <c r="A355">
        <v>2018</v>
      </c>
      <c r="B355" t="s">
        <v>145</v>
      </c>
      <c r="C355" t="s">
        <v>122</v>
      </c>
      <c r="D355">
        <v>10</v>
      </c>
      <c r="E355" s="15">
        <v>2193</v>
      </c>
    </row>
    <row r="356" spans="1:5" x14ac:dyDescent="0.2">
      <c r="A356">
        <v>2018</v>
      </c>
      <c r="B356" t="s">
        <v>145</v>
      </c>
      <c r="C356" t="s">
        <v>123</v>
      </c>
      <c r="D356">
        <v>11</v>
      </c>
      <c r="E356" s="15">
        <v>4655</v>
      </c>
    </row>
    <row r="357" spans="1:5" x14ac:dyDescent="0.2">
      <c r="A357">
        <v>2018</v>
      </c>
      <c r="B357" t="s">
        <v>146</v>
      </c>
      <c r="C357" t="s">
        <v>113</v>
      </c>
      <c r="D357">
        <v>1</v>
      </c>
      <c r="E357" s="15">
        <v>150</v>
      </c>
    </row>
    <row r="358" spans="1:5" x14ac:dyDescent="0.2">
      <c r="A358">
        <v>2018</v>
      </c>
      <c r="B358" t="s">
        <v>146</v>
      </c>
      <c r="C358" t="s">
        <v>114</v>
      </c>
      <c r="D358">
        <v>2</v>
      </c>
      <c r="E358" s="15">
        <v>2049</v>
      </c>
    </row>
    <row r="359" spans="1:5" x14ac:dyDescent="0.2">
      <c r="A359">
        <v>2018</v>
      </c>
      <c r="B359" t="s">
        <v>146</v>
      </c>
      <c r="C359" t="s">
        <v>115</v>
      </c>
      <c r="D359">
        <v>3</v>
      </c>
      <c r="E359" s="15">
        <v>1568</v>
      </c>
    </row>
    <row r="360" spans="1:5" x14ac:dyDescent="0.2">
      <c r="A360">
        <v>2018</v>
      </c>
      <c r="B360" t="s">
        <v>146</v>
      </c>
      <c r="C360" t="s">
        <v>116</v>
      </c>
      <c r="D360">
        <v>4</v>
      </c>
      <c r="E360" s="15">
        <v>701</v>
      </c>
    </row>
    <row r="361" spans="1:5" x14ac:dyDescent="0.2">
      <c r="A361">
        <v>2018</v>
      </c>
      <c r="B361" t="s">
        <v>146</v>
      </c>
      <c r="C361" t="s">
        <v>117</v>
      </c>
      <c r="D361">
        <v>5</v>
      </c>
      <c r="E361" s="15">
        <v>2108</v>
      </c>
    </row>
    <row r="362" spans="1:5" x14ac:dyDescent="0.2">
      <c r="A362">
        <v>2018</v>
      </c>
      <c r="B362" t="s">
        <v>146</v>
      </c>
      <c r="C362" t="s">
        <v>118</v>
      </c>
      <c r="D362">
        <v>6</v>
      </c>
      <c r="E362" s="15">
        <v>3911</v>
      </c>
    </row>
    <row r="363" spans="1:5" x14ac:dyDescent="0.2">
      <c r="A363">
        <v>2018</v>
      </c>
      <c r="B363" t="s">
        <v>146</v>
      </c>
      <c r="C363" t="s">
        <v>119</v>
      </c>
      <c r="D363">
        <v>7</v>
      </c>
      <c r="E363" s="15">
        <v>3007</v>
      </c>
    </row>
    <row r="364" spans="1:5" x14ac:dyDescent="0.2">
      <c r="A364">
        <v>2018</v>
      </c>
      <c r="B364" t="s">
        <v>146</v>
      </c>
      <c r="C364" t="s">
        <v>120</v>
      </c>
      <c r="D364">
        <v>8</v>
      </c>
      <c r="E364" s="15">
        <v>10785</v>
      </c>
    </row>
    <row r="365" spans="1:5" x14ac:dyDescent="0.2">
      <c r="A365">
        <v>2018</v>
      </c>
      <c r="B365" t="s">
        <v>146</v>
      </c>
      <c r="C365" t="s">
        <v>121</v>
      </c>
      <c r="D365">
        <v>9</v>
      </c>
      <c r="E365" s="15">
        <v>9047</v>
      </c>
    </row>
    <row r="366" spans="1:5" x14ac:dyDescent="0.2">
      <c r="A366">
        <v>2018</v>
      </c>
      <c r="B366" t="s">
        <v>146</v>
      </c>
      <c r="C366" t="s">
        <v>122</v>
      </c>
      <c r="D366">
        <v>10</v>
      </c>
      <c r="E366" s="15">
        <v>7882</v>
      </c>
    </row>
    <row r="367" spans="1:5" x14ac:dyDescent="0.2">
      <c r="A367">
        <v>2018</v>
      </c>
      <c r="B367" t="s">
        <v>146</v>
      </c>
      <c r="C367" t="s">
        <v>123</v>
      </c>
      <c r="D367">
        <v>11</v>
      </c>
      <c r="E367" s="15">
        <v>30981</v>
      </c>
    </row>
    <row r="368" spans="1:5" x14ac:dyDescent="0.2">
      <c r="A368">
        <v>2018</v>
      </c>
      <c r="B368" t="s">
        <v>147</v>
      </c>
      <c r="C368" t="s">
        <v>113</v>
      </c>
      <c r="D368">
        <v>1</v>
      </c>
      <c r="E368" s="15">
        <v>396</v>
      </c>
    </row>
    <row r="369" spans="1:5" x14ac:dyDescent="0.2">
      <c r="A369">
        <v>2018</v>
      </c>
      <c r="B369" t="s">
        <v>147</v>
      </c>
      <c r="C369" t="s">
        <v>114</v>
      </c>
      <c r="D369">
        <v>2</v>
      </c>
      <c r="E369" s="15">
        <v>4437</v>
      </c>
    </row>
    <row r="370" spans="1:5" x14ac:dyDescent="0.2">
      <c r="A370">
        <v>2018</v>
      </c>
      <c r="B370" t="s">
        <v>147</v>
      </c>
      <c r="C370" t="s">
        <v>115</v>
      </c>
      <c r="D370">
        <v>3</v>
      </c>
      <c r="E370" s="15">
        <v>3513</v>
      </c>
    </row>
    <row r="371" spans="1:5" x14ac:dyDescent="0.2">
      <c r="A371">
        <v>2018</v>
      </c>
      <c r="B371" t="s">
        <v>147</v>
      </c>
      <c r="C371" t="s">
        <v>116</v>
      </c>
      <c r="D371">
        <v>4</v>
      </c>
      <c r="E371" s="15">
        <v>1469</v>
      </c>
    </row>
    <row r="372" spans="1:5" x14ac:dyDescent="0.2">
      <c r="A372">
        <v>2018</v>
      </c>
      <c r="B372" t="s">
        <v>147</v>
      </c>
      <c r="C372" t="s">
        <v>117</v>
      </c>
      <c r="D372">
        <v>5</v>
      </c>
      <c r="E372" s="15">
        <v>4328</v>
      </c>
    </row>
    <row r="373" spans="1:5" x14ac:dyDescent="0.2">
      <c r="A373">
        <v>2018</v>
      </c>
      <c r="B373" t="s">
        <v>147</v>
      </c>
      <c r="C373" t="s">
        <v>118</v>
      </c>
      <c r="D373">
        <v>6</v>
      </c>
      <c r="E373" s="15">
        <v>6748</v>
      </c>
    </row>
    <row r="374" spans="1:5" x14ac:dyDescent="0.2">
      <c r="A374">
        <v>2018</v>
      </c>
      <c r="B374" t="s">
        <v>147</v>
      </c>
      <c r="C374" t="s">
        <v>119</v>
      </c>
      <c r="D374">
        <v>7</v>
      </c>
      <c r="E374" s="15">
        <v>4511</v>
      </c>
    </row>
    <row r="375" spans="1:5" x14ac:dyDescent="0.2">
      <c r="A375">
        <v>2018</v>
      </c>
      <c r="B375" t="s">
        <v>147</v>
      </c>
      <c r="C375" t="s">
        <v>120</v>
      </c>
      <c r="D375">
        <v>8</v>
      </c>
      <c r="E375" s="15">
        <v>17408</v>
      </c>
    </row>
    <row r="376" spans="1:5" x14ac:dyDescent="0.2">
      <c r="A376">
        <v>2018</v>
      </c>
      <c r="B376" t="s">
        <v>147</v>
      </c>
      <c r="C376" t="s">
        <v>121</v>
      </c>
      <c r="D376">
        <v>9</v>
      </c>
      <c r="E376" s="15">
        <v>16712</v>
      </c>
    </row>
    <row r="377" spans="1:5" x14ac:dyDescent="0.2">
      <c r="A377">
        <v>2018</v>
      </c>
      <c r="B377" t="s">
        <v>147</v>
      </c>
      <c r="C377" t="s">
        <v>122</v>
      </c>
      <c r="D377">
        <v>10</v>
      </c>
      <c r="E377" s="15">
        <v>14957</v>
      </c>
    </row>
    <row r="378" spans="1:5" x14ac:dyDescent="0.2">
      <c r="A378">
        <v>2018</v>
      </c>
      <c r="B378" t="s">
        <v>147</v>
      </c>
      <c r="C378" t="s">
        <v>123</v>
      </c>
      <c r="D378">
        <v>11</v>
      </c>
      <c r="E378" s="15">
        <v>59383</v>
      </c>
    </row>
    <row r="379" spans="1:5" x14ac:dyDescent="0.2">
      <c r="A379">
        <v>2018</v>
      </c>
      <c r="B379" t="s">
        <v>148</v>
      </c>
      <c r="C379" t="s">
        <v>113</v>
      </c>
      <c r="D379">
        <v>1</v>
      </c>
      <c r="E379" s="15">
        <v>116</v>
      </c>
    </row>
    <row r="380" spans="1:5" x14ac:dyDescent="0.2">
      <c r="A380">
        <v>2018</v>
      </c>
      <c r="B380" t="s">
        <v>148</v>
      </c>
      <c r="C380" t="s">
        <v>114</v>
      </c>
      <c r="D380">
        <v>2</v>
      </c>
      <c r="E380" s="15">
        <v>1006</v>
      </c>
    </row>
    <row r="381" spans="1:5" x14ac:dyDescent="0.2">
      <c r="A381">
        <v>2018</v>
      </c>
      <c r="B381" t="s">
        <v>148</v>
      </c>
      <c r="C381" t="s">
        <v>115</v>
      </c>
      <c r="D381">
        <v>3</v>
      </c>
      <c r="E381" s="15">
        <v>744</v>
      </c>
    </row>
    <row r="382" spans="1:5" x14ac:dyDescent="0.2">
      <c r="A382">
        <v>2018</v>
      </c>
      <c r="B382" t="s">
        <v>148</v>
      </c>
      <c r="C382" t="s">
        <v>116</v>
      </c>
      <c r="D382">
        <v>4</v>
      </c>
      <c r="E382" s="15">
        <v>306</v>
      </c>
    </row>
    <row r="383" spans="1:5" x14ac:dyDescent="0.2">
      <c r="A383">
        <v>2018</v>
      </c>
      <c r="B383" t="s">
        <v>148</v>
      </c>
      <c r="C383" t="s">
        <v>117</v>
      </c>
      <c r="D383">
        <v>5</v>
      </c>
      <c r="E383" s="15">
        <v>836</v>
      </c>
    </row>
    <row r="384" spans="1:5" x14ac:dyDescent="0.2">
      <c r="A384">
        <v>2018</v>
      </c>
      <c r="B384" t="s">
        <v>148</v>
      </c>
      <c r="C384" t="s">
        <v>118</v>
      </c>
      <c r="D384">
        <v>6</v>
      </c>
      <c r="E384" s="15">
        <v>1236</v>
      </c>
    </row>
    <row r="385" spans="1:5" x14ac:dyDescent="0.2">
      <c r="A385">
        <v>2018</v>
      </c>
      <c r="B385" t="s">
        <v>148</v>
      </c>
      <c r="C385" t="s">
        <v>119</v>
      </c>
      <c r="D385">
        <v>7</v>
      </c>
      <c r="E385" s="15">
        <v>943</v>
      </c>
    </row>
    <row r="386" spans="1:5" x14ac:dyDescent="0.2">
      <c r="A386">
        <v>2018</v>
      </c>
      <c r="B386" t="s">
        <v>148</v>
      </c>
      <c r="C386" t="s">
        <v>120</v>
      </c>
      <c r="D386">
        <v>8</v>
      </c>
      <c r="E386" s="15">
        <v>3757</v>
      </c>
    </row>
    <row r="387" spans="1:5" x14ac:dyDescent="0.2">
      <c r="A387">
        <v>2018</v>
      </c>
      <c r="B387" t="s">
        <v>148</v>
      </c>
      <c r="C387" t="s">
        <v>121</v>
      </c>
      <c r="D387">
        <v>9</v>
      </c>
      <c r="E387" s="15">
        <v>3620</v>
      </c>
    </row>
    <row r="388" spans="1:5" x14ac:dyDescent="0.2">
      <c r="A388">
        <v>2018</v>
      </c>
      <c r="B388" t="s">
        <v>148</v>
      </c>
      <c r="C388" t="s">
        <v>122</v>
      </c>
      <c r="D388">
        <v>10</v>
      </c>
      <c r="E388" s="15">
        <v>3492</v>
      </c>
    </row>
    <row r="389" spans="1:5" x14ac:dyDescent="0.2">
      <c r="A389">
        <v>2018</v>
      </c>
      <c r="B389" t="s">
        <v>148</v>
      </c>
      <c r="C389" t="s">
        <v>123</v>
      </c>
      <c r="D389">
        <v>11</v>
      </c>
      <c r="E389" s="15">
        <v>12312</v>
      </c>
    </row>
    <row r="390" spans="1:5" x14ac:dyDescent="0.2">
      <c r="A390">
        <v>2018</v>
      </c>
      <c r="B390" t="s">
        <v>149</v>
      </c>
      <c r="C390" t="s">
        <v>113</v>
      </c>
      <c r="D390">
        <v>1</v>
      </c>
      <c r="E390" s="15">
        <v>8</v>
      </c>
    </row>
    <row r="391" spans="1:5" x14ac:dyDescent="0.2">
      <c r="A391">
        <v>2018</v>
      </c>
      <c r="B391" t="s">
        <v>149</v>
      </c>
      <c r="C391" t="s">
        <v>114</v>
      </c>
      <c r="D391">
        <v>2</v>
      </c>
      <c r="E391" s="15">
        <v>120</v>
      </c>
    </row>
    <row r="392" spans="1:5" x14ac:dyDescent="0.2">
      <c r="A392">
        <v>2018</v>
      </c>
      <c r="B392" t="s">
        <v>149</v>
      </c>
      <c r="C392" t="s">
        <v>115</v>
      </c>
      <c r="D392">
        <v>3</v>
      </c>
      <c r="E392" s="15">
        <v>65</v>
      </c>
    </row>
    <row r="393" spans="1:5" x14ac:dyDescent="0.2">
      <c r="A393">
        <v>2018</v>
      </c>
      <c r="B393" t="s">
        <v>149</v>
      </c>
      <c r="C393" t="s">
        <v>116</v>
      </c>
      <c r="D393">
        <v>4</v>
      </c>
      <c r="E393" s="15">
        <v>46</v>
      </c>
    </row>
    <row r="394" spans="1:5" x14ac:dyDescent="0.2">
      <c r="A394">
        <v>2018</v>
      </c>
      <c r="B394" t="s">
        <v>149</v>
      </c>
      <c r="C394" t="s">
        <v>117</v>
      </c>
      <c r="D394">
        <v>5</v>
      </c>
      <c r="E394" s="15">
        <v>110</v>
      </c>
    </row>
    <row r="395" spans="1:5" x14ac:dyDescent="0.2">
      <c r="A395">
        <v>2018</v>
      </c>
      <c r="B395" t="s">
        <v>149</v>
      </c>
      <c r="C395" t="s">
        <v>118</v>
      </c>
      <c r="D395">
        <v>6</v>
      </c>
      <c r="E395" s="15">
        <v>128</v>
      </c>
    </row>
    <row r="396" spans="1:5" x14ac:dyDescent="0.2">
      <c r="A396">
        <v>2018</v>
      </c>
      <c r="B396" t="s">
        <v>149</v>
      </c>
      <c r="C396" t="s">
        <v>119</v>
      </c>
      <c r="D396">
        <v>7</v>
      </c>
      <c r="E396" s="15">
        <v>82</v>
      </c>
    </row>
    <row r="397" spans="1:5" x14ac:dyDescent="0.2">
      <c r="A397">
        <v>2018</v>
      </c>
      <c r="B397" t="s">
        <v>149</v>
      </c>
      <c r="C397" t="s">
        <v>120</v>
      </c>
      <c r="D397">
        <v>8</v>
      </c>
      <c r="E397" s="15">
        <v>357</v>
      </c>
    </row>
    <row r="398" spans="1:5" x14ac:dyDescent="0.2">
      <c r="A398">
        <v>2018</v>
      </c>
      <c r="B398" t="s">
        <v>149</v>
      </c>
      <c r="C398" t="s">
        <v>121</v>
      </c>
      <c r="D398">
        <v>9</v>
      </c>
      <c r="E398" s="15">
        <v>310</v>
      </c>
    </row>
    <row r="399" spans="1:5" x14ac:dyDescent="0.2">
      <c r="A399">
        <v>2018</v>
      </c>
      <c r="B399" t="s">
        <v>149</v>
      </c>
      <c r="C399" t="s">
        <v>122</v>
      </c>
      <c r="D399">
        <v>10</v>
      </c>
      <c r="E399" s="15">
        <v>245</v>
      </c>
    </row>
    <row r="400" spans="1:5" x14ac:dyDescent="0.2">
      <c r="A400">
        <v>2018</v>
      </c>
      <c r="B400" t="s">
        <v>149</v>
      </c>
      <c r="C400" t="s">
        <v>123</v>
      </c>
      <c r="D400">
        <v>11</v>
      </c>
      <c r="E400" s="15">
        <v>391</v>
      </c>
    </row>
    <row r="401" spans="1:5" x14ac:dyDescent="0.2">
      <c r="A401">
        <v>2018</v>
      </c>
      <c r="B401" t="s">
        <v>150</v>
      </c>
      <c r="C401" t="s">
        <v>113</v>
      </c>
      <c r="D401">
        <v>1</v>
      </c>
      <c r="E401" s="15">
        <v>29</v>
      </c>
    </row>
    <row r="402" spans="1:5" x14ac:dyDescent="0.2">
      <c r="A402">
        <v>2018</v>
      </c>
      <c r="B402" t="s">
        <v>150</v>
      </c>
      <c r="C402" t="s">
        <v>114</v>
      </c>
      <c r="D402">
        <v>2</v>
      </c>
      <c r="E402" s="15">
        <v>519</v>
      </c>
    </row>
    <row r="403" spans="1:5" x14ac:dyDescent="0.2">
      <c r="A403">
        <v>2018</v>
      </c>
      <c r="B403" t="s">
        <v>150</v>
      </c>
      <c r="C403" t="s">
        <v>115</v>
      </c>
      <c r="D403">
        <v>3</v>
      </c>
      <c r="E403" s="15">
        <v>333</v>
      </c>
    </row>
    <row r="404" spans="1:5" x14ac:dyDescent="0.2">
      <c r="A404">
        <v>2018</v>
      </c>
      <c r="B404" t="s">
        <v>150</v>
      </c>
      <c r="C404" t="s">
        <v>116</v>
      </c>
      <c r="D404">
        <v>4</v>
      </c>
      <c r="E404" s="15">
        <v>153</v>
      </c>
    </row>
    <row r="405" spans="1:5" x14ac:dyDescent="0.2">
      <c r="A405">
        <v>2018</v>
      </c>
      <c r="B405" t="s">
        <v>150</v>
      </c>
      <c r="C405" t="s">
        <v>117</v>
      </c>
      <c r="D405">
        <v>5</v>
      </c>
      <c r="E405" s="15">
        <v>309</v>
      </c>
    </row>
    <row r="406" spans="1:5" x14ac:dyDescent="0.2">
      <c r="A406">
        <v>2018</v>
      </c>
      <c r="B406" t="s">
        <v>150</v>
      </c>
      <c r="C406" t="s">
        <v>118</v>
      </c>
      <c r="D406">
        <v>6</v>
      </c>
      <c r="E406" s="15">
        <v>696</v>
      </c>
    </row>
    <row r="407" spans="1:5" x14ac:dyDescent="0.2">
      <c r="A407">
        <v>2018</v>
      </c>
      <c r="B407" t="s">
        <v>150</v>
      </c>
      <c r="C407" t="s">
        <v>119</v>
      </c>
      <c r="D407">
        <v>7</v>
      </c>
      <c r="E407" s="15">
        <v>780</v>
      </c>
    </row>
    <row r="408" spans="1:5" x14ac:dyDescent="0.2">
      <c r="A408">
        <v>2018</v>
      </c>
      <c r="B408" t="s">
        <v>150</v>
      </c>
      <c r="C408" t="s">
        <v>120</v>
      </c>
      <c r="D408">
        <v>8</v>
      </c>
      <c r="E408" s="15">
        <v>2623</v>
      </c>
    </row>
    <row r="409" spans="1:5" x14ac:dyDescent="0.2">
      <c r="A409">
        <v>2018</v>
      </c>
      <c r="B409" t="s">
        <v>150</v>
      </c>
      <c r="C409" t="s">
        <v>121</v>
      </c>
      <c r="D409">
        <v>9</v>
      </c>
      <c r="E409" s="15">
        <v>2040</v>
      </c>
    </row>
    <row r="410" spans="1:5" x14ac:dyDescent="0.2">
      <c r="A410">
        <v>2018</v>
      </c>
      <c r="B410" t="s">
        <v>150</v>
      </c>
      <c r="C410" t="s">
        <v>122</v>
      </c>
      <c r="D410">
        <v>10</v>
      </c>
      <c r="E410" s="15">
        <v>1601</v>
      </c>
    </row>
    <row r="411" spans="1:5" x14ac:dyDescent="0.2">
      <c r="A411">
        <v>2018</v>
      </c>
      <c r="B411" t="s">
        <v>150</v>
      </c>
      <c r="C411" t="s">
        <v>123</v>
      </c>
      <c r="D411">
        <v>11</v>
      </c>
      <c r="E411" s="15">
        <v>3358</v>
      </c>
    </row>
    <row r="412" spans="1:5" x14ac:dyDescent="0.2">
      <c r="A412">
        <v>2018</v>
      </c>
      <c r="B412" t="s">
        <v>151</v>
      </c>
      <c r="C412" t="s">
        <v>113</v>
      </c>
      <c r="D412">
        <v>1</v>
      </c>
      <c r="E412" s="15">
        <v>110</v>
      </c>
    </row>
    <row r="413" spans="1:5" x14ac:dyDescent="0.2">
      <c r="A413">
        <v>2018</v>
      </c>
      <c r="B413" t="s">
        <v>151</v>
      </c>
      <c r="C413" t="s">
        <v>114</v>
      </c>
      <c r="D413">
        <v>2</v>
      </c>
      <c r="E413" s="15">
        <v>1750</v>
      </c>
    </row>
    <row r="414" spans="1:5" x14ac:dyDescent="0.2">
      <c r="A414">
        <v>2018</v>
      </c>
      <c r="B414" t="s">
        <v>151</v>
      </c>
      <c r="C414" t="s">
        <v>115</v>
      </c>
      <c r="D414">
        <v>3</v>
      </c>
      <c r="E414" s="15">
        <v>1219</v>
      </c>
    </row>
    <row r="415" spans="1:5" x14ac:dyDescent="0.2">
      <c r="A415">
        <v>2018</v>
      </c>
      <c r="B415" t="s">
        <v>151</v>
      </c>
      <c r="C415" t="s">
        <v>116</v>
      </c>
      <c r="D415">
        <v>4</v>
      </c>
      <c r="E415" s="15">
        <v>550</v>
      </c>
    </row>
    <row r="416" spans="1:5" x14ac:dyDescent="0.2">
      <c r="A416">
        <v>2018</v>
      </c>
      <c r="B416" t="s">
        <v>151</v>
      </c>
      <c r="C416" t="s">
        <v>117</v>
      </c>
      <c r="D416">
        <v>5</v>
      </c>
      <c r="E416" s="15">
        <v>1415</v>
      </c>
    </row>
    <row r="417" spans="1:5" x14ac:dyDescent="0.2">
      <c r="A417">
        <v>2018</v>
      </c>
      <c r="B417" t="s">
        <v>151</v>
      </c>
      <c r="C417" t="s">
        <v>118</v>
      </c>
      <c r="D417">
        <v>6</v>
      </c>
      <c r="E417" s="15">
        <v>2328</v>
      </c>
    </row>
    <row r="418" spans="1:5" x14ac:dyDescent="0.2">
      <c r="A418">
        <v>2018</v>
      </c>
      <c r="B418" t="s">
        <v>151</v>
      </c>
      <c r="C418" t="s">
        <v>119</v>
      </c>
      <c r="D418">
        <v>7</v>
      </c>
      <c r="E418" s="15">
        <v>1875</v>
      </c>
    </row>
    <row r="419" spans="1:5" x14ac:dyDescent="0.2">
      <c r="A419">
        <v>2018</v>
      </c>
      <c r="B419" t="s">
        <v>151</v>
      </c>
      <c r="C419" t="s">
        <v>120</v>
      </c>
      <c r="D419">
        <v>8</v>
      </c>
      <c r="E419" s="15">
        <v>7476</v>
      </c>
    </row>
    <row r="420" spans="1:5" x14ac:dyDescent="0.2">
      <c r="A420">
        <v>2018</v>
      </c>
      <c r="B420" t="s">
        <v>151</v>
      </c>
      <c r="C420" t="s">
        <v>121</v>
      </c>
      <c r="D420">
        <v>9</v>
      </c>
      <c r="E420" s="15">
        <v>6547</v>
      </c>
    </row>
    <row r="421" spans="1:5" x14ac:dyDescent="0.2">
      <c r="A421">
        <v>2018</v>
      </c>
      <c r="B421" t="s">
        <v>151</v>
      </c>
      <c r="C421" t="s">
        <v>122</v>
      </c>
      <c r="D421">
        <v>10</v>
      </c>
      <c r="E421" s="15">
        <v>5284</v>
      </c>
    </row>
    <row r="422" spans="1:5" x14ac:dyDescent="0.2">
      <c r="A422">
        <v>2018</v>
      </c>
      <c r="B422" t="s">
        <v>151</v>
      </c>
      <c r="C422" t="s">
        <v>123</v>
      </c>
      <c r="D422">
        <v>11</v>
      </c>
      <c r="E422" s="15">
        <v>20548</v>
      </c>
    </row>
    <row r="423" spans="1:5" x14ac:dyDescent="0.2">
      <c r="A423">
        <v>2018</v>
      </c>
      <c r="B423" t="s">
        <v>152</v>
      </c>
      <c r="C423" t="s">
        <v>113</v>
      </c>
      <c r="D423">
        <v>1</v>
      </c>
      <c r="E423" s="15">
        <v>1</v>
      </c>
    </row>
    <row r="424" spans="1:5" x14ac:dyDescent="0.2">
      <c r="A424">
        <v>2018</v>
      </c>
      <c r="B424" t="s">
        <v>152</v>
      </c>
      <c r="C424" t="s">
        <v>114</v>
      </c>
      <c r="D424">
        <v>2</v>
      </c>
      <c r="E424" s="15">
        <v>18</v>
      </c>
    </row>
    <row r="425" spans="1:5" x14ac:dyDescent="0.2">
      <c r="A425">
        <v>2018</v>
      </c>
      <c r="B425" t="s">
        <v>152</v>
      </c>
      <c r="C425" t="s">
        <v>115</v>
      </c>
      <c r="D425">
        <v>3</v>
      </c>
      <c r="E425" s="15">
        <v>90</v>
      </c>
    </row>
    <row r="426" spans="1:5" x14ac:dyDescent="0.2">
      <c r="A426">
        <v>2018</v>
      </c>
      <c r="B426" t="s">
        <v>152</v>
      </c>
      <c r="C426" t="s">
        <v>116</v>
      </c>
      <c r="D426">
        <v>4</v>
      </c>
      <c r="E426" s="15">
        <v>98</v>
      </c>
    </row>
    <row r="427" spans="1:5" x14ac:dyDescent="0.2">
      <c r="A427">
        <v>2018</v>
      </c>
      <c r="B427" t="s">
        <v>152</v>
      </c>
      <c r="C427" t="s">
        <v>117</v>
      </c>
      <c r="D427">
        <v>5</v>
      </c>
      <c r="E427" s="15">
        <v>527</v>
      </c>
    </row>
    <row r="428" spans="1:5" x14ac:dyDescent="0.2">
      <c r="A428">
        <v>2018</v>
      </c>
      <c r="B428" t="s">
        <v>152</v>
      </c>
      <c r="C428" t="s">
        <v>118</v>
      </c>
      <c r="D428">
        <v>6</v>
      </c>
      <c r="E428" s="15">
        <v>1992</v>
      </c>
    </row>
    <row r="429" spans="1:5" x14ac:dyDescent="0.2">
      <c r="A429">
        <v>2018</v>
      </c>
      <c r="B429" t="s">
        <v>152</v>
      </c>
      <c r="C429" t="s">
        <v>119</v>
      </c>
      <c r="D429">
        <v>7</v>
      </c>
      <c r="E429" s="15">
        <v>1847</v>
      </c>
    </row>
    <row r="430" spans="1:5" x14ac:dyDescent="0.2">
      <c r="A430">
        <v>2018</v>
      </c>
      <c r="B430" t="s">
        <v>152</v>
      </c>
      <c r="C430" t="s">
        <v>120</v>
      </c>
      <c r="D430">
        <v>8</v>
      </c>
      <c r="E430" s="15">
        <v>5748</v>
      </c>
    </row>
    <row r="431" spans="1:5" x14ac:dyDescent="0.2">
      <c r="A431">
        <v>2018</v>
      </c>
      <c r="B431" t="s">
        <v>152</v>
      </c>
      <c r="C431" t="s">
        <v>121</v>
      </c>
      <c r="D431">
        <v>9</v>
      </c>
      <c r="E431" s="15">
        <v>3747</v>
      </c>
    </row>
    <row r="432" spans="1:5" x14ac:dyDescent="0.2">
      <c r="A432">
        <v>2018</v>
      </c>
      <c r="B432" t="s">
        <v>152</v>
      </c>
      <c r="C432" t="s">
        <v>122</v>
      </c>
      <c r="D432">
        <v>10</v>
      </c>
      <c r="E432" s="15">
        <v>2630</v>
      </c>
    </row>
    <row r="433" spans="1:5" x14ac:dyDescent="0.2">
      <c r="A433">
        <v>2018</v>
      </c>
      <c r="B433" t="s">
        <v>152</v>
      </c>
      <c r="C433" t="s">
        <v>123</v>
      </c>
      <c r="D433">
        <v>11</v>
      </c>
      <c r="E433" s="15">
        <v>5123</v>
      </c>
    </row>
    <row r="434" spans="1:5" x14ac:dyDescent="0.2">
      <c r="A434">
        <v>2019</v>
      </c>
      <c r="B434" t="s">
        <v>140</v>
      </c>
      <c r="C434" t="s">
        <v>113</v>
      </c>
      <c r="D434">
        <v>1</v>
      </c>
      <c r="E434" s="15">
        <v>253</v>
      </c>
    </row>
    <row r="435" spans="1:5" x14ac:dyDescent="0.2">
      <c r="A435">
        <v>2019</v>
      </c>
      <c r="B435" t="s">
        <v>140</v>
      </c>
      <c r="C435" t="s">
        <v>114</v>
      </c>
      <c r="D435">
        <v>2</v>
      </c>
      <c r="E435" s="15">
        <v>3334</v>
      </c>
    </row>
    <row r="436" spans="1:5" x14ac:dyDescent="0.2">
      <c r="A436">
        <v>2019</v>
      </c>
      <c r="B436" t="s">
        <v>140</v>
      </c>
      <c r="C436" t="s">
        <v>115</v>
      </c>
      <c r="D436">
        <v>3</v>
      </c>
      <c r="E436" s="15">
        <v>2415</v>
      </c>
    </row>
    <row r="437" spans="1:5" x14ac:dyDescent="0.2">
      <c r="A437">
        <v>2019</v>
      </c>
      <c r="B437" t="s">
        <v>140</v>
      </c>
      <c r="C437" t="s">
        <v>116</v>
      </c>
      <c r="D437">
        <v>4</v>
      </c>
      <c r="E437" s="15">
        <v>1017</v>
      </c>
    </row>
    <row r="438" spans="1:5" x14ac:dyDescent="0.2">
      <c r="A438">
        <v>2019</v>
      </c>
      <c r="B438" t="s">
        <v>140</v>
      </c>
      <c r="C438" t="s">
        <v>117</v>
      </c>
      <c r="D438">
        <v>5</v>
      </c>
      <c r="E438" s="15">
        <v>2806</v>
      </c>
    </row>
    <row r="439" spans="1:5" x14ac:dyDescent="0.2">
      <c r="A439">
        <v>2019</v>
      </c>
      <c r="B439" t="s">
        <v>140</v>
      </c>
      <c r="C439" t="s">
        <v>118</v>
      </c>
      <c r="D439">
        <v>6</v>
      </c>
      <c r="E439" s="15">
        <v>3472</v>
      </c>
    </row>
    <row r="440" spans="1:5" x14ac:dyDescent="0.2">
      <c r="A440">
        <v>2019</v>
      </c>
      <c r="B440" t="s">
        <v>140</v>
      </c>
      <c r="C440" t="s">
        <v>119</v>
      </c>
      <c r="D440">
        <v>7</v>
      </c>
      <c r="E440" s="15">
        <v>2332</v>
      </c>
    </row>
    <row r="441" spans="1:5" x14ac:dyDescent="0.2">
      <c r="A441">
        <v>2019</v>
      </c>
      <c r="B441" t="s">
        <v>140</v>
      </c>
      <c r="C441" t="s">
        <v>120</v>
      </c>
      <c r="D441">
        <v>8</v>
      </c>
      <c r="E441" s="15">
        <v>8060</v>
      </c>
    </row>
    <row r="442" spans="1:5" x14ac:dyDescent="0.2">
      <c r="A442">
        <v>2019</v>
      </c>
      <c r="B442" t="s">
        <v>140</v>
      </c>
      <c r="C442" t="s">
        <v>121</v>
      </c>
      <c r="D442">
        <v>9</v>
      </c>
      <c r="E442" s="15">
        <v>8555</v>
      </c>
    </row>
    <row r="443" spans="1:5" x14ac:dyDescent="0.2">
      <c r="A443">
        <v>2019</v>
      </c>
      <c r="B443" t="s">
        <v>140</v>
      </c>
      <c r="C443" t="s">
        <v>122</v>
      </c>
      <c r="D443">
        <v>10</v>
      </c>
      <c r="E443" s="15">
        <v>8718</v>
      </c>
    </row>
    <row r="444" spans="1:5" x14ac:dyDescent="0.2">
      <c r="A444">
        <v>2019</v>
      </c>
      <c r="B444" t="s">
        <v>140</v>
      </c>
      <c r="C444" t="s">
        <v>123</v>
      </c>
      <c r="D444">
        <v>11</v>
      </c>
      <c r="E444" s="15">
        <v>33305</v>
      </c>
    </row>
    <row r="445" spans="1:5" x14ac:dyDescent="0.2">
      <c r="A445">
        <v>2019</v>
      </c>
      <c r="B445" t="s">
        <v>141</v>
      </c>
      <c r="C445" t="s">
        <v>113</v>
      </c>
      <c r="D445">
        <v>1</v>
      </c>
      <c r="E445" s="15">
        <v>488</v>
      </c>
    </row>
    <row r="446" spans="1:5" x14ac:dyDescent="0.2">
      <c r="A446">
        <v>2019</v>
      </c>
      <c r="B446" t="s">
        <v>141</v>
      </c>
      <c r="C446" t="s">
        <v>114</v>
      </c>
      <c r="D446">
        <v>2</v>
      </c>
      <c r="E446" s="15">
        <v>5004</v>
      </c>
    </row>
    <row r="447" spans="1:5" x14ac:dyDescent="0.2">
      <c r="A447">
        <v>2019</v>
      </c>
      <c r="B447" t="s">
        <v>141</v>
      </c>
      <c r="C447" t="s">
        <v>115</v>
      </c>
      <c r="D447">
        <v>3</v>
      </c>
      <c r="E447" s="15">
        <v>3388</v>
      </c>
    </row>
    <row r="448" spans="1:5" x14ac:dyDescent="0.2">
      <c r="A448">
        <v>2019</v>
      </c>
      <c r="B448" t="s">
        <v>141</v>
      </c>
      <c r="C448" t="s">
        <v>116</v>
      </c>
      <c r="D448">
        <v>4</v>
      </c>
      <c r="E448" s="15">
        <v>1556</v>
      </c>
    </row>
    <row r="449" spans="1:5" x14ac:dyDescent="0.2">
      <c r="A449">
        <v>2019</v>
      </c>
      <c r="B449" t="s">
        <v>141</v>
      </c>
      <c r="C449" t="s">
        <v>117</v>
      </c>
      <c r="D449">
        <v>5</v>
      </c>
      <c r="E449" s="15">
        <v>4768</v>
      </c>
    </row>
    <row r="450" spans="1:5" x14ac:dyDescent="0.2">
      <c r="A450">
        <v>2019</v>
      </c>
      <c r="B450" t="s">
        <v>141</v>
      </c>
      <c r="C450" t="s">
        <v>118</v>
      </c>
      <c r="D450">
        <v>6</v>
      </c>
      <c r="E450" s="15">
        <v>8026</v>
      </c>
    </row>
    <row r="451" spans="1:5" x14ac:dyDescent="0.2">
      <c r="A451">
        <v>2019</v>
      </c>
      <c r="B451" t="s">
        <v>141</v>
      </c>
      <c r="C451" t="s">
        <v>119</v>
      </c>
      <c r="D451">
        <v>7</v>
      </c>
      <c r="E451" s="15">
        <v>5721</v>
      </c>
    </row>
    <row r="452" spans="1:5" x14ac:dyDescent="0.2">
      <c r="A452">
        <v>2019</v>
      </c>
      <c r="B452" t="s">
        <v>141</v>
      </c>
      <c r="C452" t="s">
        <v>120</v>
      </c>
      <c r="D452">
        <v>8</v>
      </c>
      <c r="E452" s="15">
        <v>18697</v>
      </c>
    </row>
    <row r="453" spans="1:5" x14ac:dyDescent="0.2">
      <c r="A453">
        <v>2019</v>
      </c>
      <c r="B453" t="s">
        <v>141</v>
      </c>
      <c r="C453" t="s">
        <v>121</v>
      </c>
      <c r="D453">
        <v>9</v>
      </c>
      <c r="E453" s="15">
        <v>17790</v>
      </c>
    </row>
    <row r="454" spans="1:5" x14ac:dyDescent="0.2">
      <c r="A454">
        <v>2019</v>
      </c>
      <c r="B454" t="s">
        <v>141</v>
      </c>
      <c r="C454" t="s">
        <v>122</v>
      </c>
      <c r="D454">
        <v>10</v>
      </c>
      <c r="E454" s="15">
        <v>16983</v>
      </c>
    </row>
    <row r="455" spans="1:5" x14ac:dyDescent="0.2">
      <c r="A455">
        <v>2019</v>
      </c>
      <c r="B455" t="s">
        <v>141</v>
      </c>
      <c r="C455" t="s">
        <v>123</v>
      </c>
      <c r="D455">
        <v>11</v>
      </c>
      <c r="E455" s="15">
        <v>55320</v>
      </c>
    </row>
    <row r="456" spans="1:5" x14ac:dyDescent="0.2">
      <c r="A456">
        <v>2019</v>
      </c>
      <c r="B456" t="s">
        <v>142</v>
      </c>
      <c r="C456" t="s">
        <v>113</v>
      </c>
      <c r="D456">
        <v>1</v>
      </c>
      <c r="E456" s="15">
        <v>80</v>
      </c>
    </row>
    <row r="457" spans="1:5" x14ac:dyDescent="0.2">
      <c r="A457">
        <v>2019</v>
      </c>
      <c r="B457" t="s">
        <v>142</v>
      </c>
      <c r="C457" t="s">
        <v>114</v>
      </c>
      <c r="D457">
        <v>2</v>
      </c>
      <c r="E457" s="15">
        <v>999</v>
      </c>
    </row>
    <row r="458" spans="1:5" x14ac:dyDescent="0.2">
      <c r="A458">
        <v>2019</v>
      </c>
      <c r="B458" t="s">
        <v>142</v>
      </c>
      <c r="C458" t="s">
        <v>115</v>
      </c>
      <c r="D458">
        <v>3</v>
      </c>
      <c r="E458" s="15">
        <v>626</v>
      </c>
    </row>
    <row r="459" spans="1:5" x14ac:dyDescent="0.2">
      <c r="A459">
        <v>2019</v>
      </c>
      <c r="B459" t="s">
        <v>142</v>
      </c>
      <c r="C459" t="s">
        <v>116</v>
      </c>
      <c r="D459">
        <v>4</v>
      </c>
      <c r="E459" s="15">
        <v>210</v>
      </c>
    </row>
    <row r="460" spans="1:5" x14ac:dyDescent="0.2">
      <c r="A460">
        <v>2019</v>
      </c>
      <c r="B460" t="s">
        <v>142</v>
      </c>
      <c r="C460" t="s">
        <v>117</v>
      </c>
      <c r="D460">
        <v>5</v>
      </c>
      <c r="E460" s="15">
        <v>597</v>
      </c>
    </row>
    <row r="461" spans="1:5" x14ac:dyDescent="0.2">
      <c r="A461">
        <v>2019</v>
      </c>
      <c r="B461" t="s">
        <v>142</v>
      </c>
      <c r="C461" t="s">
        <v>118</v>
      </c>
      <c r="D461">
        <v>6</v>
      </c>
      <c r="E461" s="15">
        <v>1285</v>
      </c>
    </row>
    <row r="462" spans="1:5" x14ac:dyDescent="0.2">
      <c r="A462">
        <v>2019</v>
      </c>
      <c r="B462" t="s">
        <v>142</v>
      </c>
      <c r="C462" t="s">
        <v>119</v>
      </c>
      <c r="D462">
        <v>7</v>
      </c>
      <c r="E462" s="15">
        <v>1182</v>
      </c>
    </row>
    <row r="463" spans="1:5" x14ac:dyDescent="0.2">
      <c r="A463">
        <v>2019</v>
      </c>
      <c r="B463" t="s">
        <v>142</v>
      </c>
      <c r="C463" t="s">
        <v>120</v>
      </c>
      <c r="D463">
        <v>8</v>
      </c>
      <c r="E463" s="15">
        <v>4073</v>
      </c>
    </row>
    <row r="464" spans="1:5" x14ac:dyDescent="0.2">
      <c r="A464">
        <v>2019</v>
      </c>
      <c r="B464" t="s">
        <v>142</v>
      </c>
      <c r="C464" t="s">
        <v>121</v>
      </c>
      <c r="D464">
        <v>9</v>
      </c>
      <c r="E464" s="15">
        <v>3629</v>
      </c>
    </row>
    <row r="465" spans="1:5" x14ac:dyDescent="0.2">
      <c r="A465">
        <v>2019</v>
      </c>
      <c r="B465" t="s">
        <v>142</v>
      </c>
      <c r="C465" t="s">
        <v>122</v>
      </c>
      <c r="D465">
        <v>10</v>
      </c>
      <c r="E465" s="15">
        <v>3336</v>
      </c>
    </row>
    <row r="466" spans="1:5" x14ac:dyDescent="0.2">
      <c r="A466">
        <v>2019</v>
      </c>
      <c r="B466" t="s">
        <v>142</v>
      </c>
      <c r="C466" t="s">
        <v>123</v>
      </c>
      <c r="D466">
        <v>11</v>
      </c>
      <c r="E466" s="15">
        <v>9211</v>
      </c>
    </row>
    <row r="467" spans="1:5" x14ac:dyDescent="0.2">
      <c r="A467">
        <v>2019</v>
      </c>
      <c r="B467" t="s">
        <v>143</v>
      </c>
      <c r="C467" t="s">
        <v>113</v>
      </c>
      <c r="D467">
        <v>1</v>
      </c>
      <c r="E467" s="15">
        <v>64</v>
      </c>
    </row>
    <row r="468" spans="1:5" x14ac:dyDescent="0.2">
      <c r="A468">
        <v>2019</v>
      </c>
      <c r="B468" t="s">
        <v>143</v>
      </c>
      <c r="C468" t="s">
        <v>114</v>
      </c>
      <c r="D468">
        <v>2</v>
      </c>
      <c r="E468" s="15">
        <v>1126</v>
      </c>
    </row>
    <row r="469" spans="1:5" x14ac:dyDescent="0.2">
      <c r="A469">
        <v>2019</v>
      </c>
      <c r="B469" t="s">
        <v>143</v>
      </c>
      <c r="C469" t="s">
        <v>115</v>
      </c>
      <c r="D469">
        <v>3</v>
      </c>
      <c r="E469" s="15">
        <v>831</v>
      </c>
    </row>
    <row r="470" spans="1:5" x14ac:dyDescent="0.2">
      <c r="A470">
        <v>2019</v>
      </c>
      <c r="B470" t="s">
        <v>143</v>
      </c>
      <c r="C470" t="s">
        <v>116</v>
      </c>
      <c r="D470">
        <v>4</v>
      </c>
      <c r="E470" s="15">
        <v>309</v>
      </c>
    </row>
    <row r="471" spans="1:5" x14ac:dyDescent="0.2">
      <c r="A471">
        <v>2019</v>
      </c>
      <c r="B471" t="s">
        <v>143</v>
      </c>
      <c r="C471" t="s">
        <v>117</v>
      </c>
      <c r="D471">
        <v>5</v>
      </c>
      <c r="E471" s="15">
        <v>779</v>
      </c>
    </row>
    <row r="472" spans="1:5" x14ac:dyDescent="0.2">
      <c r="A472">
        <v>2019</v>
      </c>
      <c r="B472" t="s">
        <v>143</v>
      </c>
      <c r="C472" t="s">
        <v>118</v>
      </c>
      <c r="D472">
        <v>6</v>
      </c>
      <c r="E472" s="15">
        <v>937</v>
      </c>
    </row>
    <row r="473" spans="1:5" x14ac:dyDescent="0.2">
      <c r="A473">
        <v>2019</v>
      </c>
      <c r="B473" t="s">
        <v>143</v>
      </c>
      <c r="C473" t="s">
        <v>119</v>
      </c>
      <c r="D473">
        <v>7</v>
      </c>
      <c r="E473" s="15">
        <v>552</v>
      </c>
    </row>
    <row r="474" spans="1:5" x14ac:dyDescent="0.2">
      <c r="A474">
        <v>2019</v>
      </c>
      <c r="B474" t="s">
        <v>143</v>
      </c>
      <c r="C474" t="s">
        <v>120</v>
      </c>
      <c r="D474">
        <v>8</v>
      </c>
      <c r="E474" s="15">
        <v>2460</v>
      </c>
    </row>
    <row r="475" spans="1:5" x14ac:dyDescent="0.2">
      <c r="A475">
        <v>2019</v>
      </c>
      <c r="B475" t="s">
        <v>143</v>
      </c>
      <c r="C475" t="s">
        <v>121</v>
      </c>
      <c r="D475">
        <v>9</v>
      </c>
      <c r="E475" s="15">
        <v>2346</v>
      </c>
    </row>
    <row r="476" spans="1:5" x14ac:dyDescent="0.2">
      <c r="A476">
        <v>2019</v>
      </c>
      <c r="B476" t="s">
        <v>143</v>
      </c>
      <c r="C476" t="s">
        <v>122</v>
      </c>
      <c r="D476">
        <v>10</v>
      </c>
      <c r="E476" s="15">
        <v>2134</v>
      </c>
    </row>
    <row r="477" spans="1:5" x14ac:dyDescent="0.2">
      <c r="A477">
        <v>2019</v>
      </c>
      <c r="B477" t="s">
        <v>143</v>
      </c>
      <c r="C477" t="s">
        <v>123</v>
      </c>
      <c r="D477">
        <v>11</v>
      </c>
      <c r="E477" s="15">
        <v>8802</v>
      </c>
    </row>
    <row r="478" spans="1:5" x14ac:dyDescent="0.2">
      <c r="A478">
        <v>2019</v>
      </c>
      <c r="B478" t="s">
        <v>144</v>
      </c>
      <c r="C478" t="s">
        <v>113</v>
      </c>
      <c r="D478">
        <v>1</v>
      </c>
      <c r="E478" s="15">
        <v>113</v>
      </c>
    </row>
    <row r="479" spans="1:5" x14ac:dyDescent="0.2">
      <c r="A479">
        <v>2019</v>
      </c>
      <c r="B479" t="s">
        <v>144</v>
      </c>
      <c r="C479" t="s">
        <v>114</v>
      </c>
      <c r="D479">
        <v>2</v>
      </c>
      <c r="E479" s="15">
        <v>2038</v>
      </c>
    </row>
    <row r="480" spans="1:5" x14ac:dyDescent="0.2">
      <c r="A480">
        <v>2019</v>
      </c>
      <c r="B480" t="s">
        <v>144</v>
      </c>
      <c r="C480" t="s">
        <v>115</v>
      </c>
      <c r="D480">
        <v>3</v>
      </c>
      <c r="E480" s="15">
        <v>1318</v>
      </c>
    </row>
    <row r="481" spans="1:5" x14ac:dyDescent="0.2">
      <c r="A481">
        <v>2019</v>
      </c>
      <c r="B481" t="s">
        <v>144</v>
      </c>
      <c r="C481" t="s">
        <v>116</v>
      </c>
      <c r="D481">
        <v>4</v>
      </c>
      <c r="E481" s="15">
        <v>608</v>
      </c>
    </row>
    <row r="482" spans="1:5" x14ac:dyDescent="0.2">
      <c r="A482">
        <v>2019</v>
      </c>
      <c r="B482" t="s">
        <v>144</v>
      </c>
      <c r="C482" t="s">
        <v>117</v>
      </c>
      <c r="D482">
        <v>5</v>
      </c>
      <c r="E482" s="15">
        <v>1531</v>
      </c>
    </row>
    <row r="483" spans="1:5" x14ac:dyDescent="0.2">
      <c r="A483">
        <v>2019</v>
      </c>
      <c r="B483" t="s">
        <v>144</v>
      </c>
      <c r="C483" t="s">
        <v>118</v>
      </c>
      <c r="D483">
        <v>6</v>
      </c>
      <c r="E483" s="15">
        <v>1971</v>
      </c>
    </row>
    <row r="484" spans="1:5" x14ac:dyDescent="0.2">
      <c r="A484">
        <v>2019</v>
      </c>
      <c r="B484" t="s">
        <v>144</v>
      </c>
      <c r="C484" t="s">
        <v>119</v>
      </c>
      <c r="D484">
        <v>7</v>
      </c>
      <c r="E484" s="15">
        <v>1551</v>
      </c>
    </row>
    <row r="485" spans="1:5" x14ac:dyDescent="0.2">
      <c r="A485">
        <v>2019</v>
      </c>
      <c r="B485" t="s">
        <v>144</v>
      </c>
      <c r="C485" t="s">
        <v>120</v>
      </c>
      <c r="D485">
        <v>8</v>
      </c>
      <c r="E485" s="15">
        <v>5709</v>
      </c>
    </row>
    <row r="486" spans="1:5" x14ac:dyDescent="0.2">
      <c r="A486">
        <v>2019</v>
      </c>
      <c r="B486" t="s">
        <v>144</v>
      </c>
      <c r="C486" t="s">
        <v>121</v>
      </c>
      <c r="D486">
        <v>9</v>
      </c>
      <c r="E486" s="15">
        <v>5738</v>
      </c>
    </row>
    <row r="487" spans="1:5" x14ac:dyDescent="0.2">
      <c r="A487">
        <v>2019</v>
      </c>
      <c r="B487" t="s">
        <v>144</v>
      </c>
      <c r="C487" t="s">
        <v>122</v>
      </c>
      <c r="D487">
        <v>10</v>
      </c>
      <c r="E487" s="15">
        <v>5558</v>
      </c>
    </row>
    <row r="488" spans="1:5" x14ac:dyDescent="0.2">
      <c r="A488">
        <v>2019</v>
      </c>
      <c r="B488" t="s">
        <v>144</v>
      </c>
      <c r="C488" t="s">
        <v>123</v>
      </c>
      <c r="D488">
        <v>11</v>
      </c>
      <c r="E488" s="15">
        <v>20665</v>
      </c>
    </row>
    <row r="489" spans="1:5" x14ac:dyDescent="0.2">
      <c r="A489">
        <v>2019</v>
      </c>
      <c r="B489" t="s">
        <v>145</v>
      </c>
      <c r="C489" t="s">
        <v>113</v>
      </c>
      <c r="D489">
        <v>1</v>
      </c>
      <c r="E489" s="15">
        <v>8</v>
      </c>
    </row>
    <row r="490" spans="1:5" x14ac:dyDescent="0.2">
      <c r="A490">
        <v>2019</v>
      </c>
      <c r="B490" t="s">
        <v>145</v>
      </c>
      <c r="C490" t="s">
        <v>114</v>
      </c>
      <c r="D490">
        <v>2</v>
      </c>
      <c r="E490" s="15">
        <v>248</v>
      </c>
    </row>
    <row r="491" spans="1:5" x14ac:dyDescent="0.2">
      <c r="A491">
        <v>2019</v>
      </c>
      <c r="B491" t="s">
        <v>145</v>
      </c>
      <c r="C491" t="s">
        <v>115</v>
      </c>
      <c r="D491">
        <v>3</v>
      </c>
      <c r="E491" s="15">
        <v>264</v>
      </c>
    </row>
    <row r="492" spans="1:5" x14ac:dyDescent="0.2">
      <c r="A492">
        <v>2019</v>
      </c>
      <c r="B492" t="s">
        <v>145</v>
      </c>
      <c r="C492" t="s">
        <v>116</v>
      </c>
      <c r="D492">
        <v>4</v>
      </c>
      <c r="E492" s="15">
        <v>107</v>
      </c>
    </row>
    <row r="493" spans="1:5" x14ac:dyDescent="0.2">
      <c r="A493">
        <v>2019</v>
      </c>
      <c r="B493" t="s">
        <v>145</v>
      </c>
      <c r="C493" t="s">
        <v>117</v>
      </c>
      <c r="D493">
        <v>5</v>
      </c>
      <c r="E493" s="15">
        <v>321</v>
      </c>
    </row>
    <row r="494" spans="1:5" x14ac:dyDescent="0.2">
      <c r="A494">
        <v>2019</v>
      </c>
      <c r="B494" t="s">
        <v>145</v>
      </c>
      <c r="C494" t="s">
        <v>118</v>
      </c>
      <c r="D494">
        <v>6</v>
      </c>
      <c r="E494" s="15">
        <v>1055</v>
      </c>
    </row>
    <row r="495" spans="1:5" x14ac:dyDescent="0.2">
      <c r="A495">
        <v>2019</v>
      </c>
      <c r="B495" t="s">
        <v>145</v>
      </c>
      <c r="C495" t="s">
        <v>119</v>
      </c>
      <c r="D495">
        <v>7</v>
      </c>
      <c r="E495" s="15">
        <v>1107</v>
      </c>
    </row>
    <row r="496" spans="1:5" x14ac:dyDescent="0.2">
      <c r="A496">
        <v>2019</v>
      </c>
      <c r="B496" t="s">
        <v>145</v>
      </c>
      <c r="C496" t="s">
        <v>120</v>
      </c>
      <c r="D496">
        <v>8</v>
      </c>
      <c r="E496" s="15">
        <v>3838</v>
      </c>
    </row>
    <row r="497" spans="1:5" x14ac:dyDescent="0.2">
      <c r="A497">
        <v>2019</v>
      </c>
      <c r="B497" t="s">
        <v>145</v>
      </c>
      <c r="C497" t="s">
        <v>121</v>
      </c>
      <c r="D497">
        <v>9</v>
      </c>
      <c r="E497" s="15">
        <v>3126</v>
      </c>
    </row>
    <row r="498" spans="1:5" x14ac:dyDescent="0.2">
      <c r="A498">
        <v>2019</v>
      </c>
      <c r="B498" t="s">
        <v>145</v>
      </c>
      <c r="C498" t="s">
        <v>122</v>
      </c>
      <c r="D498">
        <v>10</v>
      </c>
      <c r="E498" s="15">
        <v>2514</v>
      </c>
    </row>
    <row r="499" spans="1:5" x14ac:dyDescent="0.2">
      <c r="A499">
        <v>2019</v>
      </c>
      <c r="B499" t="s">
        <v>145</v>
      </c>
      <c r="C499" t="s">
        <v>123</v>
      </c>
      <c r="D499">
        <v>11</v>
      </c>
      <c r="E499" s="15">
        <v>5394</v>
      </c>
    </row>
    <row r="500" spans="1:5" x14ac:dyDescent="0.2">
      <c r="A500">
        <v>2019</v>
      </c>
      <c r="B500" t="s">
        <v>146</v>
      </c>
      <c r="C500" t="s">
        <v>113</v>
      </c>
      <c r="D500">
        <v>1</v>
      </c>
      <c r="E500" s="15">
        <v>141</v>
      </c>
    </row>
    <row r="501" spans="1:5" x14ac:dyDescent="0.2">
      <c r="A501">
        <v>2019</v>
      </c>
      <c r="B501" t="s">
        <v>146</v>
      </c>
      <c r="C501" t="s">
        <v>114</v>
      </c>
      <c r="D501">
        <v>2</v>
      </c>
      <c r="E501" s="15">
        <v>2065</v>
      </c>
    </row>
    <row r="502" spans="1:5" x14ac:dyDescent="0.2">
      <c r="A502">
        <v>2019</v>
      </c>
      <c r="B502" t="s">
        <v>146</v>
      </c>
      <c r="C502" t="s">
        <v>115</v>
      </c>
      <c r="D502">
        <v>3</v>
      </c>
      <c r="E502" s="15">
        <v>1544</v>
      </c>
    </row>
    <row r="503" spans="1:5" x14ac:dyDescent="0.2">
      <c r="A503">
        <v>2019</v>
      </c>
      <c r="B503" t="s">
        <v>146</v>
      </c>
      <c r="C503" t="s">
        <v>116</v>
      </c>
      <c r="D503">
        <v>4</v>
      </c>
      <c r="E503" s="15">
        <v>661</v>
      </c>
    </row>
    <row r="504" spans="1:5" x14ac:dyDescent="0.2">
      <c r="A504">
        <v>2019</v>
      </c>
      <c r="B504" t="s">
        <v>146</v>
      </c>
      <c r="C504" t="s">
        <v>117</v>
      </c>
      <c r="D504">
        <v>5</v>
      </c>
      <c r="E504" s="15">
        <v>2089</v>
      </c>
    </row>
    <row r="505" spans="1:5" x14ac:dyDescent="0.2">
      <c r="A505">
        <v>2019</v>
      </c>
      <c r="B505" t="s">
        <v>146</v>
      </c>
      <c r="C505" t="s">
        <v>118</v>
      </c>
      <c r="D505">
        <v>6</v>
      </c>
      <c r="E505" s="15">
        <v>3800</v>
      </c>
    </row>
    <row r="506" spans="1:5" x14ac:dyDescent="0.2">
      <c r="A506">
        <v>2019</v>
      </c>
      <c r="B506" t="s">
        <v>146</v>
      </c>
      <c r="C506" t="s">
        <v>119</v>
      </c>
      <c r="D506">
        <v>7</v>
      </c>
      <c r="E506" s="15">
        <v>2893</v>
      </c>
    </row>
    <row r="507" spans="1:5" x14ac:dyDescent="0.2">
      <c r="A507">
        <v>2019</v>
      </c>
      <c r="B507" t="s">
        <v>146</v>
      </c>
      <c r="C507" t="s">
        <v>120</v>
      </c>
      <c r="D507">
        <v>8</v>
      </c>
      <c r="E507" s="15">
        <v>9840</v>
      </c>
    </row>
    <row r="508" spans="1:5" x14ac:dyDescent="0.2">
      <c r="A508">
        <v>2019</v>
      </c>
      <c r="B508" t="s">
        <v>146</v>
      </c>
      <c r="C508" t="s">
        <v>121</v>
      </c>
      <c r="D508">
        <v>9</v>
      </c>
      <c r="E508" s="15">
        <v>9186</v>
      </c>
    </row>
    <row r="509" spans="1:5" x14ac:dyDescent="0.2">
      <c r="A509">
        <v>2019</v>
      </c>
      <c r="B509" t="s">
        <v>146</v>
      </c>
      <c r="C509" t="s">
        <v>122</v>
      </c>
      <c r="D509">
        <v>10</v>
      </c>
      <c r="E509" s="15">
        <v>8267</v>
      </c>
    </row>
    <row r="510" spans="1:5" x14ac:dyDescent="0.2">
      <c r="A510">
        <v>2019</v>
      </c>
      <c r="B510" t="s">
        <v>146</v>
      </c>
      <c r="C510" t="s">
        <v>123</v>
      </c>
      <c r="D510">
        <v>11</v>
      </c>
      <c r="E510" s="15">
        <v>31322</v>
      </c>
    </row>
    <row r="511" spans="1:5" x14ac:dyDescent="0.2">
      <c r="A511">
        <v>2019</v>
      </c>
      <c r="B511" t="s">
        <v>147</v>
      </c>
      <c r="C511" t="s">
        <v>113</v>
      </c>
      <c r="D511">
        <v>1</v>
      </c>
      <c r="E511" s="15">
        <v>382</v>
      </c>
    </row>
    <row r="512" spans="1:5" x14ac:dyDescent="0.2">
      <c r="A512">
        <v>2019</v>
      </c>
      <c r="B512" t="s">
        <v>147</v>
      </c>
      <c r="C512" t="s">
        <v>114</v>
      </c>
      <c r="D512">
        <v>2</v>
      </c>
      <c r="E512" s="15">
        <v>4174</v>
      </c>
    </row>
    <row r="513" spans="1:5" x14ac:dyDescent="0.2">
      <c r="A513">
        <v>2019</v>
      </c>
      <c r="B513" t="s">
        <v>147</v>
      </c>
      <c r="C513" t="s">
        <v>115</v>
      </c>
      <c r="D513">
        <v>3</v>
      </c>
      <c r="E513" s="15">
        <v>3462</v>
      </c>
    </row>
    <row r="514" spans="1:5" x14ac:dyDescent="0.2">
      <c r="A514">
        <v>2019</v>
      </c>
      <c r="B514" t="s">
        <v>147</v>
      </c>
      <c r="C514" t="s">
        <v>116</v>
      </c>
      <c r="D514">
        <v>4</v>
      </c>
      <c r="E514" s="15">
        <v>1492</v>
      </c>
    </row>
    <row r="515" spans="1:5" x14ac:dyDescent="0.2">
      <c r="A515">
        <v>2019</v>
      </c>
      <c r="B515" t="s">
        <v>147</v>
      </c>
      <c r="C515" t="s">
        <v>117</v>
      </c>
      <c r="D515">
        <v>5</v>
      </c>
      <c r="E515" s="15">
        <v>4419</v>
      </c>
    </row>
    <row r="516" spans="1:5" x14ac:dyDescent="0.2">
      <c r="A516">
        <v>2019</v>
      </c>
      <c r="B516" t="s">
        <v>147</v>
      </c>
      <c r="C516" t="s">
        <v>118</v>
      </c>
      <c r="D516">
        <v>6</v>
      </c>
      <c r="E516" s="15">
        <v>6998</v>
      </c>
    </row>
    <row r="517" spans="1:5" x14ac:dyDescent="0.2">
      <c r="A517">
        <v>2019</v>
      </c>
      <c r="B517" t="s">
        <v>147</v>
      </c>
      <c r="C517" t="s">
        <v>119</v>
      </c>
      <c r="D517">
        <v>7</v>
      </c>
      <c r="E517" s="15">
        <v>4631</v>
      </c>
    </row>
    <row r="518" spans="1:5" x14ac:dyDescent="0.2">
      <c r="A518">
        <v>2019</v>
      </c>
      <c r="B518" t="s">
        <v>147</v>
      </c>
      <c r="C518" t="s">
        <v>120</v>
      </c>
      <c r="D518">
        <v>8</v>
      </c>
      <c r="E518" s="15">
        <v>16154</v>
      </c>
    </row>
    <row r="519" spans="1:5" x14ac:dyDescent="0.2">
      <c r="A519">
        <v>2019</v>
      </c>
      <c r="B519" t="s">
        <v>147</v>
      </c>
      <c r="C519" t="s">
        <v>121</v>
      </c>
      <c r="D519">
        <v>9</v>
      </c>
      <c r="E519" s="15">
        <v>16865</v>
      </c>
    </row>
    <row r="520" spans="1:5" x14ac:dyDescent="0.2">
      <c r="A520">
        <v>2019</v>
      </c>
      <c r="B520" t="s">
        <v>147</v>
      </c>
      <c r="C520" t="s">
        <v>122</v>
      </c>
      <c r="D520">
        <v>10</v>
      </c>
      <c r="E520" s="15">
        <v>16007</v>
      </c>
    </row>
    <row r="521" spans="1:5" x14ac:dyDescent="0.2">
      <c r="A521">
        <v>2019</v>
      </c>
      <c r="B521" t="s">
        <v>147</v>
      </c>
      <c r="C521" t="s">
        <v>123</v>
      </c>
      <c r="D521">
        <v>11</v>
      </c>
      <c r="E521" s="15">
        <v>60595</v>
      </c>
    </row>
    <row r="522" spans="1:5" x14ac:dyDescent="0.2">
      <c r="A522">
        <v>2019</v>
      </c>
      <c r="B522" t="s">
        <v>148</v>
      </c>
      <c r="C522" t="s">
        <v>113</v>
      </c>
      <c r="D522">
        <v>1</v>
      </c>
      <c r="E522" s="15">
        <v>114</v>
      </c>
    </row>
    <row r="523" spans="1:5" x14ac:dyDescent="0.2">
      <c r="A523">
        <v>2019</v>
      </c>
      <c r="B523" t="s">
        <v>148</v>
      </c>
      <c r="C523" t="s">
        <v>114</v>
      </c>
      <c r="D523">
        <v>2</v>
      </c>
      <c r="E523" s="15">
        <v>1036</v>
      </c>
    </row>
    <row r="524" spans="1:5" x14ac:dyDescent="0.2">
      <c r="A524">
        <v>2019</v>
      </c>
      <c r="B524" t="s">
        <v>148</v>
      </c>
      <c r="C524" t="s">
        <v>115</v>
      </c>
      <c r="D524">
        <v>3</v>
      </c>
      <c r="E524" s="15">
        <v>644</v>
      </c>
    </row>
    <row r="525" spans="1:5" x14ac:dyDescent="0.2">
      <c r="A525">
        <v>2019</v>
      </c>
      <c r="B525" t="s">
        <v>148</v>
      </c>
      <c r="C525" t="s">
        <v>116</v>
      </c>
      <c r="D525">
        <v>4</v>
      </c>
      <c r="E525" s="15">
        <v>320</v>
      </c>
    </row>
    <row r="526" spans="1:5" x14ac:dyDescent="0.2">
      <c r="A526">
        <v>2019</v>
      </c>
      <c r="B526" t="s">
        <v>148</v>
      </c>
      <c r="C526" t="s">
        <v>117</v>
      </c>
      <c r="D526">
        <v>5</v>
      </c>
      <c r="E526" s="15">
        <v>853</v>
      </c>
    </row>
    <row r="527" spans="1:5" x14ac:dyDescent="0.2">
      <c r="A527">
        <v>2019</v>
      </c>
      <c r="B527" t="s">
        <v>148</v>
      </c>
      <c r="C527" t="s">
        <v>118</v>
      </c>
      <c r="D527">
        <v>6</v>
      </c>
      <c r="E527" s="15">
        <v>1214</v>
      </c>
    </row>
    <row r="528" spans="1:5" x14ac:dyDescent="0.2">
      <c r="A528">
        <v>2019</v>
      </c>
      <c r="B528" t="s">
        <v>148</v>
      </c>
      <c r="C528" t="s">
        <v>119</v>
      </c>
      <c r="D528">
        <v>7</v>
      </c>
      <c r="E528" s="15">
        <v>926</v>
      </c>
    </row>
    <row r="529" spans="1:5" x14ac:dyDescent="0.2">
      <c r="A529">
        <v>2019</v>
      </c>
      <c r="B529" t="s">
        <v>148</v>
      </c>
      <c r="C529" t="s">
        <v>120</v>
      </c>
      <c r="D529">
        <v>8</v>
      </c>
      <c r="E529" s="15">
        <v>3366</v>
      </c>
    </row>
    <row r="530" spans="1:5" x14ac:dyDescent="0.2">
      <c r="A530">
        <v>2019</v>
      </c>
      <c r="B530" t="s">
        <v>148</v>
      </c>
      <c r="C530" t="s">
        <v>121</v>
      </c>
      <c r="D530">
        <v>9</v>
      </c>
      <c r="E530" s="15">
        <v>3574</v>
      </c>
    </row>
    <row r="531" spans="1:5" x14ac:dyDescent="0.2">
      <c r="A531">
        <v>2019</v>
      </c>
      <c r="B531" t="s">
        <v>148</v>
      </c>
      <c r="C531" t="s">
        <v>122</v>
      </c>
      <c r="D531">
        <v>10</v>
      </c>
      <c r="E531" s="15">
        <v>3582</v>
      </c>
    </row>
    <row r="532" spans="1:5" x14ac:dyDescent="0.2">
      <c r="A532">
        <v>2019</v>
      </c>
      <c r="B532" t="s">
        <v>148</v>
      </c>
      <c r="C532" t="s">
        <v>123</v>
      </c>
      <c r="D532">
        <v>11</v>
      </c>
      <c r="E532" s="15">
        <v>12493</v>
      </c>
    </row>
    <row r="533" spans="1:5" x14ac:dyDescent="0.2">
      <c r="A533">
        <v>2019</v>
      </c>
      <c r="B533" t="s">
        <v>149</v>
      </c>
      <c r="C533" t="s">
        <v>113</v>
      </c>
      <c r="D533">
        <v>1</v>
      </c>
      <c r="E533" s="15">
        <v>5</v>
      </c>
    </row>
    <row r="534" spans="1:5" x14ac:dyDescent="0.2">
      <c r="A534">
        <v>2019</v>
      </c>
      <c r="B534" t="s">
        <v>149</v>
      </c>
      <c r="C534" t="s">
        <v>114</v>
      </c>
      <c r="D534">
        <v>2</v>
      </c>
      <c r="E534" s="15">
        <v>121</v>
      </c>
    </row>
    <row r="535" spans="1:5" x14ac:dyDescent="0.2">
      <c r="A535">
        <v>2019</v>
      </c>
      <c r="B535" t="s">
        <v>149</v>
      </c>
      <c r="C535" t="s">
        <v>115</v>
      </c>
      <c r="D535">
        <v>3</v>
      </c>
      <c r="E535" s="15">
        <v>78</v>
      </c>
    </row>
    <row r="536" spans="1:5" x14ac:dyDescent="0.2">
      <c r="A536">
        <v>2019</v>
      </c>
      <c r="B536" t="s">
        <v>149</v>
      </c>
      <c r="C536" t="s">
        <v>116</v>
      </c>
      <c r="D536">
        <v>4</v>
      </c>
      <c r="E536" s="15">
        <v>34</v>
      </c>
    </row>
    <row r="537" spans="1:5" x14ac:dyDescent="0.2">
      <c r="A537">
        <v>2019</v>
      </c>
      <c r="B537" t="s">
        <v>149</v>
      </c>
      <c r="C537" t="s">
        <v>117</v>
      </c>
      <c r="D537">
        <v>5</v>
      </c>
      <c r="E537" s="15">
        <v>125</v>
      </c>
    </row>
    <row r="538" spans="1:5" x14ac:dyDescent="0.2">
      <c r="A538">
        <v>2019</v>
      </c>
      <c r="B538" t="s">
        <v>149</v>
      </c>
      <c r="C538" t="s">
        <v>118</v>
      </c>
      <c r="D538">
        <v>6</v>
      </c>
      <c r="E538" s="15">
        <v>130</v>
      </c>
    </row>
    <row r="539" spans="1:5" x14ac:dyDescent="0.2">
      <c r="A539">
        <v>2019</v>
      </c>
      <c r="B539" t="s">
        <v>149</v>
      </c>
      <c r="C539" t="s">
        <v>119</v>
      </c>
      <c r="D539">
        <v>7</v>
      </c>
      <c r="E539" s="15">
        <v>84</v>
      </c>
    </row>
    <row r="540" spans="1:5" x14ac:dyDescent="0.2">
      <c r="A540">
        <v>2019</v>
      </c>
      <c r="B540" t="s">
        <v>149</v>
      </c>
      <c r="C540" t="s">
        <v>120</v>
      </c>
      <c r="D540">
        <v>8</v>
      </c>
      <c r="E540" s="15">
        <v>372</v>
      </c>
    </row>
    <row r="541" spans="1:5" x14ac:dyDescent="0.2">
      <c r="A541">
        <v>2019</v>
      </c>
      <c r="B541" t="s">
        <v>149</v>
      </c>
      <c r="C541" t="s">
        <v>121</v>
      </c>
      <c r="D541">
        <v>9</v>
      </c>
      <c r="E541" s="15">
        <v>318</v>
      </c>
    </row>
    <row r="542" spans="1:5" x14ac:dyDescent="0.2">
      <c r="A542">
        <v>2019</v>
      </c>
      <c r="B542" t="s">
        <v>149</v>
      </c>
      <c r="C542" t="s">
        <v>122</v>
      </c>
      <c r="D542">
        <v>10</v>
      </c>
      <c r="E542" s="15">
        <v>273</v>
      </c>
    </row>
    <row r="543" spans="1:5" x14ac:dyDescent="0.2">
      <c r="A543">
        <v>2019</v>
      </c>
      <c r="B543" t="s">
        <v>149</v>
      </c>
      <c r="C543" t="s">
        <v>123</v>
      </c>
      <c r="D543">
        <v>11</v>
      </c>
      <c r="E543" s="15">
        <v>439</v>
      </c>
    </row>
    <row r="544" spans="1:5" x14ac:dyDescent="0.2">
      <c r="A544">
        <v>2019</v>
      </c>
      <c r="B544" t="s">
        <v>150</v>
      </c>
      <c r="C544" t="s">
        <v>113</v>
      </c>
      <c r="D544">
        <v>1</v>
      </c>
      <c r="E544" s="15">
        <v>28</v>
      </c>
    </row>
    <row r="545" spans="1:5" x14ac:dyDescent="0.2">
      <c r="A545">
        <v>2019</v>
      </c>
      <c r="B545" t="s">
        <v>150</v>
      </c>
      <c r="C545" t="s">
        <v>114</v>
      </c>
      <c r="D545">
        <v>2</v>
      </c>
      <c r="E545" s="15">
        <v>484</v>
      </c>
    </row>
    <row r="546" spans="1:5" x14ac:dyDescent="0.2">
      <c r="A546">
        <v>2019</v>
      </c>
      <c r="B546" t="s">
        <v>150</v>
      </c>
      <c r="C546" t="s">
        <v>115</v>
      </c>
      <c r="D546">
        <v>3</v>
      </c>
      <c r="E546" s="15">
        <v>333</v>
      </c>
    </row>
    <row r="547" spans="1:5" x14ac:dyDescent="0.2">
      <c r="A547">
        <v>2019</v>
      </c>
      <c r="B547" t="s">
        <v>150</v>
      </c>
      <c r="C547" t="s">
        <v>116</v>
      </c>
      <c r="D547">
        <v>4</v>
      </c>
      <c r="E547" s="15">
        <v>153</v>
      </c>
    </row>
    <row r="548" spans="1:5" x14ac:dyDescent="0.2">
      <c r="A548">
        <v>2019</v>
      </c>
      <c r="B548" t="s">
        <v>150</v>
      </c>
      <c r="C548" t="s">
        <v>117</v>
      </c>
      <c r="D548">
        <v>5</v>
      </c>
      <c r="E548" s="15">
        <v>340</v>
      </c>
    </row>
    <row r="549" spans="1:5" x14ac:dyDescent="0.2">
      <c r="A549">
        <v>2019</v>
      </c>
      <c r="B549" t="s">
        <v>150</v>
      </c>
      <c r="C549" t="s">
        <v>118</v>
      </c>
      <c r="D549">
        <v>6</v>
      </c>
      <c r="E549" s="15">
        <v>648</v>
      </c>
    </row>
    <row r="550" spans="1:5" x14ac:dyDescent="0.2">
      <c r="A550">
        <v>2019</v>
      </c>
      <c r="B550" t="s">
        <v>150</v>
      </c>
      <c r="C550" t="s">
        <v>119</v>
      </c>
      <c r="D550">
        <v>7</v>
      </c>
      <c r="E550" s="15">
        <v>677</v>
      </c>
    </row>
    <row r="551" spans="1:5" x14ac:dyDescent="0.2">
      <c r="A551">
        <v>2019</v>
      </c>
      <c r="B551" t="s">
        <v>150</v>
      </c>
      <c r="C551" t="s">
        <v>120</v>
      </c>
      <c r="D551">
        <v>8</v>
      </c>
      <c r="E551" s="15">
        <v>2419</v>
      </c>
    </row>
    <row r="552" spans="1:5" x14ac:dyDescent="0.2">
      <c r="A552">
        <v>2019</v>
      </c>
      <c r="B552" t="s">
        <v>150</v>
      </c>
      <c r="C552" t="s">
        <v>121</v>
      </c>
      <c r="D552">
        <v>9</v>
      </c>
      <c r="E552" s="15">
        <v>1984</v>
      </c>
    </row>
    <row r="553" spans="1:5" x14ac:dyDescent="0.2">
      <c r="A553">
        <v>2019</v>
      </c>
      <c r="B553" t="s">
        <v>150</v>
      </c>
      <c r="C553" t="s">
        <v>122</v>
      </c>
      <c r="D553">
        <v>10</v>
      </c>
      <c r="E553" s="15">
        <v>1659</v>
      </c>
    </row>
    <row r="554" spans="1:5" x14ac:dyDescent="0.2">
      <c r="A554">
        <v>2019</v>
      </c>
      <c r="B554" t="s">
        <v>150</v>
      </c>
      <c r="C554" t="s">
        <v>123</v>
      </c>
      <c r="D554">
        <v>11</v>
      </c>
      <c r="E554" s="15">
        <v>3297</v>
      </c>
    </row>
    <row r="555" spans="1:5" x14ac:dyDescent="0.2">
      <c r="A555">
        <v>2019</v>
      </c>
      <c r="B555" t="s">
        <v>151</v>
      </c>
      <c r="C555" t="s">
        <v>113</v>
      </c>
      <c r="D555">
        <v>1</v>
      </c>
      <c r="E555" s="15">
        <v>108</v>
      </c>
    </row>
    <row r="556" spans="1:5" x14ac:dyDescent="0.2">
      <c r="A556">
        <v>2019</v>
      </c>
      <c r="B556" t="s">
        <v>151</v>
      </c>
      <c r="C556" t="s">
        <v>114</v>
      </c>
      <c r="D556">
        <v>2</v>
      </c>
      <c r="E556" s="15">
        <v>1740</v>
      </c>
    </row>
    <row r="557" spans="1:5" x14ac:dyDescent="0.2">
      <c r="A557">
        <v>2019</v>
      </c>
      <c r="B557" t="s">
        <v>151</v>
      </c>
      <c r="C557" t="s">
        <v>115</v>
      </c>
      <c r="D557">
        <v>3</v>
      </c>
      <c r="E557" s="15">
        <v>1181</v>
      </c>
    </row>
    <row r="558" spans="1:5" x14ac:dyDescent="0.2">
      <c r="A558">
        <v>2019</v>
      </c>
      <c r="B558" t="s">
        <v>151</v>
      </c>
      <c r="C558" t="s">
        <v>116</v>
      </c>
      <c r="D558">
        <v>4</v>
      </c>
      <c r="E558" s="15">
        <v>537</v>
      </c>
    </row>
    <row r="559" spans="1:5" x14ac:dyDescent="0.2">
      <c r="A559">
        <v>2019</v>
      </c>
      <c r="B559" t="s">
        <v>151</v>
      </c>
      <c r="C559" t="s">
        <v>117</v>
      </c>
      <c r="D559">
        <v>5</v>
      </c>
      <c r="E559" s="15">
        <v>1427</v>
      </c>
    </row>
    <row r="560" spans="1:5" x14ac:dyDescent="0.2">
      <c r="A560">
        <v>2019</v>
      </c>
      <c r="B560" t="s">
        <v>151</v>
      </c>
      <c r="C560" t="s">
        <v>118</v>
      </c>
      <c r="D560">
        <v>6</v>
      </c>
      <c r="E560" s="15">
        <v>2346</v>
      </c>
    </row>
    <row r="561" spans="1:5" x14ac:dyDescent="0.2">
      <c r="A561">
        <v>2019</v>
      </c>
      <c r="B561" t="s">
        <v>151</v>
      </c>
      <c r="C561" t="s">
        <v>119</v>
      </c>
      <c r="D561">
        <v>7</v>
      </c>
      <c r="E561" s="15">
        <v>1836</v>
      </c>
    </row>
    <row r="562" spans="1:5" x14ac:dyDescent="0.2">
      <c r="A562">
        <v>2019</v>
      </c>
      <c r="B562" t="s">
        <v>151</v>
      </c>
      <c r="C562" t="s">
        <v>120</v>
      </c>
      <c r="D562">
        <v>8</v>
      </c>
      <c r="E562" s="15">
        <v>6919</v>
      </c>
    </row>
    <row r="563" spans="1:5" x14ac:dyDescent="0.2">
      <c r="A563">
        <v>2019</v>
      </c>
      <c r="B563" t="s">
        <v>151</v>
      </c>
      <c r="C563" t="s">
        <v>121</v>
      </c>
      <c r="D563">
        <v>9</v>
      </c>
      <c r="E563" s="15">
        <v>6614</v>
      </c>
    </row>
    <row r="564" spans="1:5" x14ac:dyDescent="0.2">
      <c r="A564">
        <v>2019</v>
      </c>
      <c r="B564" t="s">
        <v>151</v>
      </c>
      <c r="C564" t="s">
        <v>122</v>
      </c>
      <c r="D564">
        <v>10</v>
      </c>
      <c r="E564" s="15">
        <v>5715</v>
      </c>
    </row>
    <row r="565" spans="1:5" x14ac:dyDescent="0.2">
      <c r="A565">
        <v>2019</v>
      </c>
      <c r="B565" t="s">
        <v>151</v>
      </c>
      <c r="C565" t="s">
        <v>123</v>
      </c>
      <c r="D565">
        <v>11</v>
      </c>
      <c r="E565" s="15">
        <v>20811</v>
      </c>
    </row>
    <row r="566" spans="1:5" x14ac:dyDescent="0.2">
      <c r="A566">
        <v>2019</v>
      </c>
      <c r="B566" t="s">
        <v>152</v>
      </c>
      <c r="C566" t="s">
        <v>113</v>
      </c>
      <c r="D566">
        <v>1</v>
      </c>
      <c r="E566" s="15">
        <v>0</v>
      </c>
    </row>
    <row r="567" spans="1:5" x14ac:dyDescent="0.2">
      <c r="A567">
        <v>2019</v>
      </c>
      <c r="B567" t="s">
        <v>152</v>
      </c>
      <c r="C567" t="s">
        <v>114</v>
      </c>
      <c r="D567">
        <v>2</v>
      </c>
      <c r="E567" s="15">
        <v>21</v>
      </c>
    </row>
    <row r="568" spans="1:5" x14ac:dyDescent="0.2">
      <c r="A568">
        <v>2019</v>
      </c>
      <c r="B568" t="s">
        <v>152</v>
      </c>
      <c r="C568" t="s">
        <v>115</v>
      </c>
      <c r="D568">
        <v>3</v>
      </c>
      <c r="E568" s="15">
        <v>81</v>
      </c>
    </row>
    <row r="569" spans="1:5" x14ac:dyDescent="0.2">
      <c r="A569">
        <v>2019</v>
      </c>
      <c r="B569" t="s">
        <v>152</v>
      </c>
      <c r="C569" t="s">
        <v>116</v>
      </c>
      <c r="D569">
        <v>4</v>
      </c>
      <c r="E569" s="15">
        <v>101</v>
      </c>
    </row>
    <row r="570" spans="1:5" x14ac:dyDescent="0.2">
      <c r="A570">
        <v>2019</v>
      </c>
      <c r="B570" t="s">
        <v>152</v>
      </c>
      <c r="C570" t="s">
        <v>117</v>
      </c>
      <c r="D570">
        <v>5</v>
      </c>
      <c r="E570" s="15">
        <v>596</v>
      </c>
    </row>
    <row r="571" spans="1:5" x14ac:dyDescent="0.2">
      <c r="A571">
        <v>2019</v>
      </c>
      <c r="B571" t="s">
        <v>152</v>
      </c>
      <c r="C571" t="s">
        <v>118</v>
      </c>
      <c r="D571">
        <v>6</v>
      </c>
      <c r="E571" s="15">
        <v>2021</v>
      </c>
    </row>
    <row r="572" spans="1:5" x14ac:dyDescent="0.2">
      <c r="A572">
        <v>2019</v>
      </c>
      <c r="B572" t="s">
        <v>152</v>
      </c>
      <c r="C572" t="s">
        <v>119</v>
      </c>
      <c r="D572">
        <v>7</v>
      </c>
      <c r="E572" s="15">
        <v>1728</v>
      </c>
    </row>
    <row r="573" spans="1:5" x14ac:dyDescent="0.2">
      <c r="A573">
        <v>2019</v>
      </c>
      <c r="B573" t="s">
        <v>152</v>
      </c>
      <c r="C573" t="s">
        <v>120</v>
      </c>
      <c r="D573">
        <v>8</v>
      </c>
      <c r="E573" s="15">
        <v>5343</v>
      </c>
    </row>
    <row r="574" spans="1:5" x14ac:dyDescent="0.2">
      <c r="A574">
        <v>2019</v>
      </c>
      <c r="B574" t="s">
        <v>152</v>
      </c>
      <c r="C574" t="s">
        <v>121</v>
      </c>
      <c r="D574">
        <v>9</v>
      </c>
      <c r="E574" s="15">
        <v>3877</v>
      </c>
    </row>
    <row r="575" spans="1:5" x14ac:dyDescent="0.2">
      <c r="A575">
        <v>2019</v>
      </c>
      <c r="B575" t="s">
        <v>152</v>
      </c>
      <c r="C575" t="s">
        <v>122</v>
      </c>
      <c r="D575">
        <v>10</v>
      </c>
      <c r="E575" s="15">
        <v>2908</v>
      </c>
    </row>
    <row r="576" spans="1:5" x14ac:dyDescent="0.2">
      <c r="A576">
        <v>2019</v>
      </c>
      <c r="B576" t="s">
        <v>152</v>
      </c>
      <c r="C576" t="s">
        <v>123</v>
      </c>
      <c r="D576">
        <v>11</v>
      </c>
      <c r="E576" s="15">
        <v>5299</v>
      </c>
    </row>
    <row r="577" spans="1:5" x14ac:dyDescent="0.2">
      <c r="A577">
        <v>2020</v>
      </c>
      <c r="B577" t="s">
        <v>140</v>
      </c>
      <c r="C577" t="s">
        <v>113</v>
      </c>
      <c r="D577">
        <v>1</v>
      </c>
      <c r="E577" s="15">
        <v>265</v>
      </c>
    </row>
    <row r="578" spans="1:5" x14ac:dyDescent="0.2">
      <c r="A578">
        <v>2020</v>
      </c>
      <c r="B578" t="s">
        <v>140</v>
      </c>
      <c r="C578" t="s">
        <v>114</v>
      </c>
      <c r="D578">
        <v>2</v>
      </c>
      <c r="E578" s="15">
        <v>3324</v>
      </c>
    </row>
    <row r="579" spans="1:5" x14ac:dyDescent="0.2">
      <c r="A579">
        <v>2020</v>
      </c>
      <c r="B579" t="s">
        <v>140</v>
      </c>
      <c r="C579" t="s">
        <v>115</v>
      </c>
      <c r="D579">
        <v>3</v>
      </c>
      <c r="E579" s="15">
        <v>2465</v>
      </c>
    </row>
    <row r="580" spans="1:5" x14ac:dyDescent="0.2">
      <c r="A580">
        <v>2020</v>
      </c>
      <c r="B580" t="s">
        <v>140</v>
      </c>
      <c r="C580" t="s">
        <v>116</v>
      </c>
      <c r="D580">
        <v>4</v>
      </c>
      <c r="E580" s="15">
        <v>1000</v>
      </c>
    </row>
    <row r="581" spans="1:5" x14ac:dyDescent="0.2">
      <c r="A581">
        <v>2020</v>
      </c>
      <c r="B581" t="s">
        <v>140</v>
      </c>
      <c r="C581" t="s">
        <v>117</v>
      </c>
      <c r="D581">
        <v>5</v>
      </c>
      <c r="E581" s="15">
        <v>2962</v>
      </c>
    </row>
    <row r="582" spans="1:5" x14ac:dyDescent="0.2">
      <c r="A582">
        <v>2020</v>
      </c>
      <c r="B582" t="s">
        <v>140</v>
      </c>
      <c r="C582" t="s">
        <v>118</v>
      </c>
      <c r="D582">
        <v>6</v>
      </c>
      <c r="E582" s="15">
        <v>3511</v>
      </c>
    </row>
    <row r="583" spans="1:5" x14ac:dyDescent="0.2">
      <c r="A583">
        <v>2020</v>
      </c>
      <c r="B583" t="s">
        <v>140</v>
      </c>
      <c r="C583" t="s">
        <v>119</v>
      </c>
      <c r="D583">
        <v>7</v>
      </c>
      <c r="E583" s="15">
        <v>2169</v>
      </c>
    </row>
    <row r="584" spans="1:5" x14ac:dyDescent="0.2">
      <c r="A584">
        <v>2020</v>
      </c>
      <c r="B584" t="s">
        <v>140</v>
      </c>
      <c r="C584" t="s">
        <v>120</v>
      </c>
      <c r="D584">
        <v>8</v>
      </c>
      <c r="E584" s="15">
        <v>7162</v>
      </c>
    </row>
    <row r="585" spans="1:5" x14ac:dyDescent="0.2">
      <c r="A585">
        <v>2020</v>
      </c>
      <c r="B585" t="s">
        <v>140</v>
      </c>
      <c r="C585" t="s">
        <v>121</v>
      </c>
      <c r="D585">
        <v>9</v>
      </c>
      <c r="E585" s="15">
        <v>8038</v>
      </c>
    </row>
    <row r="586" spans="1:5" x14ac:dyDescent="0.2">
      <c r="A586">
        <v>2020</v>
      </c>
      <c r="B586" t="s">
        <v>140</v>
      </c>
      <c r="C586" t="s">
        <v>122</v>
      </c>
      <c r="D586">
        <v>10</v>
      </c>
      <c r="E586" s="15">
        <v>8935</v>
      </c>
    </row>
    <row r="587" spans="1:5" x14ac:dyDescent="0.2">
      <c r="A587">
        <v>2020</v>
      </c>
      <c r="B587" t="s">
        <v>140</v>
      </c>
      <c r="C587" t="s">
        <v>123</v>
      </c>
      <c r="D587">
        <v>11</v>
      </c>
      <c r="E587" s="15">
        <v>33537</v>
      </c>
    </row>
    <row r="588" spans="1:5" x14ac:dyDescent="0.2">
      <c r="A588">
        <v>2020</v>
      </c>
      <c r="B588" t="s">
        <v>141</v>
      </c>
      <c r="C588" t="s">
        <v>113</v>
      </c>
      <c r="D588">
        <v>1</v>
      </c>
      <c r="E588" s="15">
        <v>506</v>
      </c>
    </row>
    <row r="589" spans="1:5" x14ac:dyDescent="0.2">
      <c r="A589">
        <v>2020</v>
      </c>
      <c r="B589" t="s">
        <v>141</v>
      </c>
      <c r="C589" t="s">
        <v>114</v>
      </c>
      <c r="D589">
        <v>2</v>
      </c>
      <c r="E589" s="15">
        <v>5110</v>
      </c>
    </row>
    <row r="590" spans="1:5" x14ac:dyDescent="0.2">
      <c r="A590">
        <v>2020</v>
      </c>
      <c r="B590" t="s">
        <v>141</v>
      </c>
      <c r="C590" t="s">
        <v>115</v>
      </c>
      <c r="D590">
        <v>3</v>
      </c>
      <c r="E590" s="15">
        <v>3483</v>
      </c>
    </row>
    <row r="591" spans="1:5" x14ac:dyDescent="0.2">
      <c r="A591">
        <v>2020</v>
      </c>
      <c r="B591" t="s">
        <v>141</v>
      </c>
      <c r="C591" t="s">
        <v>116</v>
      </c>
      <c r="D591">
        <v>4</v>
      </c>
      <c r="E591" s="15">
        <v>1507</v>
      </c>
    </row>
    <row r="592" spans="1:5" x14ac:dyDescent="0.2">
      <c r="A592">
        <v>2020</v>
      </c>
      <c r="B592" t="s">
        <v>141</v>
      </c>
      <c r="C592" t="s">
        <v>117</v>
      </c>
      <c r="D592">
        <v>5</v>
      </c>
      <c r="E592" s="15">
        <v>5058</v>
      </c>
    </row>
    <row r="593" spans="1:5" x14ac:dyDescent="0.2">
      <c r="A593">
        <v>2020</v>
      </c>
      <c r="B593" t="s">
        <v>141</v>
      </c>
      <c r="C593" t="s">
        <v>118</v>
      </c>
      <c r="D593">
        <v>6</v>
      </c>
      <c r="E593" s="15">
        <v>8685</v>
      </c>
    </row>
    <row r="594" spans="1:5" x14ac:dyDescent="0.2">
      <c r="A594">
        <v>2020</v>
      </c>
      <c r="B594" t="s">
        <v>141</v>
      </c>
      <c r="C594" t="s">
        <v>119</v>
      </c>
      <c r="D594">
        <v>7</v>
      </c>
      <c r="E594" s="15">
        <v>5569</v>
      </c>
    </row>
    <row r="595" spans="1:5" x14ac:dyDescent="0.2">
      <c r="A595">
        <v>2020</v>
      </c>
      <c r="B595" t="s">
        <v>141</v>
      </c>
      <c r="C595" t="s">
        <v>120</v>
      </c>
      <c r="D595">
        <v>8</v>
      </c>
      <c r="E595" s="15">
        <v>17562</v>
      </c>
    </row>
    <row r="596" spans="1:5" x14ac:dyDescent="0.2">
      <c r="A596">
        <v>2020</v>
      </c>
      <c r="B596" t="s">
        <v>141</v>
      </c>
      <c r="C596" t="s">
        <v>121</v>
      </c>
      <c r="D596">
        <v>9</v>
      </c>
      <c r="E596" s="15">
        <v>17525</v>
      </c>
    </row>
    <row r="597" spans="1:5" x14ac:dyDescent="0.2">
      <c r="A597">
        <v>2020</v>
      </c>
      <c r="B597" t="s">
        <v>141</v>
      </c>
      <c r="C597" t="s">
        <v>122</v>
      </c>
      <c r="D597">
        <v>10</v>
      </c>
      <c r="E597" s="15">
        <v>17711</v>
      </c>
    </row>
    <row r="598" spans="1:5" x14ac:dyDescent="0.2">
      <c r="A598">
        <v>2020</v>
      </c>
      <c r="B598" t="s">
        <v>141</v>
      </c>
      <c r="C598" t="s">
        <v>123</v>
      </c>
      <c r="D598">
        <v>11</v>
      </c>
      <c r="E598" s="15">
        <v>57419</v>
      </c>
    </row>
    <row r="599" spans="1:5" x14ac:dyDescent="0.2">
      <c r="A599">
        <v>2020</v>
      </c>
      <c r="B599" t="s">
        <v>142</v>
      </c>
      <c r="C599" t="s">
        <v>113</v>
      </c>
      <c r="D599">
        <v>1</v>
      </c>
      <c r="E599" s="15">
        <v>64</v>
      </c>
    </row>
    <row r="600" spans="1:5" x14ac:dyDescent="0.2">
      <c r="A600">
        <v>2020</v>
      </c>
      <c r="B600" t="s">
        <v>142</v>
      </c>
      <c r="C600" t="s">
        <v>114</v>
      </c>
      <c r="D600">
        <v>2</v>
      </c>
      <c r="E600" s="15">
        <v>999</v>
      </c>
    </row>
    <row r="601" spans="1:5" x14ac:dyDescent="0.2">
      <c r="A601">
        <v>2020</v>
      </c>
      <c r="B601" t="s">
        <v>142</v>
      </c>
      <c r="C601" t="s">
        <v>115</v>
      </c>
      <c r="D601">
        <v>3</v>
      </c>
      <c r="E601" s="15">
        <v>666</v>
      </c>
    </row>
    <row r="602" spans="1:5" x14ac:dyDescent="0.2">
      <c r="A602">
        <v>2020</v>
      </c>
      <c r="B602" t="s">
        <v>142</v>
      </c>
      <c r="C602" t="s">
        <v>116</v>
      </c>
      <c r="D602">
        <v>4</v>
      </c>
      <c r="E602" s="15">
        <v>219</v>
      </c>
    </row>
    <row r="603" spans="1:5" x14ac:dyDescent="0.2">
      <c r="A603">
        <v>2020</v>
      </c>
      <c r="B603" t="s">
        <v>142</v>
      </c>
      <c r="C603" t="s">
        <v>117</v>
      </c>
      <c r="D603">
        <v>5</v>
      </c>
      <c r="E603" s="15">
        <v>682</v>
      </c>
    </row>
    <row r="604" spans="1:5" x14ac:dyDescent="0.2">
      <c r="A604">
        <v>2020</v>
      </c>
      <c r="B604" t="s">
        <v>142</v>
      </c>
      <c r="C604" t="s">
        <v>118</v>
      </c>
      <c r="D604">
        <v>6</v>
      </c>
      <c r="E604" s="15">
        <v>1354</v>
      </c>
    </row>
    <row r="605" spans="1:5" x14ac:dyDescent="0.2">
      <c r="A605">
        <v>2020</v>
      </c>
      <c r="B605" t="s">
        <v>142</v>
      </c>
      <c r="C605" t="s">
        <v>119</v>
      </c>
      <c r="D605">
        <v>7</v>
      </c>
      <c r="E605" s="15">
        <v>1155</v>
      </c>
    </row>
    <row r="606" spans="1:5" x14ac:dyDescent="0.2">
      <c r="A606">
        <v>2020</v>
      </c>
      <c r="B606" t="s">
        <v>142</v>
      </c>
      <c r="C606" t="s">
        <v>120</v>
      </c>
      <c r="D606">
        <v>8</v>
      </c>
      <c r="E606" s="15">
        <v>3851</v>
      </c>
    </row>
    <row r="607" spans="1:5" x14ac:dyDescent="0.2">
      <c r="A607">
        <v>2020</v>
      </c>
      <c r="B607" t="s">
        <v>142</v>
      </c>
      <c r="C607" t="s">
        <v>121</v>
      </c>
      <c r="D607">
        <v>9</v>
      </c>
      <c r="E607" s="15">
        <v>3562</v>
      </c>
    </row>
    <row r="608" spans="1:5" x14ac:dyDescent="0.2">
      <c r="A608">
        <v>2020</v>
      </c>
      <c r="B608" t="s">
        <v>142</v>
      </c>
      <c r="C608" t="s">
        <v>122</v>
      </c>
      <c r="D608">
        <v>10</v>
      </c>
      <c r="E608" s="15">
        <v>3545</v>
      </c>
    </row>
    <row r="609" spans="1:5" x14ac:dyDescent="0.2">
      <c r="A609">
        <v>2020</v>
      </c>
      <c r="B609" t="s">
        <v>142</v>
      </c>
      <c r="C609" t="s">
        <v>123</v>
      </c>
      <c r="D609">
        <v>11</v>
      </c>
      <c r="E609" s="15">
        <v>9478</v>
      </c>
    </row>
    <row r="610" spans="1:5" x14ac:dyDescent="0.2">
      <c r="A610">
        <v>2020</v>
      </c>
      <c r="B610" t="s">
        <v>143</v>
      </c>
      <c r="C610" t="s">
        <v>113</v>
      </c>
      <c r="D610">
        <v>1</v>
      </c>
      <c r="E610" s="15">
        <v>57</v>
      </c>
    </row>
    <row r="611" spans="1:5" x14ac:dyDescent="0.2">
      <c r="A611">
        <v>2020</v>
      </c>
      <c r="B611" t="s">
        <v>143</v>
      </c>
      <c r="C611" t="s">
        <v>114</v>
      </c>
      <c r="D611">
        <v>2</v>
      </c>
      <c r="E611" s="15">
        <v>1103</v>
      </c>
    </row>
    <row r="612" spans="1:5" x14ac:dyDescent="0.2">
      <c r="A612">
        <v>2020</v>
      </c>
      <c r="B612" t="s">
        <v>143</v>
      </c>
      <c r="C612" t="s">
        <v>115</v>
      </c>
      <c r="D612">
        <v>3</v>
      </c>
      <c r="E612" s="15">
        <v>932</v>
      </c>
    </row>
    <row r="613" spans="1:5" x14ac:dyDescent="0.2">
      <c r="A613">
        <v>2020</v>
      </c>
      <c r="B613" t="s">
        <v>143</v>
      </c>
      <c r="C613" t="s">
        <v>116</v>
      </c>
      <c r="D613">
        <v>4</v>
      </c>
      <c r="E613" s="15">
        <v>310</v>
      </c>
    </row>
    <row r="614" spans="1:5" x14ac:dyDescent="0.2">
      <c r="A614">
        <v>2020</v>
      </c>
      <c r="B614" t="s">
        <v>143</v>
      </c>
      <c r="C614" t="s">
        <v>117</v>
      </c>
      <c r="D614">
        <v>5</v>
      </c>
      <c r="E614" s="15">
        <v>885</v>
      </c>
    </row>
    <row r="615" spans="1:5" x14ac:dyDescent="0.2">
      <c r="A615">
        <v>2020</v>
      </c>
      <c r="B615" t="s">
        <v>143</v>
      </c>
      <c r="C615" t="s">
        <v>118</v>
      </c>
      <c r="D615">
        <v>6</v>
      </c>
      <c r="E615" s="15">
        <v>1014</v>
      </c>
    </row>
    <row r="616" spans="1:5" x14ac:dyDescent="0.2">
      <c r="A616">
        <v>2020</v>
      </c>
      <c r="B616" t="s">
        <v>143</v>
      </c>
      <c r="C616" t="s">
        <v>119</v>
      </c>
      <c r="D616">
        <v>7</v>
      </c>
      <c r="E616" s="15">
        <v>528</v>
      </c>
    </row>
    <row r="617" spans="1:5" x14ac:dyDescent="0.2">
      <c r="A617">
        <v>2020</v>
      </c>
      <c r="B617" t="s">
        <v>143</v>
      </c>
      <c r="C617" t="s">
        <v>120</v>
      </c>
      <c r="D617">
        <v>8</v>
      </c>
      <c r="E617" s="15">
        <v>2287</v>
      </c>
    </row>
    <row r="618" spans="1:5" x14ac:dyDescent="0.2">
      <c r="A618">
        <v>2020</v>
      </c>
      <c r="B618" t="s">
        <v>143</v>
      </c>
      <c r="C618" t="s">
        <v>121</v>
      </c>
      <c r="D618">
        <v>9</v>
      </c>
      <c r="E618" s="15">
        <v>2373</v>
      </c>
    </row>
    <row r="619" spans="1:5" x14ac:dyDescent="0.2">
      <c r="A619">
        <v>2020</v>
      </c>
      <c r="B619" t="s">
        <v>143</v>
      </c>
      <c r="C619" t="s">
        <v>122</v>
      </c>
      <c r="D619">
        <v>10</v>
      </c>
      <c r="E619" s="15">
        <v>2213</v>
      </c>
    </row>
    <row r="620" spans="1:5" x14ac:dyDescent="0.2">
      <c r="A620">
        <v>2020</v>
      </c>
      <c r="B620" t="s">
        <v>143</v>
      </c>
      <c r="C620" t="s">
        <v>123</v>
      </c>
      <c r="D620">
        <v>11</v>
      </c>
      <c r="E620" s="15">
        <v>8810</v>
      </c>
    </row>
    <row r="621" spans="1:5" x14ac:dyDescent="0.2">
      <c r="A621">
        <v>2020</v>
      </c>
      <c r="B621" t="s">
        <v>144</v>
      </c>
      <c r="C621" t="s">
        <v>113</v>
      </c>
      <c r="D621">
        <v>1</v>
      </c>
      <c r="E621" s="15">
        <v>155</v>
      </c>
    </row>
    <row r="622" spans="1:5" x14ac:dyDescent="0.2">
      <c r="A622">
        <v>2020</v>
      </c>
      <c r="B622" t="s">
        <v>144</v>
      </c>
      <c r="C622" t="s">
        <v>114</v>
      </c>
      <c r="D622">
        <v>2</v>
      </c>
      <c r="E622" s="15">
        <v>2064</v>
      </c>
    </row>
    <row r="623" spans="1:5" x14ac:dyDescent="0.2">
      <c r="A623">
        <v>2020</v>
      </c>
      <c r="B623" t="s">
        <v>144</v>
      </c>
      <c r="C623" t="s">
        <v>115</v>
      </c>
      <c r="D623">
        <v>3</v>
      </c>
      <c r="E623" s="15">
        <v>1383</v>
      </c>
    </row>
    <row r="624" spans="1:5" x14ac:dyDescent="0.2">
      <c r="A624">
        <v>2020</v>
      </c>
      <c r="B624" t="s">
        <v>144</v>
      </c>
      <c r="C624" t="s">
        <v>116</v>
      </c>
      <c r="D624">
        <v>4</v>
      </c>
      <c r="E624" s="15">
        <v>579</v>
      </c>
    </row>
    <row r="625" spans="1:5" x14ac:dyDescent="0.2">
      <c r="A625">
        <v>2020</v>
      </c>
      <c r="B625" t="s">
        <v>144</v>
      </c>
      <c r="C625" t="s">
        <v>117</v>
      </c>
      <c r="D625">
        <v>5</v>
      </c>
      <c r="E625" s="15">
        <v>1603</v>
      </c>
    </row>
    <row r="626" spans="1:5" x14ac:dyDescent="0.2">
      <c r="A626">
        <v>2020</v>
      </c>
      <c r="B626" t="s">
        <v>144</v>
      </c>
      <c r="C626" t="s">
        <v>118</v>
      </c>
      <c r="D626">
        <v>6</v>
      </c>
      <c r="E626" s="15">
        <v>2062</v>
      </c>
    </row>
    <row r="627" spans="1:5" x14ac:dyDescent="0.2">
      <c r="A627">
        <v>2020</v>
      </c>
      <c r="B627" t="s">
        <v>144</v>
      </c>
      <c r="C627" t="s">
        <v>119</v>
      </c>
      <c r="D627">
        <v>7</v>
      </c>
      <c r="E627" s="15">
        <v>1477</v>
      </c>
    </row>
    <row r="628" spans="1:5" x14ac:dyDescent="0.2">
      <c r="A628">
        <v>2020</v>
      </c>
      <c r="B628" t="s">
        <v>144</v>
      </c>
      <c r="C628" t="s">
        <v>120</v>
      </c>
      <c r="D628">
        <v>8</v>
      </c>
      <c r="E628" s="15">
        <v>5434</v>
      </c>
    </row>
    <row r="629" spans="1:5" x14ac:dyDescent="0.2">
      <c r="A629">
        <v>2020</v>
      </c>
      <c r="B629" t="s">
        <v>144</v>
      </c>
      <c r="C629" t="s">
        <v>121</v>
      </c>
      <c r="D629">
        <v>9</v>
      </c>
      <c r="E629" s="15">
        <v>5592</v>
      </c>
    </row>
    <row r="630" spans="1:5" x14ac:dyDescent="0.2">
      <c r="A630">
        <v>2020</v>
      </c>
      <c r="B630" t="s">
        <v>144</v>
      </c>
      <c r="C630" t="s">
        <v>122</v>
      </c>
      <c r="D630">
        <v>10</v>
      </c>
      <c r="E630" s="15">
        <v>5872</v>
      </c>
    </row>
    <row r="631" spans="1:5" x14ac:dyDescent="0.2">
      <c r="A631">
        <v>2020</v>
      </c>
      <c r="B631" t="s">
        <v>144</v>
      </c>
      <c r="C631" t="s">
        <v>123</v>
      </c>
      <c r="D631">
        <v>11</v>
      </c>
      <c r="E631" s="15">
        <v>20889</v>
      </c>
    </row>
    <row r="632" spans="1:5" x14ac:dyDescent="0.2">
      <c r="A632">
        <v>2020</v>
      </c>
      <c r="B632" t="s">
        <v>145</v>
      </c>
      <c r="C632" t="s">
        <v>113</v>
      </c>
      <c r="D632">
        <v>1</v>
      </c>
      <c r="E632" s="15">
        <v>12</v>
      </c>
    </row>
    <row r="633" spans="1:5" x14ac:dyDescent="0.2">
      <c r="A633">
        <v>2020</v>
      </c>
      <c r="B633" t="s">
        <v>145</v>
      </c>
      <c r="C633" t="s">
        <v>114</v>
      </c>
      <c r="D633">
        <v>2</v>
      </c>
      <c r="E633" s="15">
        <v>250</v>
      </c>
    </row>
    <row r="634" spans="1:5" x14ac:dyDescent="0.2">
      <c r="A634">
        <v>2020</v>
      </c>
      <c r="B634" t="s">
        <v>145</v>
      </c>
      <c r="C634" t="s">
        <v>115</v>
      </c>
      <c r="D634">
        <v>3</v>
      </c>
      <c r="E634" s="15">
        <v>300</v>
      </c>
    </row>
    <row r="635" spans="1:5" x14ac:dyDescent="0.2">
      <c r="A635">
        <v>2020</v>
      </c>
      <c r="B635" t="s">
        <v>145</v>
      </c>
      <c r="C635" t="s">
        <v>116</v>
      </c>
      <c r="D635">
        <v>4</v>
      </c>
      <c r="E635" s="15">
        <v>112</v>
      </c>
    </row>
    <row r="636" spans="1:5" x14ac:dyDescent="0.2">
      <c r="A636">
        <v>2020</v>
      </c>
      <c r="B636" t="s">
        <v>145</v>
      </c>
      <c r="C636" t="s">
        <v>117</v>
      </c>
      <c r="D636">
        <v>5</v>
      </c>
      <c r="E636" s="15">
        <v>351</v>
      </c>
    </row>
    <row r="637" spans="1:5" x14ac:dyDescent="0.2">
      <c r="A637">
        <v>2020</v>
      </c>
      <c r="B637" t="s">
        <v>145</v>
      </c>
      <c r="C637" t="s">
        <v>118</v>
      </c>
      <c r="D637">
        <v>6</v>
      </c>
      <c r="E637" s="15">
        <v>1053</v>
      </c>
    </row>
    <row r="638" spans="1:5" x14ac:dyDescent="0.2">
      <c r="A638">
        <v>2020</v>
      </c>
      <c r="B638" t="s">
        <v>145</v>
      </c>
      <c r="C638" t="s">
        <v>119</v>
      </c>
      <c r="D638">
        <v>7</v>
      </c>
      <c r="E638" s="15">
        <v>1037</v>
      </c>
    </row>
    <row r="639" spans="1:5" x14ac:dyDescent="0.2">
      <c r="A639">
        <v>2020</v>
      </c>
      <c r="B639" t="s">
        <v>145</v>
      </c>
      <c r="C639" t="s">
        <v>120</v>
      </c>
      <c r="D639">
        <v>8</v>
      </c>
      <c r="E639" s="15">
        <v>3503</v>
      </c>
    </row>
    <row r="640" spans="1:5" x14ac:dyDescent="0.2">
      <c r="A640">
        <v>2020</v>
      </c>
      <c r="B640" t="s">
        <v>145</v>
      </c>
      <c r="C640" t="s">
        <v>121</v>
      </c>
      <c r="D640">
        <v>9</v>
      </c>
      <c r="E640" s="15">
        <v>3083</v>
      </c>
    </row>
    <row r="641" spans="1:5" x14ac:dyDescent="0.2">
      <c r="A641">
        <v>2020</v>
      </c>
      <c r="B641" t="s">
        <v>145</v>
      </c>
      <c r="C641" t="s">
        <v>122</v>
      </c>
      <c r="D641">
        <v>10</v>
      </c>
      <c r="E641" s="15">
        <v>2733</v>
      </c>
    </row>
    <row r="642" spans="1:5" x14ac:dyDescent="0.2">
      <c r="A642">
        <v>2020</v>
      </c>
      <c r="B642" t="s">
        <v>145</v>
      </c>
      <c r="C642" t="s">
        <v>123</v>
      </c>
      <c r="D642">
        <v>11</v>
      </c>
      <c r="E642" s="15">
        <v>5696</v>
      </c>
    </row>
    <row r="643" spans="1:5" x14ac:dyDescent="0.2">
      <c r="A643">
        <v>2020</v>
      </c>
      <c r="B643" t="s">
        <v>146</v>
      </c>
      <c r="C643" t="s">
        <v>113</v>
      </c>
      <c r="D643">
        <v>1</v>
      </c>
      <c r="E643" s="15">
        <v>192</v>
      </c>
    </row>
    <row r="644" spans="1:5" x14ac:dyDescent="0.2">
      <c r="A644">
        <v>2020</v>
      </c>
      <c r="B644" t="s">
        <v>146</v>
      </c>
      <c r="C644" t="s">
        <v>114</v>
      </c>
      <c r="D644">
        <v>2</v>
      </c>
      <c r="E644" s="15">
        <v>2144</v>
      </c>
    </row>
    <row r="645" spans="1:5" x14ac:dyDescent="0.2">
      <c r="A645">
        <v>2020</v>
      </c>
      <c r="B645" t="s">
        <v>146</v>
      </c>
      <c r="C645" t="s">
        <v>115</v>
      </c>
      <c r="D645">
        <v>3</v>
      </c>
      <c r="E645" s="15">
        <v>1591</v>
      </c>
    </row>
    <row r="646" spans="1:5" x14ac:dyDescent="0.2">
      <c r="A646">
        <v>2020</v>
      </c>
      <c r="B646" t="s">
        <v>146</v>
      </c>
      <c r="C646" t="s">
        <v>116</v>
      </c>
      <c r="D646">
        <v>4</v>
      </c>
      <c r="E646" s="15">
        <v>869</v>
      </c>
    </row>
    <row r="647" spans="1:5" x14ac:dyDescent="0.2">
      <c r="A647">
        <v>2020</v>
      </c>
      <c r="B647" t="s">
        <v>146</v>
      </c>
      <c r="C647" t="s">
        <v>117</v>
      </c>
      <c r="D647">
        <v>5</v>
      </c>
      <c r="E647" s="15">
        <v>2189</v>
      </c>
    </row>
    <row r="648" spans="1:5" x14ac:dyDescent="0.2">
      <c r="A648">
        <v>2020</v>
      </c>
      <c r="B648" t="s">
        <v>146</v>
      </c>
      <c r="C648" t="s">
        <v>118</v>
      </c>
      <c r="D648">
        <v>6</v>
      </c>
      <c r="E648" s="15">
        <v>3779</v>
      </c>
    </row>
    <row r="649" spans="1:5" x14ac:dyDescent="0.2">
      <c r="A649">
        <v>2020</v>
      </c>
      <c r="B649" t="s">
        <v>146</v>
      </c>
      <c r="C649" t="s">
        <v>119</v>
      </c>
      <c r="D649">
        <v>7</v>
      </c>
      <c r="E649" s="15">
        <v>2756</v>
      </c>
    </row>
    <row r="650" spans="1:5" x14ac:dyDescent="0.2">
      <c r="A650">
        <v>2020</v>
      </c>
      <c r="B650" t="s">
        <v>146</v>
      </c>
      <c r="C650" t="s">
        <v>120</v>
      </c>
      <c r="D650">
        <v>8</v>
      </c>
      <c r="E650" s="15">
        <v>8771</v>
      </c>
    </row>
    <row r="651" spans="1:5" x14ac:dyDescent="0.2">
      <c r="A651">
        <v>2020</v>
      </c>
      <c r="B651" t="s">
        <v>146</v>
      </c>
      <c r="C651" t="s">
        <v>121</v>
      </c>
      <c r="D651">
        <v>9</v>
      </c>
      <c r="E651" s="15">
        <v>8844</v>
      </c>
    </row>
    <row r="652" spans="1:5" x14ac:dyDescent="0.2">
      <c r="A652">
        <v>2020</v>
      </c>
      <c r="B652" t="s">
        <v>146</v>
      </c>
      <c r="C652" t="s">
        <v>122</v>
      </c>
      <c r="D652">
        <v>10</v>
      </c>
      <c r="E652" s="15">
        <v>8383</v>
      </c>
    </row>
    <row r="653" spans="1:5" x14ac:dyDescent="0.2">
      <c r="A653">
        <v>2020</v>
      </c>
      <c r="B653" t="s">
        <v>146</v>
      </c>
      <c r="C653" t="s">
        <v>123</v>
      </c>
      <c r="D653">
        <v>11</v>
      </c>
      <c r="E653" s="15">
        <v>32294</v>
      </c>
    </row>
    <row r="654" spans="1:5" x14ac:dyDescent="0.2">
      <c r="A654">
        <v>2020</v>
      </c>
      <c r="B654" t="s">
        <v>147</v>
      </c>
      <c r="C654" t="s">
        <v>113</v>
      </c>
      <c r="D654">
        <v>1</v>
      </c>
      <c r="E654" s="15">
        <v>428</v>
      </c>
    </row>
    <row r="655" spans="1:5" x14ac:dyDescent="0.2">
      <c r="A655">
        <v>2020</v>
      </c>
      <c r="B655" t="s">
        <v>147</v>
      </c>
      <c r="C655" t="s">
        <v>114</v>
      </c>
      <c r="D655">
        <v>2</v>
      </c>
      <c r="E655" s="15">
        <v>4103</v>
      </c>
    </row>
    <row r="656" spans="1:5" x14ac:dyDescent="0.2">
      <c r="A656">
        <v>2020</v>
      </c>
      <c r="B656" t="s">
        <v>147</v>
      </c>
      <c r="C656" t="s">
        <v>115</v>
      </c>
      <c r="D656">
        <v>3</v>
      </c>
      <c r="E656" s="15">
        <v>3553</v>
      </c>
    </row>
    <row r="657" spans="1:5" x14ac:dyDescent="0.2">
      <c r="A657">
        <v>2020</v>
      </c>
      <c r="B657" t="s">
        <v>147</v>
      </c>
      <c r="C657" t="s">
        <v>116</v>
      </c>
      <c r="D657">
        <v>4</v>
      </c>
      <c r="E657" s="15">
        <v>1580</v>
      </c>
    </row>
    <row r="658" spans="1:5" x14ac:dyDescent="0.2">
      <c r="A658">
        <v>2020</v>
      </c>
      <c r="B658" t="s">
        <v>147</v>
      </c>
      <c r="C658" t="s">
        <v>117</v>
      </c>
      <c r="D658">
        <v>5</v>
      </c>
      <c r="E658" s="15">
        <v>4842</v>
      </c>
    </row>
    <row r="659" spans="1:5" x14ac:dyDescent="0.2">
      <c r="A659">
        <v>2020</v>
      </c>
      <c r="B659" t="s">
        <v>147</v>
      </c>
      <c r="C659" t="s">
        <v>118</v>
      </c>
      <c r="D659">
        <v>6</v>
      </c>
      <c r="E659" s="15">
        <v>7588</v>
      </c>
    </row>
    <row r="660" spans="1:5" x14ac:dyDescent="0.2">
      <c r="A660">
        <v>2020</v>
      </c>
      <c r="B660" t="s">
        <v>147</v>
      </c>
      <c r="C660" t="s">
        <v>119</v>
      </c>
      <c r="D660">
        <v>7</v>
      </c>
      <c r="E660" s="15">
        <v>4730</v>
      </c>
    </row>
    <row r="661" spans="1:5" x14ac:dyDescent="0.2">
      <c r="A661">
        <v>2020</v>
      </c>
      <c r="B661" t="s">
        <v>147</v>
      </c>
      <c r="C661" t="s">
        <v>120</v>
      </c>
      <c r="D661">
        <v>8</v>
      </c>
      <c r="E661" s="15">
        <v>15102</v>
      </c>
    </row>
    <row r="662" spans="1:5" x14ac:dyDescent="0.2">
      <c r="A662">
        <v>2020</v>
      </c>
      <c r="B662" t="s">
        <v>147</v>
      </c>
      <c r="C662" t="s">
        <v>121</v>
      </c>
      <c r="D662">
        <v>9</v>
      </c>
      <c r="E662" s="15">
        <v>16764</v>
      </c>
    </row>
    <row r="663" spans="1:5" x14ac:dyDescent="0.2">
      <c r="A663">
        <v>2020</v>
      </c>
      <c r="B663" t="s">
        <v>147</v>
      </c>
      <c r="C663" t="s">
        <v>122</v>
      </c>
      <c r="D663">
        <v>10</v>
      </c>
      <c r="E663" s="15">
        <v>17068</v>
      </c>
    </row>
    <row r="664" spans="1:5" x14ac:dyDescent="0.2">
      <c r="A664">
        <v>2020</v>
      </c>
      <c r="B664" t="s">
        <v>147</v>
      </c>
      <c r="C664" t="s">
        <v>123</v>
      </c>
      <c r="D664">
        <v>11</v>
      </c>
      <c r="E664" s="15">
        <v>62372</v>
      </c>
    </row>
    <row r="665" spans="1:5" x14ac:dyDescent="0.2">
      <c r="A665">
        <v>2020</v>
      </c>
      <c r="B665" t="s">
        <v>148</v>
      </c>
      <c r="C665" t="s">
        <v>113</v>
      </c>
      <c r="D665">
        <v>1</v>
      </c>
      <c r="E665" s="15">
        <v>103</v>
      </c>
    </row>
    <row r="666" spans="1:5" x14ac:dyDescent="0.2">
      <c r="A666">
        <v>2020</v>
      </c>
      <c r="B666" t="s">
        <v>148</v>
      </c>
      <c r="C666" t="s">
        <v>114</v>
      </c>
      <c r="D666">
        <v>2</v>
      </c>
      <c r="E666" s="15">
        <v>1034</v>
      </c>
    </row>
    <row r="667" spans="1:5" x14ac:dyDescent="0.2">
      <c r="A667">
        <v>2020</v>
      </c>
      <c r="B667" t="s">
        <v>148</v>
      </c>
      <c r="C667" t="s">
        <v>115</v>
      </c>
      <c r="D667">
        <v>3</v>
      </c>
      <c r="E667" s="15">
        <v>689</v>
      </c>
    </row>
    <row r="668" spans="1:5" x14ac:dyDescent="0.2">
      <c r="A668">
        <v>2020</v>
      </c>
      <c r="B668" t="s">
        <v>148</v>
      </c>
      <c r="C668" t="s">
        <v>116</v>
      </c>
      <c r="D668">
        <v>4</v>
      </c>
      <c r="E668" s="15">
        <v>355</v>
      </c>
    </row>
    <row r="669" spans="1:5" x14ac:dyDescent="0.2">
      <c r="A669">
        <v>2020</v>
      </c>
      <c r="B669" t="s">
        <v>148</v>
      </c>
      <c r="C669" t="s">
        <v>117</v>
      </c>
      <c r="D669">
        <v>5</v>
      </c>
      <c r="E669" s="15">
        <v>948</v>
      </c>
    </row>
    <row r="670" spans="1:5" x14ac:dyDescent="0.2">
      <c r="A670">
        <v>2020</v>
      </c>
      <c r="B670" t="s">
        <v>148</v>
      </c>
      <c r="C670" t="s">
        <v>118</v>
      </c>
      <c r="D670">
        <v>6</v>
      </c>
      <c r="E670" s="15">
        <v>1339</v>
      </c>
    </row>
    <row r="671" spans="1:5" x14ac:dyDescent="0.2">
      <c r="A671">
        <v>2020</v>
      </c>
      <c r="B671" t="s">
        <v>148</v>
      </c>
      <c r="C671" t="s">
        <v>119</v>
      </c>
      <c r="D671">
        <v>7</v>
      </c>
      <c r="E671" s="15">
        <v>921</v>
      </c>
    </row>
    <row r="672" spans="1:5" x14ac:dyDescent="0.2">
      <c r="A672">
        <v>2020</v>
      </c>
      <c r="B672" t="s">
        <v>148</v>
      </c>
      <c r="C672" t="s">
        <v>120</v>
      </c>
      <c r="D672">
        <v>8</v>
      </c>
      <c r="E672" s="15">
        <v>3190</v>
      </c>
    </row>
    <row r="673" spans="1:5" x14ac:dyDescent="0.2">
      <c r="A673">
        <v>2020</v>
      </c>
      <c r="B673" t="s">
        <v>148</v>
      </c>
      <c r="C673" t="s">
        <v>121</v>
      </c>
      <c r="D673">
        <v>9</v>
      </c>
      <c r="E673" s="15">
        <v>3594</v>
      </c>
    </row>
    <row r="674" spans="1:5" x14ac:dyDescent="0.2">
      <c r="A674">
        <v>2020</v>
      </c>
      <c r="B674" t="s">
        <v>148</v>
      </c>
      <c r="C674" t="s">
        <v>122</v>
      </c>
      <c r="D674">
        <v>10</v>
      </c>
      <c r="E674" s="15">
        <v>3796</v>
      </c>
    </row>
    <row r="675" spans="1:5" x14ac:dyDescent="0.2">
      <c r="A675">
        <v>2020</v>
      </c>
      <c r="B675" t="s">
        <v>148</v>
      </c>
      <c r="C675" t="s">
        <v>123</v>
      </c>
      <c r="D675">
        <v>11</v>
      </c>
      <c r="E675" s="15">
        <v>12912</v>
      </c>
    </row>
    <row r="676" spans="1:5" x14ac:dyDescent="0.2">
      <c r="A676">
        <v>2020</v>
      </c>
      <c r="B676" t="s">
        <v>149</v>
      </c>
      <c r="C676" t="s">
        <v>113</v>
      </c>
      <c r="D676">
        <v>1</v>
      </c>
      <c r="E676" s="15">
        <v>9</v>
      </c>
    </row>
    <row r="677" spans="1:5" x14ac:dyDescent="0.2">
      <c r="A677">
        <v>2020</v>
      </c>
      <c r="B677" t="s">
        <v>149</v>
      </c>
      <c r="C677" t="s">
        <v>114</v>
      </c>
      <c r="D677">
        <v>2</v>
      </c>
      <c r="E677" s="15">
        <v>116</v>
      </c>
    </row>
    <row r="678" spans="1:5" x14ac:dyDescent="0.2">
      <c r="A678">
        <v>2020</v>
      </c>
      <c r="B678" t="s">
        <v>149</v>
      </c>
      <c r="C678" t="s">
        <v>115</v>
      </c>
      <c r="D678">
        <v>3</v>
      </c>
      <c r="E678" s="15">
        <v>73</v>
      </c>
    </row>
    <row r="679" spans="1:5" x14ac:dyDescent="0.2">
      <c r="A679">
        <v>2020</v>
      </c>
      <c r="B679" t="s">
        <v>149</v>
      </c>
      <c r="C679" t="s">
        <v>116</v>
      </c>
      <c r="D679">
        <v>4</v>
      </c>
      <c r="E679" s="15">
        <v>29</v>
      </c>
    </row>
    <row r="680" spans="1:5" x14ac:dyDescent="0.2">
      <c r="A680">
        <v>2020</v>
      </c>
      <c r="B680" t="s">
        <v>149</v>
      </c>
      <c r="C680" t="s">
        <v>117</v>
      </c>
      <c r="D680">
        <v>5</v>
      </c>
      <c r="E680" s="15">
        <v>119</v>
      </c>
    </row>
    <row r="681" spans="1:5" x14ac:dyDescent="0.2">
      <c r="A681">
        <v>2020</v>
      </c>
      <c r="B681" t="s">
        <v>149</v>
      </c>
      <c r="C681" t="s">
        <v>118</v>
      </c>
      <c r="D681">
        <v>6</v>
      </c>
      <c r="E681" s="15">
        <v>132</v>
      </c>
    </row>
    <row r="682" spans="1:5" x14ac:dyDescent="0.2">
      <c r="A682">
        <v>2020</v>
      </c>
      <c r="B682" t="s">
        <v>149</v>
      </c>
      <c r="C682" t="s">
        <v>119</v>
      </c>
      <c r="D682">
        <v>7</v>
      </c>
      <c r="E682" s="15">
        <v>66</v>
      </c>
    </row>
    <row r="683" spans="1:5" x14ac:dyDescent="0.2">
      <c r="A683">
        <v>2020</v>
      </c>
      <c r="B683" t="s">
        <v>149</v>
      </c>
      <c r="C683" t="s">
        <v>120</v>
      </c>
      <c r="D683">
        <v>8</v>
      </c>
      <c r="E683" s="15">
        <v>343</v>
      </c>
    </row>
    <row r="684" spans="1:5" x14ac:dyDescent="0.2">
      <c r="A684">
        <v>2020</v>
      </c>
      <c r="B684" t="s">
        <v>149</v>
      </c>
      <c r="C684" t="s">
        <v>121</v>
      </c>
      <c r="D684">
        <v>9</v>
      </c>
      <c r="E684" s="15">
        <v>319</v>
      </c>
    </row>
    <row r="685" spans="1:5" x14ac:dyDescent="0.2">
      <c r="A685">
        <v>2020</v>
      </c>
      <c r="B685" t="s">
        <v>149</v>
      </c>
      <c r="C685" t="s">
        <v>122</v>
      </c>
      <c r="D685">
        <v>10</v>
      </c>
      <c r="E685" s="15">
        <v>306</v>
      </c>
    </row>
    <row r="686" spans="1:5" x14ac:dyDescent="0.2">
      <c r="A686">
        <v>2020</v>
      </c>
      <c r="B686" t="s">
        <v>149</v>
      </c>
      <c r="C686" t="s">
        <v>123</v>
      </c>
      <c r="D686">
        <v>11</v>
      </c>
      <c r="E686" s="15">
        <v>467</v>
      </c>
    </row>
    <row r="687" spans="1:5" x14ac:dyDescent="0.2">
      <c r="A687">
        <v>2020</v>
      </c>
      <c r="B687" t="s">
        <v>150</v>
      </c>
      <c r="C687" t="s">
        <v>113</v>
      </c>
      <c r="D687">
        <v>1</v>
      </c>
      <c r="E687" s="15">
        <v>30</v>
      </c>
    </row>
    <row r="688" spans="1:5" x14ac:dyDescent="0.2">
      <c r="A688">
        <v>2020</v>
      </c>
      <c r="B688" t="s">
        <v>150</v>
      </c>
      <c r="C688" t="s">
        <v>114</v>
      </c>
      <c r="D688">
        <v>2</v>
      </c>
      <c r="E688" s="15">
        <v>446</v>
      </c>
    </row>
    <row r="689" spans="1:5" x14ac:dyDescent="0.2">
      <c r="A689">
        <v>2020</v>
      </c>
      <c r="B689" t="s">
        <v>150</v>
      </c>
      <c r="C689" t="s">
        <v>115</v>
      </c>
      <c r="D689">
        <v>3</v>
      </c>
      <c r="E689" s="15">
        <v>344</v>
      </c>
    </row>
    <row r="690" spans="1:5" x14ac:dyDescent="0.2">
      <c r="A690">
        <v>2020</v>
      </c>
      <c r="B690" t="s">
        <v>150</v>
      </c>
      <c r="C690" t="s">
        <v>116</v>
      </c>
      <c r="D690">
        <v>4</v>
      </c>
      <c r="E690" s="15">
        <v>146</v>
      </c>
    </row>
    <row r="691" spans="1:5" x14ac:dyDescent="0.2">
      <c r="A691">
        <v>2020</v>
      </c>
      <c r="B691" t="s">
        <v>150</v>
      </c>
      <c r="C691" t="s">
        <v>117</v>
      </c>
      <c r="D691">
        <v>5</v>
      </c>
      <c r="E691" s="15">
        <v>361</v>
      </c>
    </row>
    <row r="692" spans="1:5" x14ac:dyDescent="0.2">
      <c r="A692">
        <v>2020</v>
      </c>
      <c r="B692" t="s">
        <v>150</v>
      </c>
      <c r="C692" t="s">
        <v>118</v>
      </c>
      <c r="D692">
        <v>6</v>
      </c>
      <c r="E692" s="15">
        <v>620</v>
      </c>
    </row>
    <row r="693" spans="1:5" x14ac:dyDescent="0.2">
      <c r="A693">
        <v>2020</v>
      </c>
      <c r="B693" t="s">
        <v>150</v>
      </c>
      <c r="C693" t="s">
        <v>119</v>
      </c>
      <c r="D693">
        <v>7</v>
      </c>
      <c r="E693" s="15">
        <v>548</v>
      </c>
    </row>
    <row r="694" spans="1:5" x14ac:dyDescent="0.2">
      <c r="A694">
        <v>2020</v>
      </c>
      <c r="B694" t="s">
        <v>150</v>
      </c>
      <c r="C694" t="s">
        <v>120</v>
      </c>
      <c r="D694">
        <v>8</v>
      </c>
      <c r="E694" s="15">
        <v>2138</v>
      </c>
    </row>
    <row r="695" spans="1:5" x14ac:dyDescent="0.2">
      <c r="A695">
        <v>2020</v>
      </c>
      <c r="B695" t="s">
        <v>150</v>
      </c>
      <c r="C695" t="s">
        <v>121</v>
      </c>
      <c r="D695">
        <v>9</v>
      </c>
      <c r="E695" s="15">
        <v>1845</v>
      </c>
    </row>
    <row r="696" spans="1:5" x14ac:dyDescent="0.2">
      <c r="A696">
        <v>2020</v>
      </c>
      <c r="B696" t="s">
        <v>150</v>
      </c>
      <c r="C696" t="s">
        <v>122</v>
      </c>
      <c r="D696">
        <v>10</v>
      </c>
      <c r="E696" s="15">
        <v>1673</v>
      </c>
    </row>
    <row r="697" spans="1:5" x14ac:dyDescent="0.2">
      <c r="A697">
        <v>2020</v>
      </c>
      <c r="B697" t="s">
        <v>150</v>
      </c>
      <c r="C697" t="s">
        <v>123</v>
      </c>
      <c r="D697">
        <v>11</v>
      </c>
      <c r="E697" s="15">
        <v>3642</v>
      </c>
    </row>
    <row r="698" spans="1:5" x14ac:dyDescent="0.2">
      <c r="A698">
        <v>2020</v>
      </c>
      <c r="B698" t="s">
        <v>151</v>
      </c>
      <c r="C698" t="s">
        <v>113</v>
      </c>
      <c r="D698">
        <v>1</v>
      </c>
      <c r="E698" s="15">
        <v>119</v>
      </c>
    </row>
    <row r="699" spans="1:5" x14ac:dyDescent="0.2">
      <c r="A699">
        <v>2020</v>
      </c>
      <c r="B699" t="s">
        <v>151</v>
      </c>
      <c r="C699" t="s">
        <v>114</v>
      </c>
      <c r="D699">
        <v>2</v>
      </c>
      <c r="E699" s="15">
        <v>1722</v>
      </c>
    </row>
    <row r="700" spans="1:5" x14ac:dyDescent="0.2">
      <c r="A700">
        <v>2020</v>
      </c>
      <c r="B700" t="s">
        <v>151</v>
      </c>
      <c r="C700" t="s">
        <v>115</v>
      </c>
      <c r="D700">
        <v>3</v>
      </c>
      <c r="E700" s="15">
        <v>1221</v>
      </c>
    </row>
    <row r="701" spans="1:5" x14ac:dyDescent="0.2">
      <c r="A701">
        <v>2020</v>
      </c>
      <c r="B701" t="s">
        <v>151</v>
      </c>
      <c r="C701" t="s">
        <v>116</v>
      </c>
      <c r="D701">
        <v>4</v>
      </c>
      <c r="E701" s="15">
        <v>578</v>
      </c>
    </row>
    <row r="702" spans="1:5" x14ac:dyDescent="0.2">
      <c r="A702">
        <v>2020</v>
      </c>
      <c r="B702" t="s">
        <v>151</v>
      </c>
      <c r="C702" t="s">
        <v>117</v>
      </c>
      <c r="D702">
        <v>5</v>
      </c>
      <c r="E702" s="15">
        <v>1542</v>
      </c>
    </row>
    <row r="703" spans="1:5" x14ac:dyDescent="0.2">
      <c r="A703">
        <v>2020</v>
      </c>
      <c r="B703" t="s">
        <v>151</v>
      </c>
      <c r="C703" t="s">
        <v>118</v>
      </c>
      <c r="D703">
        <v>6</v>
      </c>
      <c r="E703" s="15">
        <v>2481</v>
      </c>
    </row>
    <row r="704" spans="1:5" x14ac:dyDescent="0.2">
      <c r="A704">
        <v>2020</v>
      </c>
      <c r="B704" t="s">
        <v>151</v>
      </c>
      <c r="C704" t="s">
        <v>119</v>
      </c>
      <c r="D704">
        <v>7</v>
      </c>
      <c r="E704" s="15">
        <v>1824</v>
      </c>
    </row>
    <row r="705" spans="1:5" x14ac:dyDescent="0.2">
      <c r="A705">
        <v>2020</v>
      </c>
      <c r="B705" t="s">
        <v>151</v>
      </c>
      <c r="C705" t="s">
        <v>120</v>
      </c>
      <c r="D705">
        <v>8</v>
      </c>
      <c r="E705" s="15">
        <v>6526</v>
      </c>
    </row>
    <row r="706" spans="1:5" x14ac:dyDescent="0.2">
      <c r="A706">
        <v>2020</v>
      </c>
      <c r="B706" t="s">
        <v>151</v>
      </c>
      <c r="C706" t="s">
        <v>121</v>
      </c>
      <c r="D706">
        <v>9</v>
      </c>
      <c r="E706" s="15">
        <v>6632</v>
      </c>
    </row>
    <row r="707" spans="1:5" x14ac:dyDescent="0.2">
      <c r="A707">
        <v>2020</v>
      </c>
      <c r="B707" t="s">
        <v>151</v>
      </c>
      <c r="C707" t="s">
        <v>122</v>
      </c>
      <c r="D707">
        <v>10</v>
      </c>
      <c r="E707" s="15">
        <v>6164</v>
      </c>
    </row>
    <row r="708" spans="1:5" x14ac:dyDescent="0.2">
      <c r="A708">
        <v>2020</v>
      </c>
      <c r="B708" t="s">
        <v>151</v>
      </c>
      <c r="C708" t="s">
        <v>123</v>
      </c>
      <c r="D708">
        <v>11</v>
      </c>
      <c r="E708" s="15">
        <v>21901</v>
      </c>
    </row>
    <row r="709" spans="1:5" x14ac:dyDescent="0.2">
      <c r="A709">
        <v>2020</v>
      </c>
      <c r="B709" t="s">
        <v>152</v>
      </c>
      <c r="C709" t="s">
        <v>113</v>
      </c>
      <c r="D709">
        <v>1</v>
      </c>
      <c r="E709" s="15">
        <v>0</v>
      </c>
    </row>
    <row r="710" spans="1:5" x14ac:dyDescent="0.2">
      <c r="A710">
        <v>2020</v>
      </c>
      <c r="B710" t="s">
        <v>152</v>
      </c>
      <c r="C710" t="s">
        <v>114</v>
      </c>
      <c r="D710">
        <v>2</v>
      </c>
      <c r="E710" s="15">
        <v>40</v>
      </c>
    </row>
    <row r="711" spans="1:5" x14ac:dyDescent="0.2">
      <c r="A711">
        <v>2020</v>
      </c>
      <c r="B711" t="s">
        <v>152</v>
      </c>
      <c r="C711" t="s">
        <v>115</v>
      </c>
      <c r="D711">
        <v>3</v>
      </c>
      <c r="E711" s="15">
        <v>117</v>
      </c>
    </row>
    <row r="712" spans="1:5" x14ac:dyDescent="0.2">
      <c r="A712">
        <v>2020</v>
      </c>
      <c r="B712" t="s">
        <v>152</v>
      </c>
      <c r="C712" t="s">
        <v>116</v>
      </c>
      <c r="D712">
        <v>4</v>
      </c>
      <c r="E712" s="15">
        <v>135</v>
      </c>
    </row>
    <row r="713" spans="1:5" x14ac:dyDescent="0.2">
      <c r="A713">
        <v>2020</v>
      </c>
      <c r="B713" t="s">
        <v>152</v>
      </c>
      <c r="C713" t="s">
        <v>117</v>
      </c>
      <c r="D713">
        <v>5</v>
      </c>
      <c r="E713" s="15">
        <v>742</v>
      </c>
    </row>
    <row r="714" spans="1:5" x14ac:dyDescent="0.2">
      <c r="A714">
        <v>2020</v>
      </c>
      <c r="B714" t="s">
        <v>152</v>
      </c>
      <c r="C714" t="s">
        <v>118</v>
      </c>
      <c r="D714">
        <v>6</v>
      </c>
      <c r="E714" s="15">
        <v>2367</v>
      </c>
    </row>
    <row r="715" spans="1:5" x14ac:dyDescent="0.2">
      <c r="A715">
        <v>2020</v>
      </c>
      <c r="B715" t="s">
        <v>152</v>
      </c>
      <c r="C715" t="s">
        <v>119</v>
      </c>
      <c r="D715">
        <v>7</v>
      </c>
      <c r="E715" s="15">
        <v>1763</v>
      </c>
    </row>
    <row r="716" spans="1:5" x14ac:dyDescent="0.2">
      <c r="A716">
        <v>2020</v>
      </c>
      <c r="B716" t="s">
        <v>152</v>
      </c>
      <c r="C716" t="s">
        <v>120</v>
      </c>
      <c r="D716">
        <v>8</v>
      </c>
      <c r="E716" s="15">
        <v>5184</v>
      </c>
    </row>
    <row r="717" spans="1:5" x14ac:dyDescent="0.2">
      <c r="A717">
        <v>2020</v>
      </c>
      <c r="B717" t="s">
        <v>152</v>
      </c>
      <c r="C717" t="s">
        <v>121</v>
      </c>
      <c r="D717">
        <v>9</v>
      </c>
      <c r="E717" s="15">
        <v>4002</v>
      </c>
    </row>
    <row r="718" spans="1:5" x14ac:dyDescent="0.2">
      <c r="A718">
        <v>2020</v>
      </c>
      <c r="B718" t="s">
        <v>152</v>
      </c>
      <c r="C718" t="s">
        <v>122</v>
      </c>
      <c r="D718">
        <v>10</v>
      </c>
      <c r="E718" s="15">
        <v>3260</v>
      </c>
    </row>
    <row r="719" spans="1:5" x14ac:dyDescent="0.2">
      <c r="A719">
        <v>2020</v>
      </c>
      <c r="B719" t="s">
        <v>152</v>
      </c>
      <c r="C719" t="s">
        <v>123</v>
      </c>
      <c r="D719">
        <v>11</v>
      </c>
      <c r="E719" s="15">
        <v>5672</v>
      </c>
    </row>
    <row r="720" spans="1:5" x14ac:dyDescent="0.2">
      <c r="A720">
        <v>2021</v>
      </c>
      <c r="B720" t="s">
        <v>140</v>
      </c>
      <c r="C720" t="s">
        <v>113</v>
      </c>
      <c r="D720">
        <v>1</v>
      </c>
      <c r="E720" s="15">
        <v>302</v>
      </c>
    </row>
    <row r="721" spans="1:5" x14ac:dyDescent="0.2">
      <c r="A721">
        <v>2021</v>
      </c>
      <c r="B721" t="s">
        <v>140</v>
      </c>
      <c r="C721" t="s">
        <v>114</v>
      </c>
      <c r="D721">
        <v>2</v>
      </c>
      <c r="E721" s="15">
        <v>3542</v>
      </c>
    </row>
    <row r="722" spans="1:5" x14ac:dyDescent="0.2">
      <c r="A722">
        <v>2021</v>
      </c>
      <c r="B722" t="s">
        <v>140</v>
      </c>
      <c r="C722" t="s">
        <v>115</v>
      </c>
      <c r="D722">
        <v>3</v>
      </c>
      <c r="E722" s="15">
        <v>2632</v>
      </c>
    </row>
    <row r="723" spans="1:5" x14ac:dyDescent="0.2">
      <c r="A723">
        <v>2021</v>
      </c>
      <c r="B723" t="s">
        <v>140</v>
      </c>
      <c r="C723" t="s">
        <v>116</v>
      </c>
      <c r="D723">
        <v>4</v>
      </c>
      <c r="E723" s="15">
        <v>1070</v>
      </c>
    </row>
    <row r="724" spans="1:5" x14ac:dyDescent="0.2">
      <c r="A724">
        <v>2021</v>
      </c>
      <c r="B724" t="s">
        <v>140</v>
      </c>
      <c r="C724" t="s">
        <v>117</v>
      </c>
      <c r="D724">
        <v>5</v>
      </c>
      <c r="E724" s="15">
        <v>3359</v>
      </c>
    </row>
    <row r="725" spans="1:5" x14ac:dyDescent="0.2">
      <c r="A725">
        <v>2021</v>
      </c>
      <c r="B725" t="s">
        <v>140</v>
      </c>
      <c r="C725" t="s">
        <v>118</v>
      </c>
      <c r="D725">
        <v>6</v>
      </c>
      <c r="E725" s="15">
        <v>3910</v>
      </c>
    </row>
    <row r="726" spans="1:5" x14ac:dyDescent="0.2">
      <c r="A726">
        <v>2021</v>
      </c>
      <c r="B726" t="s">
        <v>140</v>
      </c>
      <c r="C726" t="s">
        <v>119</v>
      </c>
      <c r="D726">
        <v>7</v>
      </c>
      <c r="E726" s="15">
        <v>2298</v>
      </c>
    </row>
    <row r="727" spans="1:5" x14ac:dyDescent="0.2">
      <c r="A727">
        <v>2021</v>
      </c>
      <c r="B727" t="s">
        <v>140</v>
      </c>
      <c r="C727" t="s">
        <v>120</v>
      </c>
      <c r="D727">
        <v>8</v>
      </c>
      <c r="E727" s="15">
        <v>7163</v>
      </c>
    </row>
    <row r="728" spans="1:5" x14ac:dyDescent="0.2">
      <c r="A728">
        <v>2021</v>
      </c>
      <c r="B728" t="s">
        <v>140</v>
      </c>
      <c r="C728" t="s">
        <v>121</v>
      </c>
      <c r="D728">
        <v>9</v>
      </c>
      <c r="E728" s="15">
        <v>7894</v>
      </c>
    </row>
    <row r="729" spans="1:5" x14ac:dyDescent="0.2">
      <c r="A729">
        <v>2021</v>
      </c>
      <c r="B729" t="s">
        <v>140</v>
      </c>
      <c r="C729" t="s">
        <v>122</v>
      </c>
      <c r="D729">
        <v>10</v>
      </c>
      <c r="E729" s="15">
        <v>9500</v>
      </c>
    </row>
    <row r="730" spans="1:5" x14ac:dyDescent="0.2">
      <c r="A730">
        <v>2021</v>
      </c>
      <c r="B730" t="s">
        <v>140</v>
      </c>
      <c r="C730" t="s">
        <v>123</v>
      </c>
      <c r="D730">
        <v>11</v>
      </c>
      <c r="E730" s="15">
        <v>34799</v>
      </c>
    </row>
    <row r="731" spans="1:5" x14ac:dyDescent="0.2">
      <c r="A731">
        <v>2021</v>
      </c>
      <c r="B731" t="s">
        <v>141</v>
      </c>
      <c r="C731" t="s">
        <v>113</v>
      </c>
      <c r="D731">
        <v>1</v>
      </c>
      <c r="E731" s="15">
        <v>575</v>
      </c>
    </row>
    <row r="732" spans="1:5" x14ac:dyDescent="0.2">
      <c r="A732">
        <v>2021</v>
      </c>
      <c r="B732" t="s">
        <v>141</v>
      </c>
      <c r="C732" t="s">
        <v>114</v>
      </c>
      <c r="D732">
        <v>2</v>
      </c>
      <c r="E732" s="15">
        <v>5308</v>
      </c>
    </row>
    <row r="733" spans="1:5" x14ac:dyDescent="0.2">
      <c r="A733">
        <v>2021</v>
      </c>
      <c r="B733" t="s">
        <v>141</v>
      </c>
      <c r="C733" t="s">
        <v>115</v>
      </c>
      <c r="D733">
        <v>3</v>
      </c>
      <c r="E733" s="15">
        <v>3619</v>
      </c>
    </row>
    <row r="734" spans="1:5" x14ac:dyDescent="0.2">
      <c r="A734">
        <v>2021</v>
      </c>
      <c r="B734" t="s">
        <v>141</v>
      </c>
      <c r="C734" t="s">
        <v>116</v>
      </c>
      <c r="D734">
        <v>4</v>
      </c>
      <c r="E734" s="15">
        <v>1621</v>
      </c>
    </row>
    <row r="735" spans="1:5" x14ac:dyDescent="0.2">
      <c r="A735">
        <v>2021</v>
      </c>
      <c r="B735" t="s">
        <v>141</v>
      </c>
      <c r="C735" t="s">
        <v>117</v>
      </c>
      <c r="D735">
        <v>5</v>
      </c>
      <c r="E735" s="15">
        <v>5571</v>
      </c>
    </row>
    <row r="736" spans="1:5" x14ac:dyDescent="0.2">
      <c r="A736">
        <v>2021</v>
      </c>
      <c r="B736" t="s">
        <v>141</v>
      </c>
      <c r="C736" t="s">
        <v>118</v>
      </c>
      <c r="D736">
        <v>6</v>
      </c>
      <c r="E736" s="15">
        <v>9436</v>
      </c>
    </row>
    <row r="737" spans="1:5" x14ac:dyDescent="0.2">
      <c r="A737">
        <v>2021</v>
      </c>
      <c r="B737" t="s">
        <v>141</v>
      </c>
      <c r="C737" t="s">
        <v>119</v>
      </c>
      <c r="D737">
        <v>7</v>
      </c>
      <c r="E737" s="15">
        <v>5589</v>
      </c>
    </row>
    <row r="738" spans="1:5" x14ac:dyDescent="0.2">
      <c r="A738">
        <v>2021</v>
      </c>
      <c r="B738" t="s">
        <v>141</v>
      </c>
      <c r="C738" t="s">
        <v>120</v>
      </c>
      <c r="D738">
        <v>8</v>
      </c>
      <c r="E738" s="15">
        <v>17255</v>
      </c>
    </row>
    <row r="739" spans="1:5" x14ac:dyDescent="0.2">
      <c r="A739">
        <v>2021</v>
      </c>
      <c r="B739" t="s">
        <v>141</v>
      </c>
      <c r="C739" t="s">
        <v>121</v>
      </c>
      <c r="D739">
        <v>9</v>
      </c>
      <c r="E739" s="15">
        <v>16948</v>
      </c>
    </row>
    <row r="740" spans="1:5" x14ac:dyDescent="0.2">
      <c r="A740">
        <v>2021</v>
      </c>
      <c r="B740" t="s">
        <v>141</v>
      </c>
      <c r="C740" t="s">
        <v>122</v>
      </c>
      <c r="D740">
        <v>10</v>
      </c>
      <c r="E740" s="15">
        <v>18399</v>
      </c>
    </row>
    <row r="741" spans="1:5" x14ac:dyDescent="0.2">
      <c r="A741">
        <v>2021</v>
      </c>
      <c r="B741" t="s">
        <v>141</v>
      </c>
      <c r="C741" t="s">
        <v>123</v>
      </c>
      <c r="D741">
        <v>11</v>
      </c>
      <c r="E741" s="15">
        <v>60270</v>
      </c>
    </row>
    <row r="742" spans="1:5" x14ac:dyDescent="0.2">
      <c r="A742">
        <v>2021</v>
      </c>
      <c r="B742" t="s">
        <v>142</v>
      </c>
      <c r="C742" t="s">
        <v>113</v>
      </c>
      <c r="D742">
        <v>1</v>
      </c>
      <c r="E742" s="15">
        <v>77</v>
      </c>
    </row>
    <row r="743" spans="1:5" x14ac:dyDescent="0.2">
      <c r="A743">
        <v>2021</v>
      </c>
      <c r="B743" t="s">
        <v>142</v>
      </c>
      <c r="C743" t="s">
        <v>114</v>
      </c>
      <c r="D743">
        <v>2</v>
      </c>
      <c r="E743" s="15">
        <v>1007</v>
      </c>
    </row>
    <row r="744" spans="1:5" x14ac:dyDescent="0.2">
      <c r="A744">
        <v>2021</v>
      </c>
      <c r="B744" t="s">
        <v>142</v>
      </c>
      <c r="C744" t="s">
        <v>115</v>
      </c>
      <c r="D744">
        <v>3</v>
      </c>
      <c r="E744" s="15">
        <v>802</v>
      </c>
    </row>
    <row r="745" spans="1:5" x14ac:dyDescent="0.2">
      <c r="A745">
        <v>2021</v>
      </c>
      <c r="B745" t="s">
        <v>142</v>
      </c>
      <c r="C745" t="s">
        <v>116</v>
      </c>
      <c r="D745">
        <v>4</v>
      </c>
      <c r="E745" s="15">
        <v>263</v>
      </c>
    </row>
    <row r="746" spans="1:5" x14ac:dyDescent="0.2">
      <c r="A746">
        <v>2021</v>
      </c>
      <c r="B746" t="s">
        <v>142</v>
      </c>
      <c r="C746" t="s">
        <v>117</v>
      </c>
      <c r="D746">
        <v>5</v>
      </c>
      <c r="E746" s="15">
        <v>794</v>
      </c>
    </row>
    <row r="747" spans="1:5" x14ac:dyDescent="0.2">
      <c r="A747">
        <v>2021</v>
      </c>
      <c r="B747" t="s">
        <v>142</v>
      </c>
      <c r="C747" t="s">
        <v>118</v>
      </c>
      <c r="D747">
        <v>6</v>
      </c>
      <c r="E747" s="15">
        <v>1529</v>
      </c>
    </row>
    <row r="748" spans="1:5" x14ac:dyDescent="0.2">
      <c r="A748">
        <v>2021</v>
      </c>
      <c r="B748" t="s">
        <v>142</v>
      </c>
      <c r="C748" t="s">
        <v>119</v>
      </c>
      <c r="D748">
        <v>7</v>
      </c>
      <c r="E748" s="15">
        <v>1137</v>
      </c>
    </row>
    <row r="749" spans="1:5" x14ac:dyDescent="0.2">
      <c r="A749">
        <v>2021</v>
      </c>
      <c r="B749" t="s">
        <v>142</v>
      </c>
      <c r="C749" t="s">
        <v>120</v>
      </c>
      <c r="D749">
        <v>8</v>
      </c>
      <c r="E749" s="15">
        <v>3774</v>
      </c>
    </row>
    <row r="750" spans="1:5" x14ac:dyDescent="0.2">
      <c r="A750">
        <v>2021</v>
      </c>
      <c r="B750" t="s">
        <v>142</v>
      </c>
      <c r="C750" t="s">
        <v>121</v>
      </c>
      <c r="D750">
        <v>9</v>
      </c>
      <c r="E750" s="15">
        <v>3532</v>
      </c>
    </row>
    <row r="751" spans="1:5" x14ac:dyDescent="0.2">
      <c r="A751">
        <v>2021</v>
      </c>
      <c r="B751" t="s">
        <v>142</v>
      </c>
      <c r="C751" t="s">
        <v>122</v>
      </c>
      <c r="D751">
        <v>10</v>
      </c>
      <c r="E751" s="15">
        <v>3818</v>
      </c>
    </row>
    <row r="752" spans="1:5" x14ac:dyDescent="0.2">
      <c r="A752">
        <v>2021</v>
      </c>
      <c r="B752" t="s">
        <v>142</v>
      </c>
      <c r="C752" t="s">
        <v>123</v>
      </c>
      <c r="D752">
        <v>11</v>
      </c>
      <c r="E752" s="15">
        <v>10013</v>
      </c>
    </row>
    <row r="753" spans="1:5" x14ac:dyDescent="0.2">
      <c r="A753">
        <v>2021</v>
      </c>
      <c r="B753" t="s">
        <v>143</v>
      </c>
      <c r="C753" t="s">
        <v>113</v>
      </c>
      <c r="D753">
        <v>1</v>
      </c>
      <c r="E753" s="15">
        <v>79</v>
      </c>
    </row>
    <row r="754" spans="1:5" x14ac:dyDescent="0.2">
      <c r="A754">
        <v>2021</v>
      </c>
      <c r="B754" t="s">
        <v>143</v>
      </c>
      <c r="C754" t="s">
        <v>114</v>
      </c>
      <c r="D754">
        <v>2</v>
      </c>
      <c r="E754" s="15">
        <v>1138</v>
      </c>
    </row>
    <row r="755" spans="1:5" x14ac:dyDescent="0.2">
      <c r="A755">
        <v>2021</v>
      </c>
      <c r="B755" t="s">
        <v>143</v>
      </c>
      <c r="C755" t="s">
        <v>115</v>
      </c>
      <c r="D755">
        <v>3</v>
      </c>
      <c r="E755" s="15">
        <v>1003</v>
      </c>
    </row>
    <row r="756" spans="1:5" x14ac:dyDescent="0.2">
      <c r="A756">
        <v>2021</v>
      </c>
      <c r="B756" t="s">
        <v>143</v>
      </c>
      <c r="C756" t="s">
        <v>116</v>
      </c>
      <c r="D756">
        <v>4</v>
      </c>
      <c r="E756" s="15">
        <v>399</v>
      </c>
    </row>
    <row r="757" spans="1:5" x14ac:dyDescent="0.2">
      <c r="A757">
        <v>2021</v>
      </c>
      <c r="B757" t="s">
        <v>143</v>
      </c>
      <c r="C757" t="s">
        <v>117</v>
      </c>
      <c r="D757">
        <v>5</v>
      </c>
      <c r="E757" s="15">
        <v>1027</v>
      </c>
    </row>
    <row r="758" spans="1:5" x14ac:dyDescent="0.2">
      <c r="A758">
        <v>2021</v>
      </c>
      <c r="B758" t="s">
        <v>143</v>
      </c>
      <c r="C758" t="s">
        <v>118</v>
      </c>
      <c r="D758">
        <v>6</v>
      </c>
      <c r="E758" s="15">
        <v>1128</v>
      </c>
    </row>
    <row r="759" spans="1:5" x14ac:dyDescent="0.2">
      <c r="A759">
        <v>2021</v>
      </c>
      <c r="B759" t="s">
        <v>143</v>
      </c>
      <c r="C759" t="s">
        <v>119</v>
      </c>
      <c r="D759">
        <v>7</v>
      </c>
      <c r="E759" s="15">
        <v>553</v>
      </c>
    </row>
    <row r="760" spans="1:5" x14ac:dyDescent="0.2">
      <c r="A760">
        <v>2021</v>
      </c>
      <c r="B760" t="s">
        <v>143</v>
      </c>
      <c r="C760" t="s">
        <v>120</v>
      </c>
      <c r="D760">
        <v>8</v>
      </c>
      <c r="E760" s="15">
        <v>2220</v>
      </c>
    </row>
    <row r="761" spans="1:5" x14ac:dyDescent="0.2">
      <c r="A761">
        <v>2021</v>
      </c>
      <c r="B761" t="s">
        <v>143</v>
      </c>
      <c r="C761" t="s">
        <v>121</v>
      </c>
      <c r="D761">
        <v>9</v>
      </c>
      <c r="E761" s="15">
        <v>2419</v>
      </c>
    </row>
    <row r="762" spans="1:5" x14ac:dyDescent="0.2">
      <c r="A762">
        <v>2021</v>
      </c>
      <c r="B762" t="s">
        <v>143</v>
      </c>
      <c r="C762" t="s">
        <v>122</v>
      </c>
      <c r="D762">
        <v>10</v>
      </c>
      <c r="E762" s="15">
        <v>2446</v>
      </c>
    </row>
    <row r="763" spans="1:5" x14ac:dyDescent="0.2">
      <c r="A763">
        <v>2021</v>
      </c>
      <c r="B763" t="s">
        <v>143</v>
      </c>
      <c r="C763" t="s">
        <v>123</v>
      </c>
      <c r="D763">
        <v>11</v>
      </c>
      <c r="E763" s="15">
        <v>9030</v>
      </c>
    </row>
    <row r="764" spans="1:5" x14ac:dyDescent="0.2">
      <c r="A764">
        <v>2021</v>
      </c>
      <c r="B764" t="s">
        <v>144</v>
      </c>
      <c r="C764" t="s">
        <v>113</v>
      </c>
      <c r="D764">
        <v>1</v>
      </c>
      <c r="E764" s="15">
        <v>157</v>
      </c>
    </row>
    <row r="765" spans="1:5" x14ac:dyDescent="0.2">
      <c r="A765">
        <v>2021</v>
      </c>
      <c r="B765" t="s">
        <v>144</v>
      </c>
      <c r="C765" t="s">
        <v>114</v>
      </c>
      <c r="D765">
        <v>2</v>
      </c>
      <c r="E765" s="15">
        <v>2267</v>
      </c>
    </row>
    <row r="766" spans="1:5" x14ac:dyDescent="0.2">
      <c r="A766">
        <v>2021</v>
      </c>
      <c r="B766" t="s">
        <v>144</v>
      </c>
      <c r="C766" t="s">
        <v>115</v>
      </c>
      <c r="D766">
        <v>3</v>
      </c>
      <c r="E766" s="15">
        <v>1472</v>
      </c>
    </row>
    <row r="767" spans="1:5" x14ac:dyDescent="0.2">
      <c r="A767">
        <v>2021</v>
      </c>
      <c r="B767" t="s">
        <v>144</v>
      </c>
      <c r="C767" t="s">
        <v>116</v>
      </c>
      <c r="D767">
        <v>4</v>
      </c>
      <c r="E767" s="15">
        <v>592</v>
      </c>
    </row>
    <row r="768" spans="1:5" x14ac:dyDescent="0.2">
      <c r="A768">
        <v>2021</v>
      </c>
      <c r="B768" t="s">
        <v>144</v>
      </c>
      <c r="C768" t="s">
        <v>117</v>
      </c>
      <c r="D768">
        <v>5</v>
      </c>
      <c r="E768" s="15">
        <v>1810</v>
      </c>
    </row>
    <row r="769" spans="1:5" x14ac:dyDescent="0.2">
      <c r="A769">
        <v>2021</v>
      </c>
      <c r="B769" t="s">
        <v>144</v>
      </c>
      <c r="C769" t="s">
        <v>118</v>
      </c>
      <c r="D769">
        <v>6</v>
      </c>
      <c r="E769" s="15">
        <v>2400</v>
      </c>
    </row>
    <row r="770" spans="1:5" x14ac:dyDescent="0.2">
      <c r="A770">
        <v>2021</v>
      </c>
      <c r="B770" t="s">
        <v>144</v>
      </c>
      <c r="C770" t="s">
        <v>119</v>
      </c>
      <c r="D770">
        <v>7</v>
      </c>
      <c r="E770" s="15">
        <v>1589</v>
      </c>
    </row>
    <row r="771" spans="1:5" x14ac:dyDescent="0.2">
      <c r="A771">
        <v>2021</v>
      </c>
      <c r="B771" t="s">
        <v>144</v>
      </c>
      <c r="C771" t="s">
        <v>120</v>
      </c>
      <c r="D771">
        <v>8</v>
      </c>
      <c r="E771" s="15">
        <v>5529</v>
      </c>
    </row>
    <row r="772" spans="1:5" x14ac:dyDescent="0.2">
      <c r="A772">
        <v>2021</v>
      </c>
      <c r="B772" t="s">
        <v>144</v>
      </c>
      <c r="C772" t="s">
        <v>121</v>
      </c>
      <c r="D772">
        <v>9</v>
      </c>
      <c r="E772" s="15">
        <v>5663</v>
      </c>
    </row>
    <row r="773" spans="1:5" x14ac:dyDescent="0.2">
      <c r="A773">
        <v>2021</v>
      </c>
      <c r="B773" t="s">
        <v>144</v>
      </c>
      <c r="C773" t="s">
        <v>122</v>
      </c>
      <c r="D773">
        <v>10</v>
      </c>
      <c r="E773" s="15">
        <v>6194</v>
      </c>
    </row>
    <row r="774" spans="1:5" x14ac:dyDescent="0.2">
      <c r="A774">
        <v>2021</v>
      </c>
      <c r="B774" t="s">
        <v>144</v>
      </c>
      <c r="C774" t="s">
        <v>123</v>
      </c>
      <c r="D774">
        <v>11</v>
      </c>
      <c r="E774" s="15">
        <v>21707</v>
      </c>
    </row>
    <row r="775" spans="1:5" x14ac:dyDescent="0.2">
      <c r="A775">
        <v>2021</v>
      </c>
      <c r="B775" t="s">
        <v>145</v>
      </c>
      <c r="C775" t="s">
        <v>113</v>
      </c>
      <c r="D775">
        <v>1</v>
      </c>
      <c r="E775" s="15">
        <v>17</v>
      </c>
    </row>
    <row r="776" spans="1:5" x14ac:dyDescent="0.2">
      <c r="A776">
        <v>2021</v>
      </c>
      <c r="B776" t="s">
        <v>145</v>
      </c>
      <c r="C776" t="s">
        <v>114</v>
      </c>
      <c r="D776">
        <v>2</v>
      </c>
      <c r="E776" s="15">
        <v>227</v>
      </c>
    </row>
    <row r="777" spans="1:5" x14ac:dyDescent="0.2">
      <c r="A777">
        <v>2021</v>
      </c>
      <c r="B777" t="s">
        <v>145</v>
      </c>
      <c r="C777" t="s">
        <v>115</v>
      </c>
      <c r="D777">
        <v>3</v>
      </c>
      <c r="E777" s="15">
        <v>314</v>
      </c>
    </row>
    <row r="778" spans="1:5" x14ac:dyDescent="0.2">
      <c r="A778">
        <v>2021</v>
      </c>
      <c r="B778" t="s">
        <v>145</v>
      </c>
      <c r="C778" t="s">
        <v>116</v>
      </c>
      <c r="D778">
        <v>4</v>
      </c>
      <c r="E778" s="15">
        <v>117</v>
      </c>
    </row>
    <row r="779" spans="1:5" x14ac:dyDescent="0.2">
      <c r="A779">
        <v>2021</v>
      </c>
      <c r="B779" t="s">
        <v>145</v>
      </c>
      <c r="C779" t="s">
        <v>117</v>
      </c>
      <c r="D779">
        <v>5</v>
      </c>
      <c r="E779" s="15">
        <v>391</v>
      </c>
    </row>
    <row r="780" spans="1:5" x14ac:dyDescent="0.2">
      <c r="A780">
        <v>2021</v>
      </c>
      <c r="B780" t="s">
        <v>145</v>
      </c>
      <c r="C780" t="s">
        <v>118</v>
      </c>
      <c r="D780">
        <v>6</v>
      </c>
      <c r="E780" s="15">
        <v>977</v>
      </c>
    </row>
    <row r="781" spans="1:5" x14ac:dyDescent="0.2">
      <c r="A781">
        <v>2021</v>
      </c>
      <c r="B781" t="s">
        <v>145</v>
      </c>
      <c r="C781" t="s">
        <v>119</v>
      </c>
      <c r="D781">
        <v>7</v>
      </c>
      <c r="E781" s="15">
        <v>941</v>
      </c>
    </row>
    <row r="782" spans="1:5" x14ac:dyDescent="0.2">
      <c r="A782">
        <v>2021</v>
      </c>
      <c r="B782" t="s">
        <v>145</v>
      </c>
      <c r="C782" t="s">
        <v>120</v>
      </c>
      <c r="D782">
        <v>8</v>
      </c>
      <c r="E782" s="15">
        <v>3297</v>
      </c>
    </row>
    <row r="783" spans="1:5" x14ac:dyDescent="0.2">
      <c r="A783">
        <v>2021</v>
      </c>
      <c r="B783" t="s">
        <v>145</v>
      </c>
      <c r="C783" t="s">
        <v>121</v>
      </c>
      <c r="D783">
        <v>9</v>
      </c>
      <c r="E783" s="15">
        <v>2840</v>
      </c>
    </row>
    <row r="784" spans="1:5" x14ac:dyDescent="0.2">
      <c r="A784">
        <v>2021</v>
      </c>
      <c r="B784" t="s">
        <v>145</v>
      </c>
      <c r="C784" t="s">
        <v>122</v>
      </c>
      <c r="D784">
        <v>10</v>
      </c>
      <c r="E784" s="15">
        <v>2785</v>
      </c>
    </row>
    <row r="785" spans="1:5" x14ac:dyDescent="0.2">
      <c r="A785">
        <v>2021</v>
      </c>
      <c r="B785" t="s">
        <v>145</v>
      </c>
      <c r="C785" t="s">
        <v>123</v>
      </c>
      <c r="D785">
        <v>11</v>
      </c>
      <c r="E785" s="15">
        <v>5792</v>
      </c>
    </row>
    <row r="786" spans="1:5" x14ac:dyDescent="0.2">
      <c r="A786">
        <v>2021</v>
      </c>
      <c r="B786" t="s">
        <v>146</v>
      </c>
      <c r="C786" t="s">
        <v>113</v>
      </c>
      <c r="D786">
        <v>1</v>
      </c>
      <c r="E786" s="15">
        <v>176</v>
      </c>
    </row>
    <row r="787" spans="1:5" x14ac:dyDescent="0.2">
      <c r="A787">
        <v>2021</v>
      </c>
      <c r="B787" t="s">
        <v>146</v>
      </c>
      <c r="C787" t="s">
        <v>114</v>
      </c>
      <c r="D787">
        <v>2</v>
      </c>
      <c r="E787" s="15">
        <v>2287</v>
      </c>
    </row>
    <row r="788" spans="1:5" x14ac:dyDescent="0.2">
      <c r="A788">
        <v>2021</v>
      </c>
      <c r="B788" t="s">
        <v>146</v>
      </c>
      <c r="C788" t="s">
        <v>115</v>
      </c>
      <c r="D788">
        <v>3</v>
      </c>
      <c r="E788" s="15">
        <v>1801</v>
      </c>
    </row>
    <row r="789" spans="1:5" x14ac:dyDescent="0.2">
      <c r="A789">
        <v>2021</v>
      </c>
      <c r="B789" t="s">
        <v>146</v>
      </c>
      <c r="C789" t="s">
        <v>116</v>
      </c>
      <c r="D789">
        <v>4</v>
      </c>
      <c r="E789" s="15">
        <v>832</v>
      </c>
    </row>
    <row r="790" spans="1:5" x14ac:dyDescent="0.2">
      <c r="A790">
        <v>2021</v>
      </c>
      <c r="B790" t="s">
        <v>146</v>
      </c>
      <c r="C790" t="s">
        <v>117</v>
      </c>
      <c r="D790">
        <v>5</v>
      </c>
      <c r="E790" s="15">
        <v>2635</v>
      </c>
    </row>
    <row r="791" spans="1:5" x14ac:dyDescent="0.2">
      <c r="A791">
        <v>2021</v>
      </c>
      <c r="B791" t="s">
        <v>146</v>
      </c>
      <c r="C791" t="s">
        <v>118</v>
      </c>
      <c r="D791">
        <v>6</v>
      </c>
      <c r="E791" s="15">
        <v>4061</v>
      </c>
    </row>
    <row r="792" spans="1:5" x14ac:dyDescent="0.2">
      <c r="A792">
        <v>2021</v>
      </c>
      <c r="B792" t="s">
        <v>146</v>
      </c>
      <c r="C792" t="s">
        <v>119</v>
      </c>
      <c r="D792">
        <v>7</v>
      </c>
      <c r="E792" s="15">
        <v>2812</v>
      </c>
    </row>
    <row r="793" spans="1:5" x14ac:dyDescent="0.2">
      <c r="A793">
        <v>2021</v>
      </c>
      <c r="B793" t="s">
        <v>146</v>
      </c>
      <c r="C793" t="s">
        <v>120</v>
      </c>
      <c r="D793">
        <v>8</v>
      </c>
      <c r="E793" s="15">
        <v>8774</v>
      </c>
    </row>
    <row r="794" spans="1:5" x14ac:dyDescent="0.2">
      <c r="A794">
        <v>2021</v>
      </c>
      <c r="B794" t="s">
        <v>146</v>
      </c>
      <c r="C794" t="s">
        <v>121</v>
      </c>
      <c r="D794">
        <v>9</v>
      </c>
      <c r="E794" s="15">
        <v>9011</v>
      </c>
    </row>
    <row r="795" spans="1:5" x14ac:dyDescent="0.2">
      <c r="A795">
        <v>2021</v>
      </c>
      <c r="B795" t="s">
        <v>146</v>
      </c>
      <c r="C795" t="s">
        <v>122</v>
      </c>
      <c r="D795">
        <v>10</v>
      </c>
      <c r="E795" s="15">
        <v>9231</v>
      </c>
    </row>
    <row r="796" spans="1:5" x14ac:dyDescent="0.2">
      <c r="A796">
        <v>2021</v>
      </c>
      <c r="B796" t="s">
        <v>146</v>
      </c>
      <c r="C796" t="s">
        <v>123</v>
      </c>
      <c r="D796">
        <v>11</v>
      </c>
      <c r="E796" s="15">
        <v>32457</v>
      </c>
    </row>
    <row r="797" spans="1:5" x14ac:dyDescent="0.2">
      <c r="A797">
        <v>2021</v>
      </c>
      <c r="B797" t="s">
        <v>147</v>
      </c>
      <c r="C797" t="s">
        <v>113</v>
      </c>
      <c r="D797">
        <v>1</v>
      </c>
      <c r="E797" s="15">
        <v>439</v>
      </c>
    </row>
    <row r="798" spans="1:5" x14ac:dyDescent="0.2">
      <c r="A798">
        <v>2021</v>
      </c>
      <c r="B798" t="s">
        <v>147</v>
      </c>
      <c r="C798" t="s">
        <v>114</v>
      </c>
      <c r="D798">
        <v>2</v>
      </c>
      <c r="E798" s="15">
        <v>4229</v>
      </c>
    </row>
    <row r="799" spans="1:5" x14ac:dyDescent="0.2">
      <c r="A799">
        <v>2021</v>
      </c>
      <c r="B799" t="s">
        <v>147</v>
      </c>
      <c r="C799" t="s">
        <v>115</v>
      </c>
      <c r="D799">
        <v>3</v>
      </c>
      <c r="E799" s="15">
        <v>3617</v>
      </c>
    </row>
    <row r="800" spans="1:5" x14ac:dyDescent="0.2">
      <c r="A800">
        <v>2021</v>
      </c>
      <c r="B800" t="s">
        <v>147</v>
      </c>
      <c r="C800" t="s">
        <v>116</v>
      </c>
      <c r="D800">
        <v>4</v>
      </c>
      <c r="E800" s="15">
        <v>1733</v>
      </c>
    </row>
    <row r="801" spans="1:5" x14ac:dyDescent="0.2">
      <c r="A801">
        <v>2021</v>
      </c>
      <c r="B801" t="s">
        <v>147</v>
      </c>
      <c r="C801" t="s">
        <v>117</v>
      </c>
      <c r="D801">
        <v>5</v>
      </c>
      <c r="E801" s="15">
        <v>5417</v>
      </c>
    </row>
    <row r="802" spans="1:5" x14ac:dyDescent="0.2">
      <c r="A802">
        <v>2021</v>
      </c>
      <c r="B802" t="s">
        <v>147</v>
      </c>
      <c r="C802" t="s">
        <v>118</v>
      </c>
      <c r="D802">
        <v>6</v>
      </c>
      <c r="E802" s="15">
        <v>8225</v>
      </c>
    </row>
    <row r="803" spans="1:5" x14ac:dyDescent="0.2">
      <c r="A803">
        <v>2021</v>
      </c>
      <c r="B803" t="s">
        <v>147</v>
      </c>
      <c r="C803" t="s">
        <v>119</v>
      </c>
      <c r="D803">
        <v>7</v>
      </c>
      <c r="E803" s="15">
        <v>4735</v>
      </c>
    </row>
    <row r="804" spans="1:5" x14ac:dyDescent="0.2">
      <c r="A804">
        <v>2021</v>
      </c>
      <c r="B804" t="s">
        <v>147</v>
      </c>
      <c r="C804" t="s">
        <v>120</v>
      </c>
      <c r="D804">
        <v>8</v>
      </c>
      <c r="E804" s="15">
        <v>14300</v>
      </c>
    </row>
    <row r="805" spans="1:5" x14ac:dyDescent="0.2">
      <c r="A805">
        <v>2021</v>
      </c>
      <c r="B805" t="s">
        <v>147</v>
      </c>
      <c r="C805" t="s">
        <v>121</v>
      </c>
      <c r="D805">
        <v>9</v>
      </c>
      <c r="E805" s="15">
        <v>16091</v>
      </c>
    </row>
    <row r="806" spans="1:5" x14ac:dyDescent="0.2">
      <c r="A806">
        <v>2021</v>
      </c>
      <c r="B806" t="s">
        <v>147</v>
      </c>
      <c r="C806" t="s">
        <v>122</v>
      </c>
      <c r="D806">
        <v>10</v>
      </c>
      <c r="E806" s="15">
        <v>17691</v>
      </c>
    </row>
    <row r="807" spans="1:5" x14ac:dyDescent="0.2">
      <c r="A807">
        <v>2021</v>
      </c>
      <c r="B807" t="s">
        <v>147</v>
      </c>
      <c r="C807" t="s">
        <v>123</v>
      </c>
      <c r="D807">
        <v>11</v>
      </c>
      <c r="E807" s="15">
        <v>64968</v>
      </c>
    </row>
    <row r="808" spans="1:5" x14ac:dyDescent="0.2">
      <c r="A808">
        <v>2021</v>
      </c>
      <c r="B808" t="s">
        <v>148</v>
      </c>
      <c r="C808" t="s">
        <v>113</v>
      </c>
      <c r="D808">
        <v>1</v>
      </c>
      <c r="E808" s="15">
        <v>138</v>
      </c>
    </row>
    <row r="809" spans="1:5" x14ac:dyDescent="0.2">
      <c r="A809">
        <v>2021</v>
      </c>
      <c r="B809" t="s">
        <v>148</v>
      </c>
      <c r="C809" t="s">
        <v>114</v>
      </c>
      <c r="D809">
        <v>2</v>
      </c>
      <c r="E809" s="15">
        <v>1079</v>
      </c>
    </row>
    <row r="810" spans="1:5" x14ac:dyDescent="0.2">
      <c r="A810">
        <v>2021</v>
      </c>
      <c r="B810" t="s">
        <v>148</v>
      </c>
      <c r="C810" t="s">
        <v>115</v>
      </c>
      <c r="D810">
        <v>3</v>
      </c>
      <c r="E810" s="15">
        <v>751</v>
      </c>
    </row>
    <row r="811" spans="1:5" x14ac:dyDescent="0.2">
      <c r="A811">
        <v>2021</v>
      </c>
      <c r="B811" t="s">
        <v>148</v>
      </c>
      <c r="C811" t="s">
        <v>116</v>
      </c>
      <c r="D811">
        <v>4</v>
      </c>
      <c r="E811" s="15">
        <v>364</v>
      </c>
    </row>
    <row r="812" spans="1:5" x14ac:dyDescent="0.2">
      <c r="A812">
        <v>2021</v>
      </c>
      <c r="B812" t="s">
        <v>148</v>
      </c>
      <c r="C812" t="s">
        <v>117</v>
      </c>
      <c r="D812">
        <v>5</v>
      </c>
      <c r="E812" s="15">
        <v>1107</v>
      </c>
    </row>
    <row r="813" spans="1:5" x14ac:dyDescent="0.2">
      <c r="A813">
        <v>2021</v>
      </c>
      <c r="B813" t="s">
        <v>148</v>
      </c>
      <c r="C813" t="s">
        <v>118</v>
      </c>
      <c r="D813">
        <v>6</v>
      </c>
      <c r="E813" s="15">
        <v>1488</v>
      </c>
    </row>
    <row r="814" spans="1:5" x14ac:dyDescent="0.2">
      <c r="A814">
        <v>2021</v>
      </c>
      <c r="B814" t="s">
        <v>148</v>
      </c>
      <c r="C814" t="s">
        <v>119</v>
      </c>
      <c r="D814">
        <v>7</v>
      </c>
      <c r="E814" s="15">
        <v>986</v>
      </c>
    </row>
    <row r="815" spans="1:5" x14ac:dyDescent="0.2">
      <c r="A815">
        <v>2021</v>
      </c>
      <c r="B815" t="s">
        <v>148</v>
      </c>
      <c r="C815" t="s">
        <v>120</v>
      </c>
      <c r="D815">
        <v>8</v>
      </c>
      <c r="E815" s="15">
        <v>3140</v>
      </c>
    </row>
    <row r="816" spans="1:5" x14ac:dyDescent="0.2">
      <c r="A816">
        <v>2021</v>
      </c>
      <c r="B816" t="s">
        <v>148</v>
      </c>
      <c r="C816" t="s">
        <v>121</v>
      </c>
      <c r="D816">
        <v>9</v>
      </c>
      <c r="E816" s="15">
        <v>3539</v>
      </c>
    </row>
    <row r="817" spans="1:5" x14ac:dyDescent="0.2">
      <c r="A817">
        <v>2021</v>
      </c>
      <c r="B817" t="s">
        <v>148</v>
      </c>
      <c r="C817" t="s">
        <v>122</v>
      </c>
      <c r="D817">
        <v>10</v>
      </c>
      <c r="E817" s="15">
        <v>4017</v>
      </c>
    </row>
    <row r="818" spans="1:5" x14ac:dyDescent="0.2">
      <c r="A818">
        <v>2021</v>
      </c>
      <c r="B818" t="s">
        <v>148</v>
      </c>
      <c r="C818" t="s">
        <v>123</v>
      </c>
      <c r="D818">
        <v>11</v>
      </c>
      <c r="E818" s="15">
        <v>13503</v>
      </c>
    </row>
    <row r="819" spans="1:5" x14ac:dyDescent="0.2">
      <c r="A819">
        <v>2021</v>
      </c>
      <c r="B819" t="s">
        <v>149</v>
      </c>
      <c r="C819" t="s">
        <v>113</v>
      </c>
      <c r="D819">
        <v>1</v>
      </c>
      <c r="E819" s="15">
        <v>11</v>
      </c>
    </row>
    <row r="820" spans="1:5" x14ac:dyDescent="0.2">
      <c r="A820">
        <v>2021</v>
      </c>
      <c r="B820" t="s">
        <v>149</v>
      </c>
      <c r="C820" t="s">
        <v>114</v>
      </c>
      <c r="D820">
        <v>2</v>
      </c>
      <c r="E820" s="15">
        <v>120</v>
      </c>
    </row>
    <row r="821" spans="1:5" x14ac:dyDescent="0.2">
      <c r="A821">
        <v>2021</v>
      </c>
      <c r="B821" t="s">
        <v>149</v>
      </c>
      <c r="C821" t="s">
        <v>115</v>
      </c>
      <c r="D821">
        <v>3</v>
      </c>
      <c r="E821" s="15">
        <v>86</v>
      </c>
    </row>
    <row r="822" spans="1:5" x14ac:dyDescent="0.2">
      <c r="A822">
        <v>2021</v>
      </c>
      <c r="B822" t="s">
        <v>149</v>
      </c>
      <c r="C822" t="s">
        <v>116</v>
      </c>
      <c r="D822">
        <v>4</v>
      </c>
      <c r="E822" s="15">
        <v>31</v>
      </c>
    </row>
    <row r="823" spans="1:5" x14ac:dyDescent="0.2">
      <c r="A823">
        <v>2021</v>
      </c>
      <c r="B823" t="s">
        <v>149</v>
      </c>
      <c r="C823" t="s">
        <v>117</v>
      </c>
      <c r="D823">
        <v>5</v>
      </c>
      <c r="E823" s="15">
        <v>129</v>
      </c>
    </row>
    <row r="824" spans="1:5" x14ac:dyDescent="0.2">
      <c r="A824">
        <v>2021</v>
      </c>
      <c r="B824" t="s">
        <v>149</v>
      </c>
      <c r="C824" t="s">
        <v>118</v>
      </c>
      <c r="D824">
        <v>6</v>
      </c>
      <c r="E824" s="15">
        <v>122</v>
      </c>
    </row>
    <row r="825" spans="1:5" x14ac:dyDescent="0.2">
      <c r="A825">
        <v>2021</v>
      </c>
      <c r="B825" t="s">
        <v>149</v>
      </c>
      <c r="C825" t="s">
        <v>119</v>
      </c>
      <c r="D825">
        <v>7</v>
      </c>
      <c r="E825" s="15">
        <v>82</v>
      </c>
    </row>
    <row r="826" spans="1:5" x14ac:dyDescent="0.2">
      <c r="A826">
        <v>2021</v>
      </c>
      <c r="B826" t="s">
        <v>149</v>
      </c>
      <c r="C826" t="s">
        <v>120</v>
      </c>
      <c r="D826">
        <v>8</v>
      </c>
      <c r="E826" s="15">
        <v>339</v>
      </c>
    </row>
    <row r="827" spans="1:5" x14ac:dyDescent="0.2">
      <c r="A827">
        <v>2021</v>
      </c>
      <c r="B827" t="s">
        <v>149</v>
      </c>
      <c r="C827" t="s">
        <v>121</v>
      </c>
      <c r="D827">
        <v>9</v>
      </c>
      <c r="E827" s="15">
        <v>331</v>
      </c>
    </row>
    <row r="828" spans="1:5" x14ac:dyDescent="0.2">
      <c r="A828">
        <v>2021</v>
      </c>
      <c r="B828" t="s">
        <v>149</v>
      </c>
      <c r="C828" t="s">
        <v>122</v>
      </c>
      <c r="D828">
        <v>10</v>
      </c>
      <c r="E828" s="15">
        <v>347</v>
      </c>
    </row>
    <row r="829" spans="1:5" x14ac:dyDescent="0.2">
      <c r="A829">
        <v>2021</v>
      </c>
      <c r="B829" t="s">
        <v>149</v>
      </c>
      <c r="C829" t="s">
        <v>123</v>
      </c>
      <c r="D829">
        <v>11</v>
      </c>
      <c r="E829" s="15">
        <v>518</v>
      </c>
    </row>
    <row r="830" spans="1:5" x14ac:dyDescent="0.2">
      <c r="A830">
        <v>2021</v>
      </c>
      <c r="B830" t="s">
        <v>150</v>
      </c>
      <c r="C830" t="s">
        <v>113</v>
      </c>
      <c r="D830">
        <v>1</v>
      </c>
      <c r="E830" s="15">
        <v>18</v>
      </c>
    </row>
    <row r="831" spans="1:5" x14ac:dyDescent="0.2">
      <c r="A831">
        <v>2021</v>
      </c>
      <c r="B831" t="s">
        <v>150</v>
      </c>
      <c r="C831" t="s">
        <v>114</v>
      </c>
      <c r="D831">
        <v>2</v>
      </c>
      <c r="E831" s="15">
        <v>455</v>
      </c>
    </row>
    <row r="832" spans="1:5" x14ac:dyDescent="0.2">
      <c r="A832">
        <v>2021</v>
      </c>
      <c r="B832" t="s">
        <v>150</v>
      </c>
      <c r="C832" t="s">
        <v>115</v>
      </c>
      <c r="D832">
        <v>3</v>
      </c>
      <c r="E832" s="15">
        <v>381</v>
      </c>
    </row>
    <row r="833" spans="1:5" x14ac:dyDescent="0.2">
      <c r="A833">
        <v>2021</v>
      </c>
      <c r="B833" t="s">
        <v>150</v>
      </c>
      <c r="C833" t="s">
        <v>116</v>
      </c>
      <c r="D833">
        <v>4</v>
      </c>
      <c r="E833" s="15">
        <v>150</v>
      </c>
    </row>
    <row r="834" spans="1:5" x14ac:dyDescent="0.2">
      <c r="A834">
        <v>2021</v>
      </c>
      <c r="B834" t="s">
        <v>150</v>
      </c>
      <c r="C834" t="s">
        <v>117</v>
      </c>
      <c r="D834">
        <v>5</v>
      </c>
      <c r="E834" s="15">
        <v>421</v>
      </c>
    </row>
    <row r="835" spans="1:5" x14ac:dyDescent="0.2">
      <c r="A835">
        <v>2021</v>
      </c>
      <c r="B835" t="s">
        <v>150</v>
      </c>
      <c r="C835" t="s">
        <v>118</v>
      </c>
      <c r="D835">
        <v>6</v>
      </c>
      <c r="E835" s="15">
        <v>672</v>
      </c>
    </row>
    <row r="836" spans="1:5" x14ac:dyDescent="0.2">
      <c r="A836">
        <v>2021</v>
      </c>
      <c r="B836" t="s">
        <v>150</v>
      </c>
      <c r="C836" t="s">
        <v>119</v>
      </c>
      <c r="D836">
        <v>7</v>
      </c>
      <c r="E836" s="15">
        <v>528</v>
      </c>
    </row>
    <row r="837" spans="1:5" x14ac:dyDescent="0.2">
      <c r="A837">
        <v>2021</v>
      </c>
      <c r="B837" t="s">
        <v>150</v>
      </c>
      <c r="C837" t="s">
        <v>120</v>
      </c>
      <c r="D837">
        <v>8</v>
      </c>
      <c r="E837" s="15">
        <v>2101</v>
      </c>
    </row>
    <row r="838" spans="1:5" x14ac:dyDescent="0.2">
      <c r="A838">
        <v>2021</v>
      </c>
      <c r="B838" t="s">
        <v>150</v>
      </c>
      <c r="C838" t="s">
        <v>121</v>
      </c>
      <c r="D838">
        <v>9</v>
      </c>
      <c r="E838" s="15">
        <v>1925</v>
      </c>
    </row>
    <row r="839" spans="1:5" x14ac:dyDescent="0.2">
      <c r="A839">
        <v>2021</v>
      </c>
      <c r="B839" t="s">
        <v>150</v>
      </c>
      <c r="C839" t="s">
        <v>122</v>
      </c>
      <c r="D839">
        <v>10</v>
      </c>
      <c r="E839" s="15">
        <v>1890</v>
      </c>
    </row>
    <row r="840" spans="1:5" x14ac:dyDescent="0.2">
      <c r="A840">
        <v>2021</v>
      </c>
      <c r="B840" t="s">
        <v>150</v>
      </c>
      <c r="C840" t="s">
        <v>123</v>
      </c>
      <c r="D840">
        <v>11</v>
      </c>
      <c r="E840" s="15">
        <v>3555</v>
      </c>
    </row>
    <row r="841" spans="1:5" x14ac:dyDescent="0.2">
      <c r="A841">
        <v>2021</v>
      </c>
      <c r="B841" t="s">
        <v>151</v>
      </c>
      <c r="C841" t="s">
        <v>113</v>
      </c>
      <c r="D841">
        <v>1</v>
      </c>
      <c r="E841" s="15">
        <v>182</v>
      </c>
    </row>
    <row r="842" spans="1:5" x14ac:dyDescent="0.2">
      <c r="A842">
        <v>2021</v>
      </c>
      <c r="B842" t="s">
        <v>151</v>
      </c>
      <c r="C842" t="s">
        <v>114</v>
      </c>
      <c r="D842">
        <v>2</v>
      </c>
      <c r="E842" s="15">
        <v>1878</v>
      </c>
    </row>
    <row r="843" spans="1:5" x14ac:dyDescent="0.2">
      <c r="A843">
        <v>2021</v>
      </c>
      <c r="B843" t="s">
        <v>151</v>
      </c>
      <c r="C843" t="s">
        <v>115</v>
      </c>
      <c r="D843">
        <v>3</v>
      </c>
      <c r="E843" s="15">
        <v>1542</v>
      </c>
    </row>
    <row r="844" spans="1:5" x14ac:dyDescent="0.2">
      <c r="A844">
        <v>2021</v>
      </c>
      <c r="B844" t="s">
        <v>151</v>
      </c>
      <c r="C844" t="s">
        <v>116</v>
      </c>
      <c r="D844">
        <v>4</v>
      </c>
      <c r="E844" s="15">
        <v>603</v>
      </c>
    </row>
    <row r="845" spans="1:5" x14ac:dyDescent="0.2">
      <c r="A845">
        <v>2021</v>
      </c>
      <c r="B845" t="s">
        <v>151</v>
      </c>
      <c r="C845" t="s">
        <v>117</v>
      </c>
      <c r="D845">
        <v>5</v>
      </c>
      <c r="E845" s="15">
        <v>1838</v>
      </c>
    </row>
    <row r="846" spans="1:5" x14ac:dyDescent="0.2">
      <c r="A846">
        <v>2021</v>
      </c>
      <c r="B846" t="s">
        <v>151</v>
      </c>
      <c r="C846" t="s">
        <v>118</v>
      </c>
      <c r="D846">
        <v>6</v>
      </c>
      <c r="E846" s="15">
        <v>2865</v>
      </c>
    </row>
    <row r="847" spans="1:5" x14ac:dyDescent="0.2">
      <c r="A847">
        <v>2021</v>
      </c>
      <c r="B847" t="s">
        <v>151</v>
      </c>
      <c r="C847" t="s">
        <v>119</v>
      </c>
      <c r="D847">
        <v>7</v>
      </c>
      <c r="E847" s="15">
        <v>1870</v>
      </c>
    </row>
    <row r="848" spans="1:5" x14ac:dyDescent="0.2">
      <c r="A848">
        <v>2021</v>
      </c>
      <c r="B848" t="s">
        <v>151</v>
      </c>
      <c r="C848" t="s">
        <v>120</v>
      </c>
      <c r="D848">
        <v>8</v>
      </c>
      <c r="E848" s="15">
        <v>6548</v>
      </c>
    </row>
    <row r="849" spans="1:5" x14ac:dyDescent="0.2">
      <c r="A849">
        <v>2021</v>
      </c>
      <c r="B849" t="s">
        <v>151</v>
      </c>
      <c r="C849" t="s">
        <v>121</v>
      </c>
      <c r="D849">
        <v>9</v>
      </c>
      <c r="E849" s="15">
        <v>6717</v>
      </c>
    </row>
    <row r="850" spans="1:5" x14ac:dyDescent="0.2">
      <c r="A850">
        <v>2021</v>
      </c>
      <c r="B850" t="s">
        <v>151</v>
      </c>
      <c r="C850" t="s">
        <v>122</v>
      </c>
      <c r="D850">
        <v>10</v>
      </c>
      <c r="E850" s="15">
        <v>6955</v>
      </c>
    </row>
    <row r="851" spans="1:5" x14ac:dyDescent="0.2">
      <c r="A851">
        <v>2021</v>
      </c>
      <c r="B851" t="s">
        <v>151</v>
      </c>
      <c r="C851" t="s">
        <v>123</v>
      </c>
      <c r="D851">
        <v>11</v>
      </c>
      <c r="E851" s="15">
        <v>22456</v>
      </c>
    </row>
    <row r="852" spans="1:5" x14ac:dyDescent="0.2">
      <c r="A852">
        <v>2021</v>
      </c>
      <c r="B852" t="s">
        <v>152</v>
      </c>
      <c r="C852" t="s">
        <v>113</v>
      </c>
      <c r="D852">
        <v>1</v>
      </c>
      <c r="E852" s="15">
        <v>0</v>
      </c>
    </row>
    <row r="853" spans="1:5" x14ac:dyDescent="0.2">
      <c r="A853">
        <v>2021</v>
      </c>
      <c r="B853" t="s">
        <v>152</v>
      </c>
      <c r="C853" t="s">
        <v>114</v>
      </c>
      <c r="D853">
        <v>2</v>
      </c>
      <c r="E853" s="15">
        <v>38</v>
      </c>
    </row>
    <row r="854" spans="1:5" x14ac:dyDescent="0.2">
      <c r="A854">
        <v>2021</v>
      </c>
      <c r="B854" t="s">
        <v>152</v>
      </c>
      <c r="C854" t="s">
        <v>115</v>
      </c>
      <c r="D854">
        <v>3</v>
      </c>
      <c r="E854" s="15">
        <v>152</v>
      </c>
    </row>
    <row r="855" spans="1:5" x14ac:dyDescent="0.2">
      <c r="A855">
        <v>2021</v>
      </c>
      <c r="B855" t="s">
        <v>152</v>
      </c>
      <c r="C855" t="s">
        <v>116</v>
      </c>
      <c r="D855">
        <v>4</v>
      </c>
      <c r="E855" s="15">
        <v>140</v>
      </c>
    </row>
    <row r="856" spans="1:5" x14ac:dyDescent="0.2">
      <c r="A856">
        <v>2021</v>
      </c>
      <c r="B856" t="s">
        <v>152</v>
      </c>
      <c r="C856" t="s">
        <v>117</v>
      </c>
      <c r="D856">
        <v>5</v>
      </c>
      <c r="E856" s="15">
        <v>902</v>
      </c>
    </row>
    <row r="857" spans="1:5" x14ac:dyDescent="0.2">
      <c r="A857">
        <v>2021</v>
      </c>
      <c r="B857" t="s">
        <v>152</v>
      </c>
      <c r="C857" t="s">
        <v>118</v>
      </c>
      <c r="D857">
        <v>6</v>
      </c>
      <c r="E857" s="15">
        <v>2661</v>
      </c>
    </row>
    <row r="858" spans="1:5" x14ac:dyDescent="0.2">
      <c r="A858">
        <v>2021</v>
      </c>
      <c r="B858" t="s">
        <v>152</v>
      </c>
      <c r="C858" t="s">
        <v>119</v>
      </c>
      <c r="D858">
        <v>7</v>
      </c>
      <c r="E858" s="15">
        <v>1812</v>
      </c>
    </row>
    <row r="859" spans="1:5" x14ac:dyDescent="0.2">
      <c r="A859">
        <v>2021</v>
      </c>
      <c r="B859" t="s">
        <v>152</v>
      </c>
      <c r="C859" t="s">
        <v>120</v>
      </c>
      <c r="D859">
        <v>8</v>
      </c>
      <c r="E859" s="15">
        <v>5048</v>
      </c>
    </row>
    <row r="860" spans="1:5" x14ac:dyDescent="0.2">
      <c r="A860">
        <v>2021</v>
      </c>
      <c r="B860" t="s">
        <v>152</v>
      </c>
      <c r="C860" t="s">
        <v>121</v>
      </c>
      <c r="D860">
        <v>9</v>
      </c>
      <c r="E860" s="15">
        <v>3969</v>
      </c>
    </row>
    <row r="861" spans="1:5" x14ac:dyDescent="0.2">
      <c r="A861">
        <v>2021</v>
      </c>
      <c r="B861" t="s">
        <v>152</v>
      </c>
      <c r="C861" t="s">
        <v>122</v>
      </c>
      <c r="D861">
        <v>10</v>
      </c>
      <c r="E861" s="15">
        <v>3588</v>
      </c>
    </row>
    <row r="862" spans="1:5" x14ac:dyDescent="0.2">
      <c r="A862">
        <v>2021</v>
      </c>
      <c r="B862" t="s">
        <v>152</v>
      </c>
      <c r="C862" t="s">
        <v>123</v>
      </c>
      <c r="D862">
        <v>11</v>
      </c>
      <c r="E862" s="15">
        <v>6047</v>
      </c>
    </row>
    <row r="863" spans="1:5" x14ac:dyDescent="0.2">
      <c r="A863">
        <v>2022</v>
      </c>
      <c r="B863" t="s">
        <v>140</v>
      </c>
      <c r="C863" t="s">
        <v>113</v>
      </c>
      <c r="D863">
        <v>1</v>
      </c>
      <c r="E863" s="15">
        <v>331</v>
      </c>
    </row>
    <row r="864" spans="1:5" x14ac:dyDescent="0.2">
      <c r="A864">
        <v>2022</v>
      </c>
      <c r="B864" t="s">
        <v>140</v>
      </c>
      <c r="C864" t="s">
        <v>114</v>
      </c>
      <c r="D864">
        <v>2</v>
      </c>
      <c r="E864" s="15">
        <v>3370</v>
      </c>
    </row>
    <row r="865" spans="1:5" x14ac:dyDescent="0.2">
      <c r="A865">
        <v>2022</v>
      </c>
      <c r="B865" t="s">
        <v>140</v>
      </c>
      <c r="C865" t="s">
        <v>115</v>
      </c>
      <c r="D865">
        <v>3</v>
      </c>
      <c r="E865" s="15">
        <v>2595</v>
      </c>
    </row>
    <row r="866" spans="1:5" x14ac:dyDescent="0.2">
      <c r="A866">
        <v>2022</v>
      </c>
      <c r="B866" t="s">
        <v>140</v>
      </c>
      <c r="C866" t="s">
        <v>116</v>
      </c>
      <c r="D866">
        <v>4</v>
      </c>
      <c r="E866" s="15">
        <v>1114</v>
      </c>
    </row>
    <row r="867" spans="1:5" x14ac:dyDescent="0.2">
      <c r="A867">
        <v>2022</v>
      </c>
      <c r="B867" t="s">
        <v>140</v>
      </c>
      <c r="C867" t="s">
        <v>117</v>
      </c>
      <c r="D867">
        <v>5</v>
      </c>
      <c r="E867" s="15">
        <v>3420</v>
      </c>
    </row>
    <row r="868" spans="1:5" x14ac:dyDescent="0.2">
      <c r="A868">
        <v>2022</v>
      </c>
      <c r="B868" t="s">
        <v>140</v>
      </c>
      <c r="C868" t="s">
        <v>118</v>
      </c>
      <c r="D868">
        <v>6</v>
      </c>
      <c r="E868" s="15">
        <v>4252</v>
      </c>
    </row>
    <row r="869" spans="1:5" x14ac:dyDescent="0.2">
      <c r="A869">
        <v>2022</v>
      </c>
      <c r="B869" t="s">
        <v>140</v>
      </c>
      <c r="C869" t="s">
        <v>119</v>
      </c>
      <c r="D869">
        <v>7</v>
      </c>
      <c r="E869" s="15">
        <v>2336</v>
      </c>
    </row>
    <row r="870" spans="1:5" x14ac:dyDescent="0.2">
      <c r="A870">
        <v>2022</v>
      </c>
      <c r="B870" t="s">
        <v>140</v>
      </c>
      <c r="C870" t="s">
        <v>120</v>
      </c>
      <c r="D870">
        <v>8</v>
      </c>
      <c r="E870" s="15">
        <v>7223</v>
      </c>
    </row>
    <row r="871" spans="1:5" x14ac:dyDescent="0.2">
      <c r="A871">
        <v>2022</v>
      </c>
      <c r="B871" t="s">
        <v>140</v>
      </c>
      <c r="C871" t="s">
        <v>121</v>
      </c>
      <c r="D871">
        <v>9</v>
      </c>
      <c r="E871" s="15">
        <v>7684</v>
      </c>
    </row>
    <row r="872" spans="1:5" x14ac:dyDescent="0.2">
      <c r="A872">
        <v>2022</v>
      </c>
      <c r="B872" t="s">
        <v>140</v>
      </c>
      <c r="C872" t="s">
        <v>122</v>
      </c>
      <c r="D872">
        <v>10</v>
      </c>
      <c r="E872" s="15">
        <v>9784</v>
      </c>
    </row>
    <row r="873" spans="1:5" x14ac:dyDescent="0.2">
      <c r="A873">
        <v>2022</v>
      </c>
      <c r="B873" t="s">
        <v>140</v>
      </c>
      <c r="C873" t="s">
        <v>123</v>
      </c>
      <c r="D873">
        <v>11</v>
      </c>
      <c r="E873" s="15">
        <v>35676</v>
      </c>
    </row>
    <row r="874" spans="1:5" x14ac:dyDescent="0.2">
      <c r="A874">
        <v>2022</v>
      </c>
      <c r="B874" t="s">
        <v>141</v>
      </c>
      <c r="C874" t="s">
        <v>113</v>
      </c>
      <c r="D874">
        <v>1</v>
      </c>
      <c r="E874" s="15">
        <v>616</v>
      </c>
    </row>
    <row r="875" spans="1:5" x14ac:dyDescent="0.2">
      <c r="A875">
        <v>2022</v>
      </c>
      <c r="B875" t="s">
        <v>141</v>
      </c>
      <c r="C875" t="s">
        <v>114</v>
      </c>
      <c r="D875">
        <v>2</v>
      </c>
      <c r="E875" s="15">
        <v>5433</v>
      </c>
    </row>
    <row r="876" spans="1:5" x14ac:dyDescent="0.2">
      <c r="A876">
        <v>2022</v>
      </c>
      <c r="B876" t="s">
        <v>141</v>
      </c>
      <c r="C876" t="s">
        <v>115</v>
      </c>
      <c r="D876">
        <v>3</v>
      </c>
      <c r="E876" s="15">
        <v>3730</v>
      </c>
    </row>
    <row r="877" spans="1:5" x14ac:dyDescent="0.2">
      <c r="A877">
        <v>2022</v>
      </c>
      <c r="B877" t="s">
        <v>141</v>
      </c>
      <c r="C877" t="s">
        <v>116</v>
      </c>
      <c r="D877">
        <v>4</v>
      </c>
      <c r="E877" s="15">
        <v>1686</v>
      </c>
    </row>
    <row r="878" spans="1:5" x14ac:dyDescent="0.2">
      <c r="A878">
        <v>2022</v>
      </c>
      <c r="B878" t="s">
        <v>141</v>
      </c>
      <c r="C878" t="s">
        <v>117</v>
      </c>
      <c r="D878">
        <v>5</v>
      </c>
      <c r="E878" s="15">
        <v>5696</v>
      </c>
    </row>
    <row r="879" spans="1:5" x14ac:dyDescent="0.2">
      <c r="A879">
        <v>2022</v>
      </c>
      <c r="B879" t="s">
        <v>141</v>
      </c>
      <c r="C879" t="s">
        <v>118</v>
      </c>
      <c r="D879">
        <v>6</v>
      </c>
      <c r="E879" s="15">
        <v>9902</v>
      </c>
    </row>
    <row r="880" spans="1:5" x14ac:dyDescent="0.2">
      <c r="A880">
        <v>2022</v>
      </c>
      <c r="B880" t="s">
        <v>141</v>
      </c>
      <c r="C880" t="s">
        <v>119</v>
      </c>
      <c r="D880">
        <v>7</v>
      </c>
      <c r="E880" s="15">
        <v>5574</v>
      </c>
    </row>
    <row r="881" spans="1:5" x14ac:dyDescent="0.2">
      <c r="A881">
        <v>2022</v>
      </c>
      <c r="B881" t="s">
        <v>141</v>
      </c>
      <c r="C881" t="s">
        <v>120</v>
      </c>
      <c r="D881">
        <v>8</v>
      </c>
      <c r="E881" s="15">
        <v>16632</v>
      </c>
    </row>
    <row r="882" spans="1:5" x14ac:dyDescent="0.2">
      <c r="A882">
        <v>2022</v>
      </c>
      <c r="B882" t="s">
        <v>141</v>
      </c>
      <c r="C882" t="s">
        <v>121</v>
      </c>
      <c r="D882">
        <v>9</v>
      </c>
      <c r="E882" s="15">
        <v>16031</v>
      </c>
    </row>
    <row r="883" spans="1:5" x14ac:dyDescent="0.2">
      <c r="A883">
        <v>2022</v>
      </c>
      <c r="B883" t="s">
        <v>141</v>
      </c>
      <c r="C883" t="s">
        <v>122</v>
      </c>
      <c r="D883">
        <v>10</v>
      </c>
      <c r="E883" s="15">
        <v>18881</v>
      </c>
    </row>
    <row r="884" spans="1:5" x14ac:dyDescent="0.2">
      <c r="A884">
        <v>2022</v>
      </c>
      <c r="B884" t="s">
        <v>141</v>
      </c>
      <c r="C884" t="s">
        <v>123</v>
      </c>
      <c r="D884">
        <v>11</v>
      </c>
      <c r="E884" s="15">
        <v>59645</v>
      </c>
    </row>
    <row r="885" spans="1:5" x14ac:dyDescent="0.2">
      <c r="A885">
        <v>2022</v>
      </c>
      <c r="B885" t="s">
        <v>142</v>
      </c>
      <c r="C885" t="s">
        <v>113</v>
      </c>
      <c r="D885">
        <v>1</v>
      </c>
      <c r="E885" s="15">
        <v>66</v>
      </c>
    </row>
    <row r="886" spans="1:5" x14ac:dyDescent="0.2">
      <c r="A886">
        <v>2022</v>
      </c>
      <c r="B886" t="s">
        <v>142</v>
      </c>
      <c r="C886" t="s">
        <v>114</v>
      </c>
      <c r="D886">
        <v>2</v>
      </c>
      <c r="E886" s="15">
        <v>1020</v>
      </c>
    </row>
    <row r="887" spans="1:5" x14ac:dyDescent="0.2">
      <c r="A887">
        <v>2022</v>
      </c>
      <c r="B887" t="s">
        <v>142</v>
      </c>
      <c r="C887" t="s">
        <v>115</v>
      </c>
      <c r="D887">
        <v>3</v>
      </c>
      <c r="E887" s="15">
        <v>801</v>
      </c>
    </row>
    <row r="888" spans="1:5" x14ac:dyDescent="0.2">
      <c r="A888">
        <v>2022</v>
      </c>
      <c r="B888" t="s">
        <v>142</v>
      </c>
      <c r="C888" t="s">
        <v>116</v>
      </c>
      <c r="D888">
        <v>4</v>
      </c>
      <c r="E888" s="15">
        <v>289</v>
      </c>
    </row>
    <row r="889" spans="1:5" x14ac:dyDescent="0.2">
      <c r="A889">
        <v>2022</v>
      </c>
      <c r="B889" t="s">
        <v>142</v>
      </c>
      <c r="C889" t="s">
        <v>117</v>
      </c>
      <c r="D889">
        <v>5</v>
      </c>
      <c r="E889" s="15">
        <v>901</v>
      </c>
    </row>
    <row r="890" spans="1:5" x14ac:dyDescent="0.2">
      <c r="A890">
        <v>2022</v>
      </c>
      <c r="B890" t="s">
        <v>142</v>
      </c>
      <c r="C890" t="s">
        <v>118</v>
      </c>
      <c r="D890">
        <v>6</v>
      </c>
      <c r="E890" s="15">
        <v>1721</v>
      </c>
    </row>
    <row r="891" spans="1:5" x14ac:dyDescent="0.2">
      <c r="A891">
        <v>2022</v>
      </c>
      <c r="B891" t="s">
        <v>142</v>
      </c>
      <c r="C891" t="s">
        <v>119</v>
      </c>
      <c r="D891">
        <v>7</v>
      </c>
      <c r="E891" s="15">
        <v>1153</v>
      </c>
    </row>
    <row r="892" spans="1:5" x14ac:dyDescent="0.2">
      <c r="A892">
        <v>2022</v>
      </c>
      <c r="B892" t="s">
        <v>142</v>
      </c>
      <c r="C892" t="s">
        <v>120</v>
      </c>
      <c r="D892">
        <v>8</v>
      </c>
      <c r="E892" s="15">
        <v>3645</v>
      </c>
    </row>
    <row r="893" spans="1:5" x14ac:dyDescent="0.2">
      <c r="A893">
        <v>2022</v>
      </c>
      <c r="B893" t="s">
        <v>142</v>
      </c>
      <c r="C893" t="s">
        <v>121</v>
      </c>
      <c r="D893">
        <v>9</v>
      </c>
      <c r="E893" s="15">
        <v>3510</v>
      </c>
    </row>
    <row r="894" spans="1:5" x14ac:dyDescent="0.2">
      <c r="A894">
        <v>2022</v>
      </c>
      <c r="B894" t="s">
        <v>142</v>
      </c>
      <c r="C894" t="s">
        <v>122</v>
      </c>
      <c r="D894">
        <v>10</v>
      </c>
      <c r="E894" s="15">
        <v>3999</v>
      </c>
    </row>
    <row r="895" spans="1:5" x14ac:dyDescent="0.2">
      <c r="A895">
        <v>2022</v>
      </c>
      <c r="B895" t="s">
        <v>142</v>
      </c>
      <c r="C895" t="s">
        <v>123</v>
      </c>
      <c r="D895">
        <v>11</v>
      </c>
      <c r="E895" s="15">
        <v>10386</v>
      </c>
    </row>
    <row r="896" spans="1:5" x14ac:dyDescent="0.2">
      <c r="A896">
        <v>2022</v>
      </c>
      <c r="B896" t="s">
        <v>143</v>
      </c>
      <c r="C896" t="s">
        <v>113</v>
      </c>
      <c r="D896">
        <v>1</v>
      </c>
      <c r="E896" s="15">
        <v>70</v>
      </c>
    </row>
    <row r="897" spans="1:5" x14ac:dyDescent="0.2">
      <c r="A897">
        <v>2022</v>
      </c>
      <c r="B897" t="s">
        <v>143</v>
      </c>
      <c r="C897" t="s">
        <v>114</v>
      </c>
      <c r="D897">
        <v>2</v>
      </c>
      <c r="E897" s="15">
        <v>1138</v>
      </c>
    </row>
    <row r="898" spans="1:5" x14ac:dyDescent="0.2">
      <c r="A898">
        <v>2022</v>
      </c>
      <c r="B898" t="s">
        <v>143</v>
      </c>
      <c r="C898" t="s">
        <v>115</v>
      </c>
      <c r="D898">
        <v>3</v>
      </c>
      <c r="E898" s="15">
        <v>1020</v>
      </c>
    </row>
    <row r="899" spans="1:5" x14ac:dyDescent="0.2">
      <c r="A899">
        <v>2022</v>
      </c>
      <c r="B899" t="s">
        <v>143</v>
      </c>
      <c r="C899" t="s">
        <v>116</v>
      </c>
      <c r="D899">
        <v>4</v>
      </c>
      <c r="E899" s="15">
        <v>453</v>
      </c>
    </row>
    <row r="900" spans="1:5" x14ac:dyDescent="0.2">
      <c r="A900">
        <v>2022</v>
      </c>
      <c r="B900" t="s">
        <v>143</v>
      </c>
      <c r="C900" t="s">
        <v>117</v>
      </c>
      <c r="D900">
        <v>5</v>
      </c>
      <c r="E900" s="15">
        <v>1069</v>
      </c>
    </row>
    <row r="901" spans="1:5" x14ac:dyDescent="0.2">
      <c r="A901">
        <v>2022</v>
      </c>
      <c r="B901" t="s">
        <v>143</v>
      </c>
      <c r="C901" t="s">
        <v>118</v>
      </c>
      <c r="D901">
        <v>6</v>
      </c>
      <c r="E901" s="15">
        <v>1210</v>
      </c>
    </row>
    <row r="902" spans="1:5" x14ac:dyDescent="0.2">
      <c r="A902">
        <v>2022</v>
      </c>
      <c r="B902" t="s">
        <v>143</v>
      </c>
      <c r="C902" t="s">
        <v>119</v>
      </c>
      <c r="D902">
        <v>7</v>
      </c>
      <c r="E902" s="15">
        <v>571</v>
      </c>
    </row>
    <row r="903" spans="1:5" x14ac:dyDescent="0.2">
      <c r="A903">
        <v>2022</v>
      </c>
      <c r="B903" t="s">
        <v>143</v>
      </c>
      <c r="C903" t="s">
        <v>120</v>
      </c>
      <c r="D903">
        <v>8</v>
      </c>
      <c r="E903" s="15">
        <v>2110</v>
      </c>
    </row>
    <row r="904" spans="1:5" x14ac:dyDescent="0.2">
      <c r="A904">
        <v>2022</v>
      </c>
      <c r="B904" t="s">
        <v>143</v>
      </c>
      <c r="C904" t="s">
        <v>121</v>
      </c>
      <c r="D904">
        <v>9</v>
      </c>
      <c r="E904" s="15">
        <v>2364</v>
      </c>
    </row>
    <row r="905" spans="1:5" x14ac:dyDescent="0.2">
      <c r="A905">
        <v>2022</v>
      </c>
      <c r="B905" t="s">
        <v>143</v>
      </c>
      <c r="C905" t="s">
        <v>122</v>
      </c>
      <c r="D905">
        <v>10</v>
      </c>
      <c r="E905" s="15">
        <v>2638</v>
      </c>
    </row>
    <row r="906" spans="1:5" x14ac:dyDescent="0.2">
      <c r="A906">
        <v>2022</v>
      </c>
      <c r="B906" t="s">
        <v>143</v>
      </c>
      <c r="C906" t="s">
        <v>123</v>
      </c>
      <c r="D906">
        <v>11</v>
      </c>
      <c r="E906" s="15">
        <v>9229</v>
      </c>
    </row>
    <row r="907" spans="1:5" x14ac:dyDescent="0.2">
      <c r="A907">
        <v>2022</v>
      </c>
      <c r="B907" t="s">
        <v>144</v>
      </c>
      <c r="C907" t="s">
        <v>113</v>
      </c>
      <c r="D907">
        <v>1</v>
      </c>
      <c r="E907" s="15">
        <v>169</v>
      </c>
    </row>
    <row r="908" spans="1:5" x14ac:dyDescent="0.2">
      <c r="A908">
        <v>2022</v>
      </c>
      <c r="B908" t="s">
        <v>144</v>
      </c>
      <c r="C908" t="s">
        <v>114</v>
      </c>
      <c r="D908">
        <v>2</v>
      </c>
      <c r="E908" s="15">
        <v>2216</v>
      </c>
    </row>
    <row r="909" spans="1:5" x14ac:dyDescent="0.2">
      <c r="A909">
        <v>2022</v>
      </c>
      <c r="B909" t="s">
        <v>144</v>
      </c>
      <c r="C909" t="s">
        <v>115</v>
      </c>
      <c r="D909">
        <v>3</v>
      </c>
      <c r="E909" s="15">
        <v>1548</v>
      </c>
    </row>
    <row r="910" spans="1:5" x14ac:dyDescent="0.2">
      <c r="A910">
        <v>2022</v>
      </c>
      <c r="B910" t="s">
        <v>144</v>
      </c>
      <c r="C910" t="s">
        <v>116</v>
      </c>
      <c r="D910">
        <v>4</v>
      </c>
      <c r="E910" s="15">
        <v>631</v>
      </c>
    </row>
    <row r="911" spans="1:5" x14ac:dyDescent="0.2">
      <c r="A911">
        <v>2022</v>
      </c>
      <c r="B911" t="s">
        <v>144</v>
      </c>
      <c r="C911" t="s">
        <v>117</v>
      </c>
      <c r="D911">
        <v>5</v>
      </c>
      <c r="E911" s="15">
        <v>1851</v>
      </c>
    </row>
    <row r="912" spans="1:5" x14ac:dyDescent="0.2">
      <c r="A912">
        <v>2022</v>
      </c>
      <c r="B912" t="s">
        <v>144</v>
      </c>
      <c r="C912" t="s">
        <v>118</v>
      </c>
      <c r="D912">
        <v>6</v>
      </c>
      <c r="E912" s="15">
        <v>2564</v>
      </c>
    </row>
    <row r="913" spans="1:5" x14ac:dyDescent="0.2">
      <c r="A913">
        <v>2022</v>
      </c>
      <c r="B913" t="s">
        <v>144</v>
      </c>
      <c r="C913" t="s">
        <v>119</v>
      </c>
      <c r="D913">
        <v>7</v>
      </c>
      <c r="E913" s="15">
        <v>1636</v>
      </c>
    </row>
    <row r="914" spans="1:5" x14ac:dyDescent="0.2">
      <c r="A914">
        <v>2022</v>
      </c>
      <c r="B914" t="s">
        <v>144</v>
      </c>
      <c r="C914" t="s">
        <v>120</v>
      </c>
      <c r="D914">
        <v>8</v>
      </c>
      <c r="E914" s="15">
        <v>5457</v>
      </c>
    </row>
    <row r="915" spans="1:5" x14ac:dyDescent="0.2">
      <c r="A915">
        <v>2022</v>
      </c>
      <c r="B915" t="s">
        <v>144</v>
      </c>
      <c r="C915" t="s">
        <v>121</v>
      </c>
      <c r="D915">
        <v>9</v>
      </c>
      <c r="E915" s="15">
        <v>5527</v>
      </c>
    </row>
    <row r="916" spans="1:5" x14ac:dyDescent="0.2">
      <c r="A916">
        <v>2022</v>
      </c>
      <c r="B916" t="s">
        <v>144</v>
      </c>
      <c r="C916" t="s">
        <v>122</v>
      </c>
      <c r="D916">
        <v>10</v>
      </c>
      <c r="E916" s="15">
        <v>6547</v>
      </c>
    </row>
    <row r="917" spans="1:5" x14ac:dyDescent="0.2">
      <c r="A917">
        <v>2022</v>
      </c>
      <c r="B917" t="s">
        <v>144</v>
      </c>
      <c r="C917" t="s">
        <v>123</v>
      </c>
      <c r="D917">
        <v>11</v>
      </c>
      <c r="E917" s="15">
        <v>22774</v>
      </c>
    </row>
    <row r="918" spans="1:5" x14ac:dyDescent="0.2">
      <c r="A918">
        <v>2022</v>
      </c>
      <c r="B918" t="s">
        <v>145</v>
      </c>
      <c r="C918" t="s">
        <v>113</v>
      </c>
      <c r="D918">
        <v>1</v>
      </c>
      <c r="E918" s="15">
        <v>19</v>
      </c>
    </row>
    <row r="919" spans="1:5" x14ac:dyDescent="0.2">
      <c r="A919">
        <v>2022</v>
      </c>
      <c r="B919" t="s">
        <v>145</v>
      </c>
      <c r="C919" t="s">
        <v>114</v>
      </c>
      <c r="D919">
        <v>2</v>
      </c>
      <c r="E919" s="15">
        <v>222</v>
      </c>
    </row>
    <row r="920" spans="1:5" x14ac:dyDescent="0.2">
      <c r="A920">
        <v>2022</v>
      </c>
      <c r="B920" t="s">
        <v>145</v>
      </c>
      <c r="C920" t="s">
        <v>115</v>
      </c>
      <c r="D920">
        <v>3</v>
      </c>
      <c r="E920" s="15">
        <v>326</v>
      </c>
    </row>
    <row r="921" spans="1:5" x14ac:dyDescent="0.2">
      <c r="A921">
        <v>2022</v>
      </c>
      <c r="B921" t="s">
        <v>145</v>
      </c>
      <c r="C921" t="s">
        <v>116</v>
      </c>
      <c r="D921">
        <v>4</v>
      </c>
      <c r="E921" s="15">
        <v>146</v>
      </c>
    </row>
    <row r="922" spans="1:5" x14ac:dyDescent="0.2">
      <c r="A922">
        <v>2022</v>
      </c>
      <c r="B922" t="s">
        <v>145</v>
      </c>
      <c r="C922" t="s">
        <v>117</v>
      </c>
      <c r="D922">
        <v>5</v>
      </c>
      <c r="E922" s="15">
        <v>418</v>
      </c>
    </row>
    <row r="923" spans="1:5" x14ac:dyDescent="0.2">
      <c r="A923">
        <v>2022</v>
      </c>
      <c r="B923" t="s">
        <v>145</v>
      </c>
      <c r="C923" t="s">
        <v>118</v>
      </c>
      <c r="D923">
        <v>6</v>
      </c>
      <c r="E923" s="15">
        <v>1050</v>
      </c>
    </row>
    <row r="924" spans="1:5" x14ac:dyDescent="0.2">
      <c r="A924">
        <v>2022</v>
      </c>
      <c r="B924" t="s">
        <v>145</v>
      </c>
      <c r="C924" t="s">
        <v>119</v>
      </c>
      <c r="D924">
        <v>7</v>
      </c>
      <c r="E924" s="15">
        <v>977</v>
      </c>
    </row>
    <row r="925" spans="1:5" x14ac:dyDescent="0.2">
      <c r="A925">
        <v>2022</v>
      </c>
      <c r="B925" t="s">
        <v>145</v>
      </c>
      <c r="C925" t="s">
        <v>120</v>
      </c>
      <c r="D925">
        <v>8</v>
      </c>
      <c r="E925" s="15">
        <v>3187</v>
      </c>
    </row>
    <row r="926" spans="1:5" x14ac:dyDescent="0.2">
      <c r="A926">
        <v>2022</v>
      </c>
      <c r="B926" t="s">
        <v>145</v>
      </c>
      <c r="C926" t="s">
        <v>121</v>
      </c>
      <c r="D926">
        <v>9</v>
      </c>
      <c r="E926" s="15">
        <v>2835</v>
      </c>
    </row>
    <row r="927" spans="1:5" x14ac:dyDescent="0.2">
      <c r="A927">
        <v>2022</v>
      </c>
      <c r="B927" t="s">
        <v>145</v>
      </c>
      <c r="C927" t="s">
        <v>122</v>
      </c>
      <c r="D927">
        <v>10</v>
      </c>
      <c r="E927" s="15">
        <v>3022</v>
      </c>
    </row>
    <row r="928" spans="1:5" x14ac:dyDescent="0.2">
      <c r="A928">
        <v>2022</v>
      </c>
      <c r="B928" t="s">
        <v>145</v>
      </c>
      <c r="C928" t="s">
        <v>123</v>
      </c>
      <c r="D928">
        <v>11</v>
      </c>
      <c r="E928" s="15">
        <v>6217</v>
      </c>
    </row>
    <row r="929" spans="1:5" x14ac:dyDescent="0.2">
      <c r="A929">
        <v>2022</v>
      </c>
      <c r="B929" t="s">
        <v>146</v>
      </c>
      <c r="C929" t="s">
        <v>113</v>
      </c>
      <c r="D929">
        <v>1</v>
      </c>
      <c r="E929" s="15">
        <v>171</v>
      </c>
    </row>
    <row r="930" spans="1:5" x14ac:dyDescent="0.2">
      <c r="A930">
        <v>2022</v>
      </c>
      <c r="B930" t="s">
        <v>146</v>
      </c>
      <c r="C930" t="s">
        <v>114</v>
      </c>
      <c r="D930">
        <v>2</v>
      </c>
      <c r="E930" s="15">
        <v>2287</v>
      </c>
    </row>
    <row r="931" spans="1:5" x14ac:dyDescent="0.2">
      <c r="A931">
        <v>2022</v>
      </c>
      <c r="B931" t="s">
        <v>146</v>
      </c>
      <c r="C931" t="s">
        <v>115</v>
      </c>
      <c r="D931">
        <v>3</v>
      </c>
      <c r="E931" s="15">
        <v>1864</v>
      </c>
    </row>
    <row r="932" spans="1:5" x14ac:dyDescent="0.2">
      <c r="A932">
        <v>2022</v>
      </c>
      <c r="B932" t="s">
        <v>146</v>
      </c>
      <c r="C932" t="s">
        <v>116</v>
      </c>
      <c r="D932">
        <v>4</v>
      </c>
      <c r="E932" s="15">
        <v>872</v>
      </c>
    </row>
    <row r="933" spans="1:5" x14ac:dyDescent="0.2">
      <c r="A933">
        <v>2022</v>
      </c>
      <c r="B933" t="s">
        <v>146</v>
      </c>
      <c r="C933" t="s">
        <v>117</v>
      </c>
      <c r="D933">
        <v>5</v>
      </c>
      <c r="E933" s="15">
        <v>2764</v>
      </c>
    </row>
    <row r="934" spans="1:5" x14ac:dyDescent="0.2">
      <c r="A934">
        <v>2022</v>
      </c>
      <c r="B934" t="s">
        <v>146</v>
      </c>
      <c r="C934" t="s">
        <v>118</v>
      </c>
      <c r="D934">
        <v>6</v>
      </c>
      <c r="E934" s="15">
        <v>4186</v>
      </c>
    </row>
    <row r="935" spans="1:5" x14ac:dyDescent="0.2">
      <c r="A935">
        <v>2022</v>
      </c>
      <c r="B935" t="s">
        <v>146</v>
      </c>
      <c r="C935" t="s">
        <v>119</v>
      </c>
      <c r="D935">
        <v>7</v>
      </c>
      <c r="E935" s="15">
        <v>2673</v>
      </c>
    </row>
    <row r="936" spans="1:5" x14ac:dyDescent="0.2">
      <c r="A936">
        <v>2022</v>
      </c>
      <c r="B936" t="s">
        <v>146</v>
      </c>
      <c r="C936" t="s">
        <v>120</v>
      </c>
      <c r="D936">
        <v>8</v>
      </c>
      <c r="E936" s="15">
        <v>8346</v>
      </c>
    </row>
    <row r="937" spans="1:5" x14ac:dyDescent="0.2">
      <c r="A937">
        <v>2022</v>
      </c>
      <c r="B937" t="s">
        <v>146</v>
      </c>
      <c r="C937" t="s">
        <v>121</v>
      </c>
      <c r="D937">
        <v>9</v>
      </c>
      <c r="E937" s="15">
        <v>8546</v>
      </c>
    </row>
    <row r="938" spans="1:5" x14ac:dyDescent="0.2">
      <c r="A938">
        <v>2022</v>
      </c>
      <c r="B938" t="s">
        <v>146</v>
      </c>
      <c r="C938" t="s">
        <v>122</v>
      </c>
      <c r="D938">
        <v>10</v>
      </c>
      <c r="E938" s="15">
        <v>9686</v>
      </c>
    </row>
    <row r="939" spans="1:5" x14ac:dyDescent="0.2">
      <c r="A939">
        <v>2022</v>
      </c>
      <c r="B939" t="s">
        <v>146</v>
      </c>
      <c r="C939" t="s">
        <v>123</v>
      </c>
      <c r="D939">
        <v>11</v>
      </c>
      <c r="E939" s="15">
        <v>32766</v>
      </c>
    </row>
    <row r="940" spans="1:5" x14ac:dyDescent="0.2">
      <c r="A940">
        <v>2022</v>
      </c>
      <c r="B940" t="s">
        <v>147</v>
      </c>
      <c r="C940" t="s">
        <v>113</v>
      </c>
      <c r="D940">
        <v>1</v>
      </c>
      <c r="E940" s="15">
        <v>433</v>
      </c>
    </row>
    <row r="941" spans="1:5" x14ac:dyDescent="0.2">
      <c r="A941">
        <v>2022</v>
      </c>
      <c r="B941" t="s">
        <v>147</v>
      </c>
      <c r="C941" t="s">
        <v>114</v>
      </c>
      <c r="D941">
        <v>2</v>
      </c>
      <c r="E941" s="15">
        <v>4328</v>
      </c>
    </row>
    <row r="942" spans="1:5" x14ac:dyDescent="0.2">
      <c r="A942">
        <v>2022</v>
      </c>
      <c r="B942" t="s">
        <v>147</v>
      </c>
      <c r="C942" t="s">
        <v>115</v>
      </c>
      <c r="D942">
        <v>3</v>
      </c>
      <c r="E942" s="15">
        <v>3666</v>
      </c>
    </row>
    <row r="943" spans="1:5" x14ac:dyDescent="0.2">
      <c r="A943">
        <v>2022</v>
      </c>
      <c r="B943" t="s">
        <v>147</v>
      </c>
      <c r="C943" t="s">
        <v>116</v>
      </c>
      <c r="D943">
        <v>4</v>
      </c>
      <c r="E943" s="15">
        <v>1778</v>
      </c>
    </row>
    <row r="944" spans="1:5" x14ac:dyDescent="0.2">
      <c r="A944">
        <v>2022</v>
      </c>
      <c r="B944" t="s">
        <v>147</v>
      </c>
      <c r="C944" t="s">
        <v>117</v>
      </c>
      <c r="D944">
        <v>5</v>
      </c>
      <c r="E944" s="15">
        <v>5919</v>
      </c>
    </row>
    <row r="945" spans="1:5" x14ac:dyDescent="0.2">
      <c r="A945">
        <v>2022</v>
      </c>
      <c r="B945" t="s">
        <v>147</v>
      </c>
      <c r="C945" t="s">
        <v>118</v>
      </c>
      <c r="D945">
        <v>6</v>
      </c>
      <c r="E945" s="15">
        <v>8994</v>
      </c>
    </row>
    <row r="946" spans="1:5" x14ac:dyDescent="0.2">
      <c r="A946">
        <v>2022</v>
      </c>
      <c r="B946" t="s">
        <v>147</v>
      </c>
      <c r="C946" t="s">
        <v>119</v>
      </c>
      <c r="D946">
        <v>7</v>
      </c>
      <c r="E946" s="15">
        <v>4893</v>
      </c>
    </row>
    <row r="947" spans="1:5" x14ac:dyDescent="0.2">
      <c r="A947">
        <v>2022</v>
      </c>
      <c r="B947" t="s">
        <v>147</v>
      </c>
      <c r="C947" t="s">
        <v>120</v>
      </c>
      <c r="D947">
        <v>8</v>
      </c>
      <c r="E947" s="15">
        <v>14036</v>
      </c>
    </row>
    <row r="948" spans="1:5" x14ac:dyDescent="0.2">
      <c r="A948">
        <v>2022</v>
      </c>
      <c r="B948" t="s">
        <v>147</v>
      </c>
      <c r="C948" t="s">
        <v>121</v>
      </c>
      <c r="D948">
        <v>9</v>
      </c>
      <c r="E948" s="15">
        <v>15820</v>
      </c>
    </row>
    <row r="949" spans="1:5" x14ac:dyDescent="0.2">
      <c r="A949">
        <v>2022</v>
      </c>
      <c r="B949" t="s">
        <v>147</v>
      </c>
      <c r="C949" t="s">
        <v>122</v>
      </c>
      <c r="D949">
        <v>10</v>
      </c>
      <c r="E949" s="15">
        <v>18808</v>
      </c>
    </row>
    <row r="950" spans="1:5" x14ac:dyDescent="0.2">
      <c r="A950">
        <v>2022</v>
      </c>
      <c r="B950" t="s">
        <v>147</v>
      </c>
      <c r="C950" t="s">
        <v>123</v>
      </c>
      <c r="D950">
        <v>11</v>
      </c>
      <c r="E950" s="15">
        <v>64134</v>
      </c>
    </row>
    <row r="951" spans="1:5" x14ac:dyDescent="0.2">
      <c r="A951">
        <v>2022</v>
      </c>
      <c r="B951" t="s">
        <v>148</v>
      </c>
      <c r="C951" t="s">
        <v>113</v>
      </c>
      <c r="D951">
        <v>1</v>
      </c>
      <c r="E951" s="15">
        <v>144</v>
      </c>
    </row>
    <row r="952" spans="1:5" x14ac:dyDescent="0.2">
      <c r="A952">
        <v>2022</v>
      </c>
      <c r="B952" t="s">
        <v>148</v>
      </c>
      <c r="C952" t="s">
        <v>114</v>
      </c>
      <c r="D952">
        <v>2</v>
      </c>
      <c r="E952" s="15">
        <v>1082</v>
      </c>
    </row>
    <row r="953" spans="1:5" x14ac:dyDescent="0.2">
      <c r="A953">
        <v>2022</v>
      </c>
      <c r="B953" t="s">
        <v>148</v>
      </c>
      <c r="C953" t="s">
        <v>115</v>
      </c>
      <c r="D953">
        <v>3</v>
      </c>
      <c r="E953" s="15">
        <v>792</v>
      </c>
    </row>
    <row r="954" spans="1:5" x14ac:dyDescent="0.2">
      <c r="A954">
        <v>2022</v>
      </c>
      <c r="B954" t="s">
        <v>148</v>
      </c>
      <c r="C954" t="s">
        <v>116</v>
      </c>
      <c r="D954">
        <v>4</v>
      </c>
      <c r="E954" s="15">
        <v>334</v>
      </c>
    </row>
    <row r="955" spans="1:5" x14ac:dyDescent="0.2">
      <c r="A955">
        <v>2022</v>
      </c>
      <c r="B955" t="s">
        <v>148</v>
      </c>
      <c r="C955" t="s">
        <v>117</v>
      </c>
      <c r="D955">
        <v>5</v>
      </c>
      <c r="E955" s="15">
        <v>1170</v>
      </c>
    </row>
    <row r="956" spans="1:5" x14ac:dyDescent="0.2">
      <c r="A956">
        <v>2022</v>
      </c>
      <c r="B956" t="s">
        <v>148</v>
      </c>
      <c r="C956" t="s">
        <v>118</v>
      </c>
      <c r="D956">
        <v>6</v>
      </c>
      <c r="E956" s="15">
        <v>1607</v>
      </c>
    </row>
    <row r="957" spans="1:5" x14ac:dyDescent="0.2">
      <c r="A957">
        <v>2022</v>
      </c>
      <c r="B957" t="s">
        <v>148</v>
      </c>
      <c r="C957" t="s">
        <v>119</v>
      </c>
      <c r="D957">
        <v>7</v>
      </c>
      <c r="E957" s="15">
        <v>1026</v>
      </c>
    </row>
    <row r="958" spans="1:5" x14ac:dyDescent="0.2">
      <c r="A958">
        <v>2022</v>
      </c>
      <c r="B958" t="s">
        <v>148</v>
      </c>
      <c r="C958" t="s">
        <v>120</v>
      </c>
      <c r="D958">
        <v>8</v>
      </c>
      <c r="E958" s="15">
        <v>3080</v>
      </c>
    </row>
    <row r="959" spans="1:5" x14ac:dyDescent="0.2">
      <c r="A959">
        <v>2022</v>
      </c>
      <c r="B959" t="s">
        <v>148</v>
      </c>
      <c r="C959" t="s">
        <v>121</v>
      </c>
      <c r="D959">
        <v>9</v>
      </c>
      <c r="E959" s="15">
        <v>3446</v>
      </c>
    </row>
    <row r="960" spans="1:5" x14ac:dyDescent="0.2">
      <c r="A960">
        <v>2022</v>
      </c>
      <c r="B960" t="s">
        <v>148</v>
      </c>
      <c r="C960" t="s">
        <v>122</v>
      </c>
      <c r="D960">
        <v>10</v>
      </c>
      <c r="E960" s="15">
        <v>4285</v>
      </c>
    </row>
    <row r="961" spans="1:5" x14ac:dyDescent="0.2">
      <c r="A961">
        <v>2022</v>
      </c>
      <c r="B961" t="s">
        <v>148</v>
      </c>
      <c r="C961" t="s">
        <v>123</v>
      </c>
      <c r="D961">
        <v>11</v>
      </c>
      <c r="E961" s="15">
        <v>13888</v>
      </c>
    </row>
    <row r="962" spans="1:5" x14ac:dyDescent="0.2">
      <c r="A962">
        <v>2022</v>
      </c>
      <c r="B962" t="s">
        <v>149</v>
      </c>
      <c r="C962" t="s">
        <v>113</v>
      </c>
      <c r="D962">
        <v>1</v>
      </c>
      <c r="E962" s="15">
        <v>11</v>
      </c>
    </row>
    <row r="963" spans="1:5" x14ac:dyDescent="0.2">
      <c r="A963">
        <v>2022</v>
      </c>
      <c r="B963" t="s">
        <v>149</v>
      </c>
      <c r="C963" t="s">
        <v>114</v>
      </c>
      <c r="D963">
        <v>2</v>
      </c>
      <c r="E963" s="15">
        <v>108</v>
      </c>
    </row>
    <row r="964" spans="1:5" x14ac:dyDescent="0.2">
      <c r="A964">
        <v>2022</v>
      </c>
      <c r="B964" t="s">
        <v>149</v>
      </c>
      <c r="C964" t="s">
        <v>115</v>
      </c>
      <c r="D964">
        <v>3</v>
      </c>
      <c r="E964" s="15">
        <v>88</v>
      </c>
    </row>
    <row r="965" spans="1:5" x14ac:dyDescent="0.2">
      <c r="A965">
        <v>2022</v>
      </c>
      <c r="B965" t="s">
        <v>149</v>
      </c>
      <c r="C965" t="s">
        <v>116</v>
      </c>
      <c r="D965">
        <v>4</v>
      </c>
      <c r="E965" s="15">
        <v>37</v>
      </c>
    </row>
    <row r="966" spans="1:5" x14ac:dyDescent="0.2">
      <c r="A966">
        <v>2022</v>
      </c>
      <c r="B966" t="s">
        <v>149</v>
      </c>
      <c r="C966" t="s">
        <v>117</v>
      </c>
      <c r="D966">
        <v>5</v>
      </c>
      <c r="E966" s="15">
        <v>129</v>
      </c>
    </row>
    <row r="967" spans="1:5" x14ac:dyDescent="0.2">
      <c r="A967">
        <v>2022</v>
      </c>
      <c r="B967" t="s">
        <v>149</v>
      </c>
      <c r="C967" t="s">
        <v>118</v>
      </c>
      <c r="D967">
        <v>6</v>
      </c>
      <c r="E967" s="15">
        <v>117</v>
      </c>
    </row>
    <row r="968" spans="1:5" x14ac:dyDescent="0.2">
      <c r="A968">
        <v>2022</v>
      </c>
      <c r="B968" t="s">
        <v>149</v>
      </c>
      <c r="C968" t="s">
        <v>119</v>
      </c>
      <c r="D968">
        <v>7</v>
      </c>
      <c r="E968" s="15">
        <v>93</v>
      </c>
    </row>
    <row r="969" spans="1:5" x14ac:dyDescent="0.2">
      <c r="A969">
        <v>2022</v>
      </c>
      <c r="B969" t="s">
        <v>149</v>
      </c>
      <c r="C969" t="s">
        <v>120</v>
      </c>
      <c r="D969">
        <v>8</v>
      </c>
      <c r="E969" s="15">
        <v>311</v>
      </c>
    </row>
    <row r="970" spans="1:5" x14ac:dyDescent="0.2">
      <c r="A970">
        <v>2022</v>
      </c>
      <c r="B970" t="s">
        <v>149</v>
      </c>
      <c r="C970" t="s">
        <v>121</v>
      </c>
      <c r="D970">
        <v>9</v>
      </c>
      <c r="E970" s="15">
        <v>343</v>
      </c>
    </row>
    <row r="971" spans="1:5" x14ac:dyDescent="0.2">
      <c r="A971">
        <v>2022</v>
      </c>
      <c r="B971" t="s">
        <v>149</v>
      </c>
      <c r="C971" t="s">
        <v>122</v>
      </c>
      <c r="D971">
        <v>10</v>
      </c>
      <c r="E971" s="15">
        <v>329</v>
      </c>
    </row>
    <row r="972" spans="1:5" x14ac:dyDescent="0.2">
      <c r="A972">
        <v>2022</v>
      </c>
      <c r="B972" t="s">
        <v>149</v>
      </c>
      <c r="C972" t="s">
        <v>123</v>
      </c>
      <c r="D972">
        <v>11</v>
      </c>
      <c r="E972" s="15">
        <v>579</v>
      </c>
    </row>
    <row r="973" spans="1:5" x14ac:dyDescent="0.2">
      <c r="A973">
        <v>2022</v>
      </c>
      <c r="B973" t="s">
        <v>150</v>
      </c>
      <c r="C973" t="s">
        <v>113</v>
      </c>
      <c r="D973">
        <v>1</v>
      </c>
      <c r="E973" s="15">
        <v>24</v>
      </c>
    </row>
    <row r="974" spans="1:5" x14ac:dyDescent="0.2">
      <c r="A974">
        <v>2022</v>
      </c>
      <c r="B974" t="s">
        <v>150</v>
      </c>
      <c r="C974" t="s">
        <v>114</v>
      </c>
      <c r="D974">
        <v>2</v>
      </c>
      <c r="E974" s="15">
        <v>474</v>
      </c>
    </row>
    <row r="975" spans="1:5" x14ac:dyDescent="0.2">
      <c r="A975">
        <v>2022</v>
      </c>
      <c r="B975" t="s">
        <v>150</v>
      </c>
      <c r="C975" t="s">
        <v>115</v>
      </c>
      <c r="D975">
        <v>3</v>
      </c>
      <c r="E975" s="15">
        <v>401</v>
      </c>
    </row>
    <row r="976" spans="1:5" x14ac:dyDescent="0.2">
      <c r="A976">
        <v>2022</v>
      </c>
      <c r="B976" t="s">
        <v>150</v>
      </c>
      <c r="C976" t="s">
        <v>116</v>
      </c>
      <c r="D976">
        <v>4</v>
      </c>
      <c r="E976" s="15">
        <v>158</v>
      </c>
    </row>
    <row r="977" spans="1:5" x14ac:dyDescent="0.2">
      <c r="A977">
        <v>2022</v>
      </c>
      <c r="B977" t="s">
        <v>150</v>
      </c>
      <c r="C977" t="s">
        <v>117</v>
      </c>
      <c r="D977">
        <v>5</v>
      </c>
      <c r="E977" s="15">
        <v>511</v>
      </c>
    </row>
    <row r="978" spans="1:5" x14ac:dyDescent="0.2">
      <c r="A978">
        <v>2022</v>
      </c>
      <c r="B978" t="s">
        <v>150</v>
      </c>
      <c r="C978" t="s">
        <v>118</v>
      </c>
      <c r="D978">
        <v>6</v>
      </c>
      <c r="E978" s="15">
        <v>767</v>
      </c>
    </row>
    <row r="979" spans="1:5" x14ac:dyDescent="0.2">
      <c r="A979">
        <v>2022</v>
      </c>
      <c r="B979" t="s">
        <v>150</v>
      </c>
      <c r="C979" t="s">
        <v>119</v>
      </c>
      <c r="D979">
        <v>7</v>
      </c>
      <c r="E979" s="15">
        <v>606</v>
      </c>
    </row>
    <row r="980" spans="1:5" x14ac:dyDescent="0.2">
      <c r="A980">
        <v>2022</v>
      </c>
      <c r="B980" t="s">
        <v>150</v>
      </c>
      <c r="C980" t="s">
        <v>120</v>
      </c>
      <c r="D980">
        <v>8</v>
      </c>
      <c r="E980" s="15">
        <v>2107</v>
      </c>
    </row>
    <row r="981" spans="1:5" x14ac:dyDescent="0.2">
      <c r="A981">
        <v>2022</v>
      </c>
      <c r="B981" t="s">
        <v>150</v>
      </c>
      <c r="C981" t="s">
        <v>121</v>
      </c>
      <c r="D981">
        <v>9</v>
      </c>
      <c r="E981" s="15">
        <v>2027</v>
      </c>
    </row>
    <row r="982" spans="1:5" x14ac:dyDescent="0.2">
      <c r="A982">
        <v>2022</v>
      </c>
      <c r="B982" t="s">
        <v>150</v>
      </c>
      <c r="C982" t="s">
        <v>122</v>
      </c>
      <c r="D982">
        <v>10</v>
      </c>
      <c r="E982" s="15">
        <v>2146</v>
      </c>
    </row>
    <row r="983" spans="1:5" x14ac:dyDescent="0.2">
      <c r="A983">
        <v>2022</v>
      </c>
      <c r="B983" t="s">
        <v>150</v>
      </c>
      <c r="C983" t="s">
        <v>123</v>
      </c>
      <c r="D983">
        <v>11</v>
      </c>
      <c r="E983" s="15">
        <v>3980</v>
      </c>
    </row>
    <row r="984" spans="1:5" x14ac:dyDescent="0.2">
      <c r="A984">
        <v>2022</v>
      </c>
      <c r="B984" t="s">
        <v>151</v>
      </c>
      <c r="C984" t="s">
        <v>113</v>
      </c>
      <c r="D984">
        <v>1</v>
      </c>
      <c r="E984" s="15">
        <v>155</v>
      </c>
    </row>
    <row r="985" spans="1:5" x14ac:dyDescent="0.2">
      <c r="A985">
        <v>2022</v>
      </c>
      <c r="B985" t="s">
        <v>151</v>
      </c>
      <c r="C985" t="s">
        <v>114</v>
      </c>
      <c r="D985">
        <v>2</v>
      </c>
      <c r="E985" s="15">
        <v>1818</v>
      </c>
    </row>
    <row r="986" spans="1:5" x14ac:dyDescent="0.2">
      <c r="A986">
        <v>2022</v>
      </c>
      <c r="B986" t="s">
        <v>151</v>
      </c>
      <c r="C986" t="s">
        <v>115</v>
      </c>
      <c r="D986">
        <v>3</v>
      </c>
      <c r="E986" s="15">
        <v>1552</v>
      </c>
    </row>
    <row r="987" spans="1:5" x14ac:dyDescent="0.2">
      <c r="A987">
        <v>2022</v>
      </c>
      <c r="B987" t="s">
        <v>151</v>
      </c>
      <c r="C987" t="s">
        <v>116</v>
      </c>
      <c r="D987">
        <v>4</v>
      </c>
      <c r="E987" s="15">
        <v>696</v>
      </c>
    </row>
    <row r="988" spans="1:5" x14ac:dyDescent="0.2">
      <c r="A988">
        <v>2022</v>
      </c>
      <c r="B988" t="s">
        <v>151</v>
      </c>
      <c r="C988" t="s">
        <v>117</v>
      </c>
      <c r="D988">
        <v>5</v>
      </c>
      <c r="E988" s="15">
        <v>2018</v>
      </c>
    </row>
    <row r="989" spans="1:5" x14ac:dyDescent="0.2">
      <c r="A989">
        <v>2022</v>
      </c>
      <c r="B989" t="s">
        <v>151</v>
      </c>
      <c r="C989" t="s">
        <v>118</v>
      </c>
      <c r="D989">
        <v>6</v>
      </c>
      <c r="E989" s="15">
        <v>3022</v>
      </c>
    </row>
    <row r="990" spans="1:5" x14ac:dyDescent="0.2">
      <c r="A990">
        <v>2022</v>
      </c>
      <c r="B990" t="s">
        <v>151</v>
      </c>
      <c r="C990" t="s">
        <v>119</v>
      </c>
      <c r="D990">
        <v>7</v>
      </c>
      <c r="E990" s="15">
        <v>1877</v>
      </c>
    </row>
    <row r="991" spans="1:5" x14ac:dyDescent="0.2">
      <c r="A991">
        <v>2022</v>
      </c>
      <c r="B991" t="s">
        <v>151</v>
      </c>
      <c r="C991" t="s">
        <v>120</v>
      </c>
      <c r="D991">
        <v>8</v>
      </c>
      <c r="E991" s="15">
        <v>6178</v>
      </c>
    </row>
    <row r="992" spans="1:5" x14ac:dyDescent="0.2">
      <c r="A992">
        <v>2022</v>
      </c>
      <c r="B992" t="s">
        <v>151</v>
      </c>
      <c r="C992" t="s">
        <v>121</v>
      </c>
      <c r="D992">
        <v>9</v>
      </c>
      <c r="E992" s="15">
        <v>6466</v>
      </c>
    </row>
    <row r="993" spans="1:5" x14ac:dyDescent="0.2">
      <c r="A993">
        <v>2022</v>
      </c>
      <c r="B993" t="s">
        <v>151</v>
      </c>
      <c r="C993" t="s">
        <v>122</v>
      </c>
      <c r="D993">
        <v>10</v>
      </c>
      <c r="E993" s="15">
        <v>7389</v>
      </c>
    </row>
    <row r="994" spans="1:5" x14ac:dyDescent="0.2">
      <c r="A994">
        <v>2022</v>
      </c>
      <c r="B994" t="s">
        <v>151</v>
      </c>
      <c r="C994" t="s">
        <v>123</v>
      </c>
      <c r="D994">
        <v>11</v>
      </c>
      <c r="E994" s="15">
        <v>22651</v>
      </c>
    </row>
    <row r="995" spans="1:5" x14ac:dyDescent="0.2">
      <c r="A995">
        <v>2022</v>
      </c>
      <c r="B995" t="s">
        <v>152</v>
      </c>
      <c r="C995" t="s">
        <v>113</v>
      </c>
      <c r="D995">
        <v>1</v>
      </c>
      <c r="E995" s="15">
        <v>3</v>
      </c>
    </row>
    <row r="996" spans="1:5" x14ac:dyDescent="0.2">
      <c r="A996">
        <v>2022</v>
      </c>
      <c r="B996" t="s">
        <v>152</v>
      </c>
      <c r="C996" t="s">
        <v>114</v>
      </c>
      <c r="D996">
        <v>2</v>
      </c>
      <c r="E996" s="15">
        <v>34</v>
      </c>
    </row>
    <row r="997" spans="1:5" x14ac:dyDescent="0.2">
      <c r="A997">
        <v>2022</v>
      </c>
      <c r="B997" t="s">
        <v>152</v>
      </c>
      <c r="C997" t="s">
        <v>115</v>
      </c>
      <c r="D997">
        <v>3</v>
      </c>
      <c r="E997" s="15">
        <v>152</v>
      </c>
    </row>
    <row r="998" spans="1:5" x14ac:dyDescent="0.2">
      <c r="A998">
        <v>2022</v>
      </c>
      <c r="B998" t="s">
        <v>152</v>
      </c>
      <c r="C998" t="s">
        <v>116</v>
      </c>
      <c r="D998">
        <v>4</v>
      </c>
      <c r="E998" s="15">
        <v>201</v>
      </c>
    </row>
    <row r="999" spans="1:5" x14ac:dyDescent="0.2">
      <c r="A999">
        <v>2022</v>
      </c>
      <c r="B999" t="s">
        <v>152</v>
      </c>
      <c r="C999" t="s">
        <v>117</v>
      </c>
      <c r="D999">
        <v>5</v>
      </c>
      <c r="E999" s="15">
        <v>1047</v>
      </c>
    </row>
    <row r="1000" spans="1:5" x14ac:dyDescent="0.2">
      <c r="A1000">
        <v>2022</v>
      </c>
      <c r="B1000" t="s">
        <v>152</v>
      </c>
      <c r="C1000" t="s">
        <v>118</v>
      </c>
      <c r="D1000">
        <v>6</v>
      </c>
      <c r="E1000" s="15">
        <v>2963</v>
      </c>
    </row>
    <row r="1001" spans="1:5" x14ac:dyDescent="0.2">
      <c r="A1001">
        <v>2022</v>
      </c>
      <c r="B1001" t="s">
        <v>152</v>
      </c>
      <c r="C1001" t="s">
        <v>119</v>
      </c>
      <c r="D1001">
        <v>7</v>
      </c>
      <c r="E1001" s="15">
        <v>1993</v>
      </c>
    </row>
    <row r="1002" spans="1:5" x14ac:dyDescent="0.2">
      <c r="A1002">
        <v>2022</v>
      </c>
      <c r="B1002" t="s">
        <v>152</v>
      </c>
      <c r="C1002" t="s">
        <v>120</v>
      </c>
      <c r="D1002">
        <v>8</v>
      </c>
      <c r="E1002" s="15">
        <v>4997</v>
      </c>
    </row>
    <row r="1003" spans="1:5" x14ac:dyDescent="0.2">
      <c r="A1003">
        <v>2022</v>
      </c>
      <c r="B1003" t="s">
        <v>152</v>
      </c>
      <c r="C1003" t="s">
        <v>121</v>
      </c>
      <c r="D1003">
        <v>9</v>
      </c>
      <c r="E1003" s="15">
        <v>4022</v>
      </c>
    </row>
    <row r="1004" spans="1:5" x14ac:dyDescent="0.2">
      <c r="A1004">
        <v>2022</v>
      </c>
      <c r="B1004" t="s">
        <v>152</v>
      </c>
      <c r="C1004" t="s">
        <v>122</v>
      </c>
      <c r="D1004">
        <v>10</v>
      </c>
      <c r="E1004" s="15">
        <v>3821</v>
      </c>
    </row>
    <row r="1005" spans="1:5" x14ac:dyDescent="0.2">
      <c r="A1005">
        <v>2022</v>
      </c>
      <c r="B1005" t="s">
        <v>152</v>
      </c>
      <c r="C1005" t="s">
        <v>123</v>
      </c>
      <c r="D1005">
        <v>11</v>
      </c>
      <c r="E1005" s="15">
        <v>6404</v>
      </c>
    </row>
    <row r="1006" spans="1:5" x14ac:dyDescent="0.2">
      <c r="A1006">
        <v>2023</v>
      </c>
      <c r="B1006" t="s">
        <v>140</v>
      </c>
      <c r="C1006" t="s">
        <v>113</v>
      </c>
      <c r="D1006">
        <v>1</v>
      </c>
      <c r="E1006" s="15">
        <v>322</v>
      </c>
    </row>
    <row r="1007" spans="1:5" x14ac:dyDescent="0.2">
      <c r="A1007">
        <v>2023</v>
      </c>
      <c r="B1007" t="s">
        <v>140</v>
      </c>
      <c r="C1007" t="s">
        <v>114</v>
      </c>
      <c r="D1007">
        <v>2</v>
      </c>
      <c r="E1007" s="15">
        <v>3260</v>
      </c>
    </row>
    <row r="1008" spans="1:5" x14ac:dyDescent="0.2">
      <c r="A1008">
        <v>2023</v>
      </c>
      <c r="B1008" t="s">
        <v>140</v>
      </c>
      <c r="C1008" t="s">
        <v>115</v>
      </c>
      <c r="D1008">
        <v>3</v>
      </c>
      <c r="E1008" s="15">
        <v>2446</v>
      </c>
    </row>
    <row r="1009" spans="1:5" x14ac:dyDescent="0.2">
      <c r="A1009">
        <v>2023</v>
      </c>
      <c r="B1009" t="s">
        <v>140</v>
      </c>
      <c r="C1009" t="s">
        <v>116</v>
      </c>
      <c r="D1009">
        <v>4</v>
      </c>
      <c r="E1009" s="15">
        <v>1183</v>
      </c>
    </row>
    <row r="1010" spans="1:5" x14ac:dyDescent="0.2">
      <c r="A1010">
        <v>2023</v>
      </c>
      <c r="B1010" t="s">
        <v>140</v>
      </c>
      <c r="C1010" t="s">
        <v>117</v>
      </c>
      <c r="D1010">
        <v>5</v>
      </c>
      <c r="E1010" s="15">
        <v>3496</v>
      </c>
    </row>
    <row r="1011" spans="1:5" x14ac:dyDescent="0.2">
      <c r="A1011">
        <v>2023</v>
      </c>
      <c r="B1011" t="s">
        <v>140</v>
      </c>
      <c r="C1011" t="s">
        <v>118</v>
      </c>
      <c r="D1011">
        <v>6</v>
      </c>
      <c r="E1011" s="15">
        <v>4295</v>
      </c>
    </row>
    <row r="1012" spans="1:5" x14ac:dyDescent="0.2">
      <c r="A1012">
        <v>2023</v>
      </c>
      <c r="B1012" t="s">
        <v>140</v>
      </c>
      <c r="C1012" t="s">
        <v>119</v>
      </c>
      <c r="D1012">
        <v>7</v>
      </c>
      <c r="E1012" s="15">
        <v>2216</v>
      </c>
    </row>
    <row r="1013" spans="1:5" x14ac:dyDescent="0.2">
      <c r="A1013">
        <v>2023</v>
      </c>
      <c r="B1013" t="s">
        <v>140</v>
      </c>
      <c r="C1013" t="s">
        <v>120</v>
      </c>
      <c r="D1013">
        <v>8</v>
      </c>
      <c r="E1013" s="15">
        <v>6652</v>
      </c>
    </row>
    <row r="1014" spans="1:5" x14ac:dyDescent="0.2">
      <c r="A1014">
        <v>2023</v>
      </c>
      <c r="B1014" t="s">
        <v>140</v>
      </c>
      <c r="C1014" t="s">
        <v>121</v>
      </c>
      <c r="D1014">
        <v>9</v>
      </c>
      <c r="E1014" s="15">
        <v>6860</v>
      </c>
    </row>
    <row r="1015" spans="1:5" x14ac:dyDescent="0.2">
      <c r="A1015">
        <v>2023</v>
      </c>
      <c r="B1015" t="s">
        <v>140</v>
      </c>
      <c r="C1015" t="s">
        <v>122</v>
      </c>
      <c r="D1015">
        <v>10</v>
      </c>
      <c r="E1015" s="15">
        <v>9831</v>
      </c>
    </row>
    <row r="1016" spans="1:5" x14ac:dyDescent="0.2">
      <c r="A1016">
        <v>2023</v>
      </c>
      <c r="B1016" t="s">
        <v>140</v>
      </c>
      <c r="C1016" t="s">
        <v>123</v>
      </c>
      <c r="D1016">
        <v>11</v>
      </c>
      <c r="E1016" s="15">
        <v>35886</v>
      </c>
    </row>
    <row r="1017" spans="1:5" x14ac:dyDescent="0.2">
      <c r="A1017">
        <v>2023</v>
      </c>
      <c r="B1017" t="s">
        <v>141</v>
      </c>
      <c r="C1017" t="s">
        <v>113</v>
      </c>
      <c r="D1017">
        <v>1</v>
      </c>
      <c r="E1017" s="15">
        <v>559</v>
      </c>
    </row>
    <row r="1018" spans="1:5" x14ac:dyDescent="0.2">
      <c r="A1018">
        <v>2023</v>
      </c>
      <c r="B1018" t="s">
        <v>141</v>
      </c>
      <c r="C1018" t="s">
        <v>114</v>
      </c>
      <c r="D1018">
        <v>2</v>
      </c>
      <c r="E1018" s="15">
        <v>5147</v>
      </c>
    </row>
    <row r="1019" spans="1:5" x14ac:dyDescent="0.2">
      <c r="A1019">
        <v>2023</v>
      </c>
      <c r="B1019" t="s">
        <v>141</v>
      </c>
      <c r="C1019" t="s">
        <v>115</v>
      </c>
      <c r="D1019">
        <v>3</v>
      </c>
      <c r="E1019" s="15">
        <v>3801</v>
      </c>
    </row>
    <row r="1020" spans="1:5" x14ac:dyDescent="0.2">
      <c r="A1020">
        <v>2023</v>
      </c>
      <c r="B1020" t="s">
        <v>141</v>
      </c>
      <c r="C1020" t="s">
        <v>116</v>
      </c>
      <c r="D1020">
        <v>4</v>
      </c>
      <c r="E1020" s="15">
        <v>1637</v>
      </c>
    </row>
    <row r="1021" spans="1:5" x14ac:dyDescent="0.2">
      <c r="A1021">
        <v>2023</v>
      </c>
      <c r="B1021" t="s">
        <v>141</v>
      </c>
      <c r="C1021" t="s">
        <v>117</v>
      </c>
      <c r="D1021">
        <v>5</v>
      </c>
      <c r="E1021" s="15">
        <v>5832</v>
      </c>
    </row>
    <row r="1022" spans="1:5" x14ac:dyDescent="0.2">
      <c r="A1022">
        <v>2023</v>
      </c>
      <c r="B1022" t="s">
        <v>141</v>
      </c>
      <c r="C1022" t="s">
        <v>118</v>
      </c>
      <c r="D1022">
        <v>6</v>
      </c>
      <c r="E1022" s="15">
        <v>10214</v>
      </c>
    </row>
    <row r="1023" spans="1:5" x14ac:dyDescent="0.2">
      <c r="A1023">
        <v>2023</v>
      </c>
      <c r="B1023" t="s">
        <v>141</v>
      </c>
      <c r="C1023" t="s">
        <v>119</v>
      </c>
      <c r="D1023">
        <v>7</v>
      </c>
      <c r="E1023" s="15">
        <v>5481</v>
      </c>
    </row>
    <row r="1024" spans="1:5" x14ac:dyDescent="0.2">
      <c r="A1024">
        <v>2023</v>
      </c>
      <c r="B1024" t="s">
        <v>141</v>
      </c>
      <c r="C1024" t="s">
        <v>120</v>
      </c>
      <c r="D1024">
        <v>8</v>
      </c>
      <c r="E1024" s="15">
        <v>15901</v>
      </c>
    </row>
    <row r="1025" spans="1:5" x14ac:dyDescent="0.2">
      <c r="A1025">
        <v>2023</v>
      </c>
      <c r="B1025" t="s">
        <v>141</v>
      </c>
      <c r="C1025" t="s">
        <v>121</v>
      </c>
      <c r="D1025">
        <v>9</v>
      </c>
      <c r="E1025" s="15">
        <v>14735</v>
      </c>
    </row>
    <row r="1026" spans="1:5" x14ac:dyDescent="0.2">
      <c r="A1026">
        <v>2023</v>
      </c>
      <c r="B1026" t="s">
        <v>141</v>
      </c>
      <c r="C1026" t="s">
        <v>122</v>
      </c>
      <c r="D1026">
        <v>10</v>
      </c>
      <c r="E1026" s="15">
        <v>19074</v>
      </c>
    </row>
    <row r="1027" spans="1:5" x14ac:dyDescent="0.2">
      <c r="A1027">
        <v>2023</v>
      </c>
      <c r="B1027" t="s">
        <v>141</v>
      </c>
      <c r="C1027" t="s">
        <v>123</v>
      </c>
      <c r="D1027">
        <v>11</v>
      </c>
      <c r="E1027" s="15">
        <v>60587</v>
      </c>
    </row>
    <row r="1028" spans="1:5" x14ac:dyDescent="0.2">
      <c r="A1028">
        <v>2023</v>
      </c>
      <c r="B1028" t="s">
        <v>142</v>
      </c>
      <c r="C1028" t="s">
        <v>113</v>
      </c>
      <c r="D1028">
        <v>1</v>
      </c>
      <c r="E1028" s="15">
        <v>64</v>
      </c>
    </row>
    <row r="1029" spans="1:5" x14ac:dyDescent="0.2">
      <c r="A1029">
        <v>2023</v>
      </c>
      <c r="B1029" t="s">
        <v>142</v>
      </c>
      <c r="C1029" t="s">
        <v>114</v>
      </c>
      <c r="D1029">
        <v>2</v>
      </c>
      <c r="E1029" s="15">
        <v>960</v>
      </c>
    </row>
    <row r="1030" spans="1:5" x14ac:dyDescent="0.2">
      <c r="A1030">
        <v>2023</v>
      </c>
      <c r="B1030" t="s">
        <v>142</v>
      </c>
      <c r="C1030" t="s">
        <v>115</v>
      </c>
      <c r="D1030">
        <v>3</v>
      </c>
      <c r="E1030" s="15">
        <v>769</v>
      </c>
    </row>
    <row r="1031" spans="1:5" x14ac:dyDescent="0.2">
      <c r="A1031">
        <v>2023</v>
      </c>
      <c r="B1031" t="s">
        <v>142</v>
      </c>
      <c r="C1031" t="s">
        <v>116</v>
      </c>
      <c r="D1031">
        <v>4</v>
      </c>
      <c r="E1031" s="15">
        <v>323</v>
      </c>
    </row>
    <row r="1032" spans="1:5" x14ac:dyDescent="0.2">
      <c r="A1032">
        <v>2023</v>
      </c>
      <c r="B1032" t="s">
        <v>142</v>
      </c>
      <c r="C1032" t="s">
        <v>117</v>
      </c>
      <c r="D1032">
        <v>5</v>
      </c>
      <c r="E1032" s="15">
        <v>938</v>
      </c>
    </row>
    <row r="1033" spans="1:5" x14ac:dyDescent="0.2">
      <c r="A1033">
        <v>2023</v>
      </c>
      <c r="B1033" t="s">
        <v>142</v>
      </c>
      <c r="C1033" t="s">
        <v>118</v>
      </c>
      <c r="D1033">
        <v>6</v>
      </c>
      <c r="E1033" s="15">
        <v>1801</v>
      </c>
    </row>
    <row r="1034" spans="1:5" x14ac:dyDescent="0.2">
      <c r="A1034">
        <v>2023</v>
      </c>
      <c r="B1034" t="s">
        <v>142</v>
      </c>
      <c r="C1034" t="s">
        <v>119</v>
      </c>
      <c r="D1034">
        <v>7</v>
      </c>
      <c r="E1034" s="15">
        <v>1123</v>
      </c>
    </row>
    <row r="1035" spans="1:5" x14ac:dyDescent="0.2">
      <c r="A1035">
        <v>2023</v>
      </c>
      <c r="B1035" t="s">
        <v>142</v>
      </c>
      <c r="C1035" t="s">
        <v>120</v>
      </c>
      <c r="D1035">
        <v>8</v>
      </c>
      <c r="E1035" s="15">
        <v>3548</v>
      </c>
    </row>
    <row r="1036" spans="1:5" x14ac:dyDescent="0.2">
      <c r="A1036">
        <v>2023</v>
      </c>
      <c r="B1036" t="s">
        <v>142</v>
      </c>
      <c r="C1036" t="s">
        <v>121</v>
      </c>
      <c r="D1036">
        <v>9</v>
      </c>
      <c r="E1036" s="15">
        <v>3284</v>
      </c>
    </row>
    <row r="1037" spans="1:5" x14ac:dyDescent="0.2">
      <c r="A1037">
        <v>2023</v>
      </c>
      <c r="B1037" t="s">
        <v>142</v>
      </c>
      <c r="C1037" t="s">
        <v>122</v>
      </c>
      <c r="D1037">
        <v>10</v>
      </c>
      <c r="E1037" s="15">
        <v>4091</v>
      </c>
    </row>
    <row r="1038" spans="1:5" x14ac:dyDescent="0.2">
      <c r="A1038">
        <v>2023</v>
      </c>
      <c r="B1038" t="s">
        <v>142</v>
      </c>
      <c r="C1038" t="s">
        <v>123</v>
      </c>
      <c r="D1038">
        <v>11</v>
      </c>
      <c r="E1038" s="15">
        <v>10694</v>
      </c>
    </row>
    <row r="1039" spans="1:5" x14ac:dyDescent="0.2">
      <c r="A1039">
        <v>2023</v>
      </c>
      <c r="B1039" t="s">
        <v>143</v>
      </c>
      <c r="C1039" t="s">
        <v>113</v>
      </c>
      <c r="D1039">
        <v>1</v>
      </c>
      <c r="E1039" s="15">
        <v>78</v>
      </c>
    </row>
    <row r="1040" spans="1:5" x14ac:dyDescent="0.2">
      <c r="A1040">
        <v>2023</v>
      </c>
      <c r="B1040" t="s">
        <v>143</v>
      </c>
      <c r="C1040" t="s">
        <v>114</v>
      </c>
      <c r="D1040">
        <v>2</v>
      </c>
      <c r="E1040" s="15">
        <v>1055</v>
      </c>
    </row>
    <row r="1041" spans="1:5" x14ac:dyDescent="0.2">
      <c r="A1041">
        <v>2023</v>
      </c>
      <c r="B1041" t="s">
        <v>143</v>
      </c>
      <c r="C1041" t="s">
        <v>115</v>
      </c>
      <c r="D1041">
        <v>3</v>
      </c>
      <c r="E1041" s="15">
        <v>1041</v>
      </c>
    </row>
    <row r="1042" spans="1:5" x14ac:dyDescent="0.2">
      <c r="A1042">
        <v>2023</v>
      </c>
      <c r="B1042" t="s">
        <v>143</v>
      </c>
      <c r="C1042" t="s">
        <v>116</v>
      </c>
      <c r="D1042">
        <v>4</v>
      </c>
      <c r="E1042" s="15">
        <v>460</v>
      </c>
    </row>
    <row r="1043" spans="1:5" x14ac:dyDescent="0.2">
      <c r="A1043">
        <v>2023</v>
      </c>
      <c r="B1043" t="s">
        <v>143</v>
      </c>
      <c r="C1043" t="s">
        <v>117</v>
      </c>
      <c r="D1043">
        <v>5</v>
      </c>
      <c r="E1043" s="15">
        <v>1161</v>
      </c>
    </row>
    <row r="1044" spans="1:5" x14ac:dyDescent="0.2">
      <c r="A1044">
        <v>2023</v>
      </c>
      <c r="B1044" t="s">
        <v>143</v>
      </c>
      <c r="C1044" t="s">
        <v>118</v>
      </c>
      <c r="D1044">
        <v>6</v>
      </c>
      <c r="E1044" s="15">
        <v>1221</v>
      </c>
    </row>
    <row r="1045" spans="1:5" x14ac:dyDescent="0.2">
      <c r="A1045">
        <v>2023</v>
      </c>
      <c r="B1045" t="s">
        <v>143</v>
      </c>
      <c r="C1045" t="s">
        <v>119</v>
      </c>
      <c r="D1045">
        <v>7</v>
      </c>
      <c r="E1045" s="15">
        <v>584</v>
      </c>
    </row>
    <row r="1046" spans="1:5" x14ac:dyDescent="0.2">
      <c r="A1046">
        <v>2023</v>
      </c>
      <c r="B1046" t="s">
        <v>143</v>
      </c>
      <c r="C1046" t="s">
        <v>120</v>
      </c>
      <c r="D1046">
        <v>8</v>
      </c>
      <c r="E1046" s="15">
        <v>1904</v>
      </c>
    </row>
    <row r="1047" spans="1:5" x14ac:dyDescent="0.2">
      <c r="A1047">
        <v>2023</v>
      </c>
      <c r="B1047" t="s">
        <v>143</v>
      </c>
      <c r="C1047" t="s">
        <v>121</v>
      </c>
      <c r="D1047">
        <v>9</v>
      </c>
      <c r="E1047" s="15">
        <v>2142</v>
      </c>
    </row>
    <row r="1048" spans="1:5" x14ac:dyDescent="0.2">
      <c r="A1048">
        <v>2023</v>
      </c>
      <c r="B1048" t="s">
        <v>143</v>
      </c>
      <c r="C1048" t="s">
        <v>122</v>
      </c>
      <c r="D1048">
        <v>10</v>
      </c>
      <c r="E1048" s="15">
        <v>2728</v>
      </c>
    </row>
    <row r="1049" spans="1:5" x14ac:dyDescent="0.2">
      <c r="A1049">
        <v>2023</v>
      </c>
      <c r="B1049" t="s">
        <v>143</v>
      </c>
      <c r="C1049" t="s">
        <v>123</v>
      </c>
      <c r="D1049">
        <v>11</v>
      </c>
      <c r="E1049" s="15">
        <v>9268</v>
      </c>
    </row>
    <row r="1050" spans="1:5" x14ac:dyDescent="0.2">
      <c r="A1050">
        <v>2023</v>
      </c>
      <c r="B1050" t="s">
        <v>144</v>
      </c>
      <c r="C1050" t="s">
        <v>113</v>
      </c>
      <c r="D1050">
        <v>1</v>
      </c>
      <c r="E1050" s="15">
        <v>169</v>
      </c>
    </row>
    <row r="1051" spans="1:5" x14ac:dyDescent="0.2">
      <c r="A1051">
        <v>2023</v>
      </c>
      <c r="B1051" t="s">
        <v>144</v>
      </c>
      <c r="C1051" t="s">
        <v>114</v>
      </c>
      <c r="D1051">
        <v>2</v>
      </c>
      <c r="E1051" s="15">
        <v>2119</v>
      </c>
    </row>
    <row r="1052" spans="1:5" x14ac:dyDescent="0.2">
      <c r="A1052">
        <v>2023</v>
      </c>
      <c r="B1052" t="s">
        <v>144</v>
      </c>
      <c r="C1052" t="s">
        <v>115</v>
      </c>
      <c r="D1052">
        <v>3</v>
      </c>
      <c r="E1052" s="15">
        <v>1548</v>
      </c>
    </row>
    <row r="1053" spans="1:5" x14ac:dyDescent="0.2">
      <c r="A1053">
        <v>2023</v>
      </c>
      <c r="B1053" t="s">
        <v>144</v>
      </c>
      <c r="C1053" t="s">
        <v>116</v>
      </c>
      <c r="D1053">
        <v>4</v>
      </c>
      <c r="E1053" s="15">
        <v>648</v>
      </c>
    </row>
    <row r="1054" spans="1:5" x14ac:dyDescent="0.2">
      <c r="A1054">
        <v>2023</v>
      </c>
      <c r="B1054" t="s">
        <v>144</v>
      </c>
      <c r="C1054" t="s">
        <v>117</v>
      </c>
      <c r="D1054">
        <v>5</v>
      </c>
      <c r="E1054" s="15">
        <v>1948</v>
      </c>
    </row>
    <row r="1055" spans="1:5" x14ac:dyDescent="0.2">
      <c r="A1055">
        <v>2023</v>
      </c>
      <c r="B1055" t="s">
        <v>144</v>
      </c>
      <c r="C1055" t="s">
        <v>118</v>
      </c>
      <c r="D1055">
        <v>6</v>
      </c>
      <c r="E1055" s="15">
        <v>2656</v>
      </c>
    </row>
    <row r="1056" spans="1:5" x14ac:dyDescent="0.2">
      <c r="A1056">
        <v>2023</v>
      </c>
      <c r="B1056" t="s">
        <v>144</v>
      </c>
      <c r="C1056" t="s">
        <v>119</v>
      </c>
      <c r="D1056">
        <v>7</v>
      </c>
      <c r="E1056" s="15">
        <v>1640</v>
      </c>
    </row>
    <row r="1057" spans="1:5" x14ac:dyDescent="0.2">
      <c r="A1057">
        <v>2023</v>
      </c>
      <c r="B1057" t="s">
        <v>144</v>
      </c>
      <c r="C1057" t="s">
        <v>120</v>
      </c>
      <c r="D1057">
        <v>8</v>
      </c>
      <c r="E1057" s="15">
        <v>5161</v>
      </c>
    </row>
    <row r="1058" spans="1:5" x14ac:dyDescent="0.2">
      <c r="A1058">
        <v>2023</v>
      </c>
      <c r="B1058" t="s">
        <v>144</v>
      </c>
      <c r="C1058" t="s">
        <v>121</v>
      </c>
      <c r="D1058">
        <v>9</v>
      </c>
      <c r="E1058" s="15">
        <v>5057</v>
      </c>
    </row>
    <row r="1059" spans="1:5" x14ac:dyDescent="0.2">
      <c r="A1059">
        <v>2023</v>
      </c>
      <c r="B1059" t="s">
        <v>144</v>
      </c>
      <c r="C1059" t="s">
        <v>122</v>
      </c>
      <c r="D1059">
        <v>10</v>
      </c>
      <c r="E1059" s="15">
        <v>6644</v>
      </c>
    </row>
    <row r="1060" spans="1:5" x14ac:dyDescent="0.2">
      <c r="A1060">
        <v>2023</v>
      </c>
      <c r="B1060" t="s">
        <v>144</v>
      </c>
      <c r="C1060" t="s">
        <v>123</v>
      </c>
      <c r="D1060">
        <v>11</v>
      </c>
      <c r="E1060" s="15">
        <v>22321</v>
      </c>
    </row>
    <row r="1061" spans="1:5" x14ac:dyDescent="0.2">
      <c r="A1061">
        <v>2023</v>
      </c>
      <c r="B1061" t="s">
        <v>145</v>
      </c>
      <c r="C1061" t="s">
        <v>113</v>
      </c>
      <c r="D1061">
        <v>1</v>
      </c>
      <c r="E1061" s="15">
        <v>12</v>
      </c>
    </row>
    <row r="1062" spans="1:5" x14ac:dyDescent="0.2">
      <c r="A1062">
        <v>2023</v>
      </c>
      <c r="B1062" t="s">
        <v>145</v>
      </c>
      <c r="C1062" t="s">
        <v>114</v>
      </c>
      <c r="D1062">
        <v>2</v>
      </c>
      <c r="E1062" s="15">
        <v>189</v>
      </c>
    </row>
    <row r="1063" spans="1:5" x14ac:dyDescent="0.2">
      <c r="A1063">
        <v>2023</v>
      </c>
      <c r="B1063" t="s">
        <v>145</v>
      </c>
      <c r="C1063" t="s">
        <v>115</v>
      </c>
      <c r="D1063">
        <v>3</v>
      </c>
      <c r="E1063" s="15">
        <v>315</v>
      </c>
    </row>
    <row r="1064" spans="1:5" x14ac:dyDescent="0.2">
      <c r="A1064">
        <v>2023</v>
      </c>
      <c r="B1064" t="s">
        <v>145</v>
      </c>
      <c r="C1064" t="s">
        <v>116</v>
      </c>
      <c r="D1064">
        <v>4</v>
      </c>
      <c r="E1064" s="15">
        <v>130</v>
      </c>
    </row>
    <row r="1065" spans="1:5" x14ac:dyDescent="0.2">
      <c r="A1065">
        <v>2023</v>
      </c>
      <c r="B1065" t="s">
        <v>145</v>
      </c>
      <c r="C1065" t="s">
        <v>117</v>
      </c>
      <c r="D1065">
        <v>5</v>
      </c>
      <c r="E1065" s="15">
        <v>437</v>
      </c>
    </row>
    <row r="1066" spans="1:5" x14ac:dyDescent="0.2">
      <c r="A1066">
        <v>2023</v>
      </c>
      <c r="B1066" t="s">
        <v>145</v>
      </c>
      <c r="C1066" t="s">
        <v>118</v>
      </c>
      <c r="D1066">
        <v>6</v>
      </c>
      <c r="E1066" s="15">
        <v>1004</v>
      </c>
    </row>
    <row r="1067" spans="1:5" x14ac:dyDescent="0.2">
      <c r="A1067">
        <v>2023</v>
      </c>
      <c r="B1067" t="s">
        <v>145</v>
      </c>
      <c r="C1067" t="s">
        <v>119</v>
      </c>
      <c r="D1067">
        <v>7</v>
      </c>
      <c r="E1067" s="15">
        <v>898</v>
      </c>
    </row>
    <row r="1068" spans="1:5" x14ac:dyDescent="0.2">
      <c r="A1068">
        <v>2023</v>
      </c>
      <c r="B1068" t="s">
        <v>145</v>
      </c>
      <c r="C1068" t="s">
        <v>120</v>
      </c>
      <c r="D1068">
        <v>8</v>
      </c>
      <c r="E1068" s="15">
        <v>3020</v>
      </c>
    </row>
    <row r="1069" spans="1:5" x14ac:dyDescent="0.2">
      <c r="A1069">
        <v>2023</v>
      </c>
      <c r="B1069" t="s">
        <v>145</v>
      </c>
      <c r="C1069" t="s">
        <v>121</v>
      </c>
      <c r="D1069">
        <v>9</v>
      </c>
      <c r="E1069" s="15">
        <v>2643</v>
      </c>
    </row>
    <row r="1070" spans="1:5" x14ac:dyDescent="0.2">
      <c r="A1070">
        <v>2023</v>
      </c>
      <c r="B1070" t="s">
        <v>145</v>
      </c>
      <c r="C1070" t="s">
        <v>122</v>
      </c>
      <c r="D1070">
        <v>10</v>
      </c>
      <c r="E1070" s="15">
        <v>3095</v>
      </c>
    </row>
    <row r="1071" spans="1:5" x14ac:dyDescent="0.2">
      <c r="A1071">
        <v>2023</v>
      </c>
      <c r="B1071" t="s">
        <v>145</v>
      </c>
      <c r="C1071" t="s">
        <v>123</v>
      </c>
      <c r="D1071">
        <v>11</v>
      </c>
      <c r="E1071" s="15">
        <v>6356</v>
      </c>
    </row>
    <row r="1072" spans="1:5" x14ac:dyDescent="0.2">
      <c r="A1072">
        <v>2023</v>
      </c>
      <c r="B1072" t="s">
        <v>146</v>
      </c>
      <c r="C1072" t="s">
        <v>113</v>
      </c>
      <c r="D1072">
        <v>1</v>
      </c>
      <c r="E1072" s="15">
        <v>169</v>
      </c>
    </row>
    <row r="1073" spans="1:5" x14ac:dyDescent="0.2">
      <c r="A1073">
        <v>2023</v>
      </c>
      <c r="B1073" t="s">
        <v>146</v>
      </c>
      <c r="C1073" t="s">
        <v>114</v>
      </c>
      <c r="D1073">
        <v>2</v>
      </c>
      <c r="E1073" s="15">
        <v>2187</v>
      </c>
    </row>
    <row r="1074" spans="1:5" x14ac:dyDescent="0.2">
      <c r="A1074">
        <v>2023</v>
      </c>
      <c r="B1074" t="s">
        <v>146</v>
      </c>
      <c r="C1074" t="s">
        <v>115</v>
      </c>
      <c r="D1074">
        <v>3</v>
      </c>
      <c r="E1074" s="15">
        <v>1834</v>
      </c>
    </row>
    <row r="1075" spans="1:5" x14ac:dyDescent="0.2">
      <c r="A1075">
        <v>2023</v>
      </c>
      <c r="B1075" t="s">
        <v>146</v>
      </c>
      <c r="C1075" t="s">
        <v>116</v>
      </c>
      <c r="D1075">
        <v>4</v>
      </c>
      <c r="E1075" s="15">
        <v>944</v>
      </c>
    </row>
    <row r="1076" spans="1:5" x14ac:dyDescent="0.2">
      <c r="A1076">
        <v>2023</v>
      </c>
      <c r="B1076" t="s">
        <v>146</v>
      </c>
      <c r="C1076" t="s">
        <v>117</v>
      </c>
      <c r="D1076">
        <v>5</v>
      </c>
      <c r="E1076" s="15">
        <v>3044</v>
      </c>
    </row>
    <row r="1077" spans="1:5" x14ac:dyDescent="0.2">
      <c r="A1077">
        <v>2023</v>
      </c>
      <c r="B1077" t="s">
        <v>146</v>
      </c>
      <c r="C1077" t="s">
        <v>118</v>
      </c>
      <c r="D1077">
        <v>6</v>
      </c>
      <c r="E1077" s="15">
        <v>4459</v>
      </c>
    </row>
    <row r="1078" spans="1:5" x14ac:dyDescent="0.2">
      <c r="A1078">
        <v>2023</v>
      </c>
      <c r="B1078" t="s">
        <v>146</v>
      </c>
      <c r="C1078" t="s">
        <v>119</v>
      </c>
      <c r="D1078">
        <v>7</v>
      </c>
      <c r="E1078" s="15">
        <v>2668</v>
      </c>
    </row>
    <row r="1079" spans="1:5" x14ac:dyDescent="0.2">
      <c r="A1079">
        <v>2023</v>
      </c>
      <c r="B1079" t="s">
        <v>146</v>
      </c>
      <c r="C1079" t="s">
        <v>120</v>
      </c>
      <c r="D1079">
        <v>8</v>
      </c>
      <c r="E1079" s="15">
        <v>7926</v>
      </c>
    </row>
    <row r="1080" spans="1:5" x14ac:dyDescent="0.2">
      <c r="A1080">
        <v>2023</v>
      </c>
      <c r="B1080" t="s">
        <v>146</v>
      </c>
      <c r="C1080" t="s">
        <v>121</v>
      </c>
      <c r="D1080">
        <v>9</v>
      </c>
      <c r="E1080" s="15">
        <v>7959</v>
      </c>
    </row>
    <row r="1081" spans="1:5" x14ac:dyDescent="0.2">
      <c r="A1081">
        <v>2023</v>
      </c>
      <c r="B1081" t="s">
        <v>146</v>
      </c>
      <c r="C1081" t="s">
        <v>122</v>
      </c>
      <c r="D1081">
        <v>10</v>
      </c>
      <c r="E1081" s="15">
        <v>10148</v>
      </c>
    </row>
    <row r="1082" spans="1:5" x14ac:dyDescent="0.2">
      <c r="A1082">
        <v>2023</v>
      </c>
      <c r="B1082" t="s">
        <v>146</v>
      </c>
      <c r="C1082" t="s">
        <v>123</v>
      </c>
      <c r="D1082">
        <v>11</v>
      </c>
      <c r="E1082" s="15">
        <v>33110</v>
      </c>
    </row>
    <row r="1083" spans="1:5" x14ac:dyDescent="0.2">
      <c r="A1083">
        <v>2023</v>
      </c>
      <c r="B1083" t="s">
        <v>147</v>
      </c>
      <c r="C1083" t="s">
        <v>113</v>
      </c>
      <c r="D1083">
        <v>1</v>
      </c>
      <c r="E1083" s="15">
        <v>426</v>
      </c>
    </row>
    <row r="1084" spans="1:5" x14ac:dyDescent="0.2">
      <c r="A1084">
        <v>2023</v>
      </c>
      <c r="B1084" t="s">
        <v>147</v>
      </c>
      <c r="C1084" t="s">
        <v>114</v>
      </c>
      <c r="D1084">
        <v>2</v>
      </c>
      <c r="E1084" s="15">
        <v>4153</v>
      </c>
    </row>
    <row r="1085" spans="1:5" x14ac:dyDescent="0.2">
      <c r="A1085">
        <v>2023</v>
      </c>
      <c r="B1085" t="s">
        <v>147</v>
      </c>
      <c r="C1085" t="s">
        <v>115</v>
      </c>
      <c r="D1085">
        <v>3</v>
      </c>
      <c r="E1085" s="15">
        <v>3639</v>
      </c>
    </row>
    <row r="1086" spans="1:5" x14ac:dyDescent="0.2">
      <c r="A1086">
        <v>2023</v>
      </c>
      <c r="B1086" t="s">
        <v>147</v>
      </c>
      <c r="C1086" t="s">
        <v>116</v>
      </c>
      <c r="D1086">
        <v>4</v>
      </c>
      <c r="E1086" s="15">
        <v>1873</v>
      </c>
    </row>
    <row r="1087" spans="1:5" x14ac:dyDescent="0.2">
      <c r="A1087">
        <v>2023</v>
      </c>
      <c r="B1087" t="s">
        <v>147</v>
      </c>
      <c r="C1087" t="s">
        <v>117</v>
      </c>
      <c r="D1087">
        <v>5</v>
      </c>
      <c r="E1087" s="15">
        <v>6328</v>
      </c>
    </row>
    <row r="1088" spans="1:5" x14ac:dyDescent="0.2">
      <c r="A1088">
        <v>2023</v>
      </c>
      <c r="B1088" t="s">
        <v>147</v>
      </c>
      <c r="C1088" t="s">
        <v>118</v>
      </c>
      <c r="D1088">
        <v>6</v>
      </c>
      <c r="E1088" s="15">
        <v>9613</v>
      </c>
    </row>
    <row r="1089" spans="1:5" x14ac:dyDescent="0.2">
      <c r="A1089">
        <v>2023</v>
      </c>
      <c r="B1089" t="s">
        <v>147</v>
      </c>
      <c r="C1089" t="s">
        <v>119</v>
      </c>
      <c r="D1089">
        <v>7</v>
      </c>
      <c r="E1089" s="15">
        <v>4979</v>
      </c>
    </row>
    <row r="1090" spans="1:5" x14ac:dyDescent="0.2">
      <c r="A1090">
        <v>2023</v>
      </c>
      <c r="B1090" t="s">
        <v>147</v>
      </c>
      <c r="C1090" t="s">
        <v>120</v>
      </c>
      <c r="D1090">
        <v>8</v>
      </c>
      <c r="E1090" s="15">
        <v>13524</v>
      </c>
    </row>
    <row r="1091" spans="1:5" x14ac:dyDescent="0.2">
      <c r="A1091">
        <v>2023</v>
      </c>
      <c r="B1091" t="s">
        <v>147</v>
      </c>
      <c r="C1091" t="s">
        <v>121</v>
      </c>
      <c r="D1091">
        <v>9</v>
      </c>
      <c r="E1091" s="15">
        <v>14677</v>
      </c>
    </row>
    <row r="1092" spans="1:5" x14ac:dyDescent="0.2">
      <c r="A1092">
        <v>2023</v>
      </c>
      <c r="B1092" t="s">
        <v>147</v>
      </c>
      <c r="C1092" t="s">
        <v>122</v>
      </c>
      <c r="D1092">
        <v>10</v>
      </c>
      <c r="E1092" s="15">
        <v>19490</v>
      </c>
    </row>
    <row r="1093" spans="1:5" x14ac:dyDescent="0.2">
      <c r="A1093">
        <v>2023</v>
      </c>
      <c r="B1093" t="s">
        <v>147</v>
      </c>
      <c r="C1093" t="s">
        <v>123</v>
      </c>
      <c r="D1093">
        <v>11</v>
      </c>
      <c r="E1093" s="15">
        <v>65038</v>
      </c>
    </row>
    <row r="1094" spans="1:5" x14ac:dyDescent="0.2">
      <c r="A1094">
        <v>2023</v>
      </c>
      <c r="B1094" t="s">
        <v>148</v>
      </c>
      <c r="C1094" t="s">
        <v>113</v>
      </c>
      <c r="D1094">
        <v>1</v>
      </c>
      <c r="E1094" s="15">
        <v>143</v>
      </c>
    </row>
    <row r="1095" spans="1:5" x14ac:dyDescent="0.2">
      <c r="A1095">
        <v>2023</v>
      </c>
      <c r="B1095" t="s">
        <v>148</v>
      </c>
      <c r="C1095" t="s">
        <v>114</v>
      </c>
      <c r="D1095">
        <v>2</v>
      </c>
      <c r="E1095" s="15">
        <v>1035</v>
      </c>
    </row>
    <row r="1096" spans="1:5" x14ac:dyDescent="0.2">
      <c r="A1096">
        <v>2023</v>
      </c>
      <c r="B1096" t="s">
        <v>148</v>
      </c>
      <c r="C1096" t="s">
        <v>115</v>
      </c>
      <c r="D1096">
        <v>3</v>
      </c>
      <c r="E1096" s="15">
        <v>785</v>
      </c>
    </row>
    <row r="1097" spans="1:5" x14ac:dyDescent="0.2">
      <c r="A1097">
        <v>2023</v>
      </c>
      <c r="B1097" t="s">
        <v>148</v>
      </c>
      <c r="C1097" t="s">
        <v>116</v>
      </c>
      <c r="D1097">
        <v>4</v>
      </c>
      <c r="E1097" s="15">
        <v>329</v>
      </c>
    </row>
    <row r="1098" spans="1:5" x14ac:dyDescent="0.2">
      <c r="A1098">
        <v>2023</v>
      </c>
      <c r="B1098" t="s">
        <v>148</v>
      </c>
      <c r="C1098" t="s">
        <v>117</v>
      </c>
      <c r="D1098">
        <v>5</v>
      </c>
      <c r="E1098" s="15">
        <v>1189</v>
      </c>
    </row>
    <row r="1099" spans="1:5" x14ac:dyDescent="0.2">
      <c r="A1099">
        <v>2023</v>
      </c>
      <c r="B1099" t="s">
        <v>148</v>
      </c>
      <c r="C1099" t="s">
        <v>118</v>
      </c>
      <c r="D1099">
        <v>6</v>
      </c>
      <c r="E1099" s="15">
        <v>1651</v>
      </c>
    </row>
    <row r="1100" spans="1:5" x14ac:dyDescent="0.2">
      <c r="A1100">
        <v>2023</v>
      </c>
      <c r="B1100" t="s">
        <v>148</v>
      </c>
      <c r="C1100" t="s">
        <v>119</v>
      </c>
      <c r="D1100">
        <v>7</v>
      </c>
      <c r="E1100" s="15">
        <v>1067</v>
      </c>
    </row>
    <row r="1101" spans="1:5" x14ac:dyDescent="0.2">
      <c r="A1101">
        <v>2023</v>
      </c>
      <c r="B1101" t="s">
        <v>148</v>
      </c>
      <c r="C1101" t="s">
        <v>120</v>
      </c>
      <c r="D1101">
        <v>8</v>
      </c>
      <c r="E1101" s="15">
        <v>2953</v>
      </c>
    </row>
    <row r="1102" spans="1:5" x14ac:dyDescent="0.2">
      <c r="A1102">
        <v>2023</v>
      </c>
      <c r="B1102" t="s">
        <v>148</v>
      </c>
      <c r="C1102" t="s">
        <v>121</v>
      </c>
      <c r="D1102">
        <v>9</v>
      </c>
      <c r="E1102" s="15">
        <v>3155</v>
      </c>
    </row>
    <row r="1103" spans="1:5" x14ac:dyDescent="0.2">
      <c r="A1103">
        <v>2023</v>
      </c>
      <c r="B1103" t="s">
        <v>148</v>
      </c>
      <c r="C1103" t="s">
        <v>122</v>
      </c>
      <c r="D1103">
        <v>10</v>
      </c>
      <c r="E1103" s="15">
        <v>4392</v>
      </c>
    </row>
    <row r="1104" spans="1:5" x14ac:dyDescent="0.2">
      <c r="A1104">
        <v>2023</v>
      </c>
      <c r="B1104" t="s">
        <v>148</v>
      </c>
      <c r="C1104" t="s">
        <v>123</v>
      </c>
      <c r="D1104">
        <v>11</v>
      </c>
      <c r="E1104" s="15">
        <v>14023</v>
      </c>
    </row>
    <row r="1105" spans="1:5" x14ac:dyDescent="0.2">
      <c r="A1105">
        <v>2023</v>
      </c>
      <c r="B1105" t="s">
        <v>149</v>
      </c>
      <c r="C1105" t="s">
        <v>113</v>
      </c>
      <c r="D1105">
        <v>1</v>
      </c>
      <c r="E1105" s="15">
        <v>8</v>
      </c>
    </row>
    <row r="1106" spans="1:5" x14ac:dyDescent="0.2">
      <c r="A1106">
        <v>2023</v>
      </c>
      <c r="B1106" t="s">
        <v>149</v>
      </c>
      <c r="C1106" t="s">
        <v>114</v>
      </c>
      <c r="D1106">
        <v>2</v>
      </c>
      <c r="E1106" s="15">
        <v>103</v>
      </c>
    </row>
    <row r="1107" spans="1:5" x14ac:dyDescent="0.2">
      <c r="A1107">
        <v>2023</v>
      </c>
      <c r="B1107" t="s">
        <v>149</v>
      </c>
      <c r="C1107" t="s">
        <v>115</v>
      </c>
      <c r="D1107">
        <v>3</v>
      </c>
      <c r="E1107" s="15">
        <v>84</v>
      </c>
    </row>
    <row r="1108" spans="1:5" x14ac:dyDescent="0.2">
      <c r="A1108">
        <v>2023</v>
      </c>
      <c r="B1108" t="s">
        <v>149</v>
      </c>
      <c r="C1108" t="s">
        <v>116</v>
      </c>
      <c r="D1108">
        <v>4</v>
      </c>
      <c r="E1108" s="15">
        <v>43</v>
      </c>
    </row>
    <row r="1109" spans="1:5" x14ac:dyDescent="0.2">
      <c r="A1109">
        <v>2023</v>
      </c>
      <c r="B1109" t="s">
        <v>149</v>
      </c>
      <c r="C1109" t="s">
        <v>117</v>
      </c>
      <c r="D1109">
        <v>5</v>
      </c>
      <c r="E1109" s="15">
        <v>141</v>
      </c>
    </row>
    <row r="1110" spans="1:5" x14ac:dyDescent="0.2">
      <c r="A1110">
        <v>2023</v>
      </c>
      <c r="B1110" t="s">
        <v>149</v>
      </c>
      <c r="C1110" t="s">
        <v>118</v>
      </c>
      <c r="D1110">
        <v>6</v>
      </c>
      <c r="E1110" s="15">
        <v>121</v>
      </c>
    </row>
    <row r="1111" spans="1:5" x14ac:dyDescent="0.2">
      <c r="A1111">
        <v>2023</v>
      </c>
      <c r="B1111" t="s">
        <v>149</v>
      </c>
      <c r="C1111" t="s">
        <v>119</v>
      </c>
      <c r="D1111">
        <v>7</v>
      </c>
      <c r="E1111" s="15">
        <v>100</v>
      </c>
    </row>
    <row r="1112" spans="1:5" x14ac:dyDescent="0.2">
      <c r="A1112">
        <v>2023</v>
      </c>
      <c r="B1112" t="s">
        <v>149</v>
      </c>
      <c r="C1112" t="s">
        <v>120</v>
      </c>
      <c r="D1112">
        <v>8</v>
      </c>
      <c r="E1112" s="15">
        <v>295</v>
      </c>
    </row>
    <row r="1113" spans="1:5" x14ac:dyDescent="0.2">
      <c r="A1113">
        <v>2023</v>
      </c>
      <c r="B1113" t="s">
        <v>149</v>
      </c>
      <c r="C1113" t="s">
        <v>121</v>
      </c>
      <c r="D1113">
        <v>9</v>
      </c>
      <c r="E1113" s="15">
        <v>315</v>
      </c>
    </row>
    <row r="1114" spans="1:5" x14ac:dyDescent="0.2">
      <c r="A1114">
        <v>2023</v>
      </c>
      <c r="B1114" t="s">
        <v>149</v>
      </c>
      <c r="C1114" t="s">
        <v>122</v>
      </c>
      <c r="D1114">
        <v>10</v>
      </c>
      <c r="E1114" s="15">
        <v>374</v>
      </c>
    </row>
    <row r="1115" spans="1:5" x14ac:dyDescent="0.2">
      <c r="A1115">
        <v>2023</v>
      </c>
      <c r="B1115" t="s">
        <v>149</v>
      </c>
      <c r="C1115" t="s">
        <v>123</v>
      </c>
      <c r="D1115">
        <v>11</v>
      </c>
      <c r="E1115" s="15">
        <v>642</v>
      </c>
    </row>
    <row r="1116" spans="1:5" x14ac:dyDescent="0.2">
      <c r="A1116">
        <v>2023</v>
      </c>
      <c r="B1116" t="s">
        <v>150</v>
      </c>
      <c r="C1116" t="s">
        <v>113</v>
      </c>
      <c r="D1116">
        <v>1</v>
      </c>
      <c r="E1116" s="15">
        <v>19</v>
      </c>
    </row>
    <row r="1117" spans="1:5" x14ac:dyDescent="0.2">
      <c r="A1117">
        <v>2023</v>
      </c>
      <c r="B1117" t="s">
        <v>150</v>
      </c>
      <c r="C1117" t="s">
        <v>114</v>
      </c>
      <c r="D1117">
        <v>2</v>
      </c>
      <c r="E1117" s="15">
        <v>437</v>
      </c>
    </row>
    <row r="1118" spans="1:5" x14ac:dyDescent="0.2">
      <c r="A1118">
        <v>2023</v>
      </c>
      <c r="B1118" t="s">
        <v>150</v>
      </c>
      <c r="C1118" t="s">
        <v>115</v>
      </c>
      <c r="D1118">
        <v>3</v>
      </c>
      <c r="E1118" s="15">
        <v>411</v>
      </c>
    </row>
    <row r="1119" spans="1:5" x14ac:dyDescent="0.2">
      <c r="A1119">
        <v>2023</v>
      </c>
      <c r="B1119" t="s">
        <v>150</v>
      </c>
      <c r="C1119" t="s">
        <v>116</v>
      </c>
      <c r="D1119">
        <v>4</v>
      </c>
      <c r="E1119" s="15">
        <v>171</v>
      </c>
    </row>
    <row r="1120" spans="1:5" x14ac:dyDescent="0.2">
      <c r="A1120">
        <v>2023</v>
      </c>
      <c r="B1120" t="s">
        <v>150</v>
      </c>
      <c r="C1120" t="s">
        <v>117</v>
      </c>
      <c r="D1120">
        <v>5</v>
      </c>
      <c r="E1120" s="15">
        <v>584</v>
      </c>
    </row>
    <row r="1121" spans="1:5" x14ac:dyDescent="0.2">
      <c r="A1121">
        <v>2023</v>
      </c>
      <c r="B1121" t="s">
        <v>150</v>
      </c>
      <c r="C1121" t="s">
        <v>118</v>
      </c>
      <c r="D1121">
        <v>6</v>
      </c>
      <c r="E1121" s="15">
        <v>758</v>
      </c>
    </row>
    <row r="1122" spans="1:5" x14ac:dyDescent="0.2">
      <c r="A1122">
        <v>2023</v>
      </c>
      <c r="B1122" t="s">
        <v>150</v>
      </c>
      <c r="C1122" t="s">
        <v>119</v>
      </c>
      <c r="D1122">
        <v>7</v>
      </c>
      <c r="E1122" s="15">
        <v>562</v>
      </c>
    </row>
    <row r="1123" spans="1:5" x14ac:dyDescent="0.2">
      <c r="A1123">
        <v>2023</v>
      </c>
      <c r="B1123" t="s">
        <v>150</v>
      </c>
      <c r="C1123" t="s">
        <v>120</v>
      </c>
      <c r="D1123">
        <v>8</v>
      </c>
      <c r="E1123" s="15">
        <v>2038</v>
      </c>
    </row>
    <row r="1124" spans="1:5" x14ac:dyDescent="0.2">
      <c r="A1124">
        <v>2023</v>
      </c>
      <c r="B1124" t="s">
        <v>150</v>
      </c>
      <c r="C1124" t="s">
        <v>121</v>
      </c>
      <c r="D1124">
        <v>9</v>
      </c>
      <c r="E1124" s="15">
        <v>1849</v>
      </c>
    </row>
    <row r="1125" spans="1:5" x14ac:dyDescent="0.2">
      <c r="A1125">
        <v>2023</v>
      </c>
      <c r="B1125" t="s">
        <v>150</v>
      </c>
      <c r="C1125" t="s">
        <v>122</v>
      </c>
      <c r="D1125">
        <v>10</v>
      </c>
      <c r="E1125" s="15">
        <v>2190</v>
      </c>
    </row>
    <row r="1126" spans="1:5" x14ac:dyDescent="0.2">
      <c r="A1126">
        <v>2023</v>
      </c>
      <c r="B1126" t="s">
        <v>150</v>
      </c>
      <c r="C1126" t="s">
        <v>123</v>
      </c>
      <c r="D1126">
        <v>11</v>
      </c>
      <c r="E1126" s="15">
        <v>4115</v>
      </c>
    </row>
    <row r="1127" spans="1:5" x14ac:dyDescent="0.2">
      <c r="A1127">
        <v>2023</v>
      </c>
      <c r="B1127" t="s">
        <v>151</v>
      </c>
      <c r="C1127" t="s">
        <v>113</v>
      </c>
      <c r="D1127">
        <v>1</v>
      </c>
      <c r="E1127" s="15">
        <v>160</v>
      </c>
    </row>
    <row r="1128" spans="1:5" x14ac:dyDescent="0.2">
      <c r="A1128">
        <v>2023</v>
      </c>
      <c r="B1128" t="s">
        <v>151</v>
      </c>
      <c r="C1128" t="s">
        <v>114</v>
      </c>
      <c r="D1128">
        <v>2</v>
      </c>
      <c r="E1128" s="15">
        <v>1683</v>
      </c>
    </row>
    <row r="1129" spans="1:5" x14ac:dyDescent="0.2">
      <c r="A1129">
        <v>2023</v>
      </c>
      <c r="B1129" t="s">
        <v>151</v>
      </c>
      <c r="C1129" t="s">
        <v>115</v>
      </c>
      <c r="D1129">
        <v>3</v>
      </c>
      <c r="E1129" s="15">
        <v>1525</v>
      </c>
    </row>
    <row r="1130" spans="1:5" x14ac:dyDescent="0.2">
      <c r="A1130">
        <v>2023</v>
      </c>
      <c r="B1130" t="s">
        <v>151</v>
      </c>
      <c r="C1130" t="s">
        <v>116</v>
      </c>
      <c r="D1130">
        <v>4</v>
      </c>
      <c r="E1130" s="15">
        <v>749</v>
      </c>
    </row>
    <row r="1131" spans="1:5" x14ac:dyDescent="0.2">
      <c r="A1131">
        <v>2023</v>
      </c>
      <c r="B1131" t="s">
        <v>151</v>
      </c>
      <c r="C1131" t="s">
        <v>117</v>
      </c>
      <c r="D1131">
        <v>5</v>
      </c>
      <c r="E1131" s="15">
        <v>2163</v>
      </c>
    </row>
    <row r="1132" spans="1:5" x14ac:dyDescent="0.2">
      <c r="A1132">
        <v>2023</v>
      </c>
      <c r="B1132" t="s">
        <v>151</v>
      </c>
      <c r="C1132" t="s">
        <v>118</v>
      </c>
      <c r="D1132">
        <v>6</v>
      </c>
      <c r="E1132" s="15">
        <v>3237</v>
      </c>
    </row>
    <row r="1133" spans="1:5" x14ac:dyDescent="0.2">
      <c r="A1133">
        <v>2023</v>
      </c>
      <c r="B1133" t="s">
        <v>151</v>
      </c>
      <c r="C1133" t="s">
        <v>119</v>
      </c>
      <c r="D1133">
        <v>7</v>
      </c>
      <c r="E1133" s="15">
        <v>1922</v>
      </c>
    </row>
    <row r="1134" spans="1:5" x14ac:dyDescent="0.2">
      <c r="A1134">
        <v>2023</v>
      </c>
      <c r="B1134" t="s">
        <v>151</v>
      </c>
      <c r="C1134" t="s">
        <v>120</v>
      </c>
      <c r="D1134">
        <v>8</v>
      </c>
      <c r="E1134" s="15">
        <v>5844</v>
      </c>
    </row>
    <row r="1135" spans="1:5" x14ac:dyDescent="0.2">
      <c r="A1135">
        <v>2023</v>
      </c>
      <c r="B1135" t="s">
        <v>151</v>
      </c>
      <c r="C1135" t="s">
        <v>121</v>
      </c>
      <c r="D1135">
        <v>9</v>
      </c>
      <c r="E1135" s="15">
        <v>6043</v>
      </c>
    </row>
    <row r="1136" spans="1:5" x14ac:dyDescent="0.2">
      <c r="A1136">
        <v>2023</v>
      </c>
      <c r="B1136" t="s">
        <v>151</v>
      </c>
      <c r="C1136" t="s">
        <v>122</v>
      </c>
      <c r="D1136">
        <v>10</v>
      </c>
      <c r="E1136" s="15">
        <v>7786</v>
      </c>
    </row>
    <row r="1137" spans="1:5" x14ac:dyDescent="0.2">
      <c r="A1137">
        <v>2023</v>
      </c>
      <c r="B1137" t="s">
        <v>151</v>
      </c>
      <c r="C1137" t="s">
        <v>123</v>
      </c>
      <c r="D1137">
        <v>11</v>
      </c>
      <c r="E1137" s="15">
        <v>22829</v>
      </c>
    </row>
    <row r="1138" spans="1:5" x14ac:dyDescent="0.2">
      <c r="A1138">
        <v>2023</v>
      </c>
      <c r="B1138" t="s">
        <v>152</v>
      </c>
      <c r="C1138" t="s">
        <v>113</v>
      </c>
      <c r="D1138">
        <v>1</v>
      </c>
      <c r="E1138" s="15">
        <v>1</v>
      </c>
    </row>
    <row r="1139" spans="1:5" x14ac:dyDescent="0.2">
      <c r="A1139">
        <v>2023</v>
      </c>
      <c r="B1139" t="s">
        <v>152</v>
      </c>
      <c r="C1139" t="s">
        <v>114</v>
      </c>
      <c r="D1139">
        <v>2</v>
      </c>
      <c r="E1139" s="15">
        <v>45</v>
      </c>
    </row>
    <row r="1140" spans="1:5" x14ac:dyDescent="0.2">
      <c r="A1140">
        <v>2023</v>
      </c>
      <c r="B1140" t="s">
        <v>152</v>
      </c>
      <c r="C1140" t="s">
        <v>115</v>
      </c>
      <c r="D1140">
        <v>3</v>
      </c>
      <c r="E1140" s="15">
        <v>158</v>
      </c>
    </row>
    <row r="1141" spans="1:5" x14ac:dyDescent="0.2">
      <c r="A1141">
        <v>2023</v>
      </c>
      <c r="B1141" t="s">
        <v>152</v>
      </c>
      <c r="C1141" t="s">
        <v>116</v>
      </c>
      <c r="D1141">
        <v>4</v>
      </c>
      <c r="E1141" s="15">
        <v>220</v>
      </c>
    </row>
    <row r="1142" spans="1:5" x14ac:dyDescent="0.2">
      <c r="A1142">
        <v>2023</v>
      </c>
      <c r="B1142" t="s">
        <v>152</v>
      </c>
      <c r="C1142" t="s">
        <v>117</v>
      </c>
      <c r="D1142">
        <v>5</v>
      </c>
      <c r="E1142" s="15">
        <v>1285</v>
      </c>
    </row>
    <row r="1143" spans="1:5" x14ac:dyDescent="0.2">
      <c r="A1143">
        <v>2023</v>
      </c>
      <c r="B1143" t="s">
        <v>152</v>
      </c>
      <c r="C1143" t="s">
        <v>118</v>
      </c>
      <c r="D1143">
        <v>6</v>
      </c>
      <c r="E1143" s="15">
        <v>3279</v>
      </c>
    </row>
    <row r="1144" spans="1:5" x14ac:dyDescent="0.2">
      <c r="A1144">
        <v>2023</v>
      </c>
      <c r="B1144" t="s">
        <v>152</v>
      </c>
      <c r="C1144" t="s">
        <v>119</v>
      </c>
      <c r="D1144">
        <v>7</v>
      </c>
      <c r="E1144" s="15">
        <v>2098</v>
      </c>
    </row>
    <row r="1145" spans="1:5" x14ac:dyDescent="0.2">
      <c r="A1145">
        <v>2023</v>
      </c>
      <c r="B1145" t="s">
        <v>152</v>
      </c>
      <c r="C1145" t="s">
        <v>120</v>
      </c>
      <c r="D1145">
        <v>8</v>
      </c>
      <c r="E1145" s="15">
        <v>5063</v>
      </c>
    </row>
    <row r="1146" spans="1:5" x14ac:dyDescent="0.2">
      <c r="A1146">
        <v>2023</v>
      </c>
      <c r="B1146" t="s">
        <v>152</v>
      </c>
      <c r="C1146" t="s">
        <v>121</v>
      </c>
      <c r="D1146">
        <v>9</v>
      </c>
      <c r="E1146" s="15">
        <v>3946</v>
      </c>
    </row>
    <row r="1147" spans="1:5" x14ac:dyDescent="0.2">
      <c r="A1147">
        <v>2023</v>
      </c>
      <c r="B1147" t="s">
        <v>152</v>
      </c>
      <c r="C1147" t="s">
        <v>122</v>
      </c>
      <c r="D1147">
        <v>10</v>
      </c>
      <c r="E1147" s="15">
        <v>4116</v>
      </c>
    </row>
    <row r="1148" spans="1:5" x14ac:dyDescent="0.2">
      <c r="A1148">
        <v>2023</v>
      </c>
      <c r="B1148" t="s">
        <v>152</v>
      </c>
      <c r="C1148" t="s">
        <v>123</v>
      </c>
      <c r="D1148">
        <v>11</v>
      </c>
      <c r="E1148" s="15">
        <v>7042</v>
      </c>
    </row>
    <row r="1149" spans="1:5" x14ac:dyDescent="0.2">
      <c r="A1149">
        <v>2024</v>
      </c>
      <c r="B1149" t="s">
        <v>140</v>
      </c>
      <c r="C1149" t="s">
        <v>113</v>
      </c>
      <c r="D1149">
        <v>1</v>
      </c>
      <c r="E1149" s="15">
        <v>327</v>
      </c>
    </row>
    <row r="1150" spans="1:5" x14ac:dyDescent="0.2">
      <c r="A1150">
        <v>2024</v>
      </c>
      <c r="B1150" t="s">
        <v>140</v>
      </c>
      <c r="C1150" t="s">
        <v>114</v>
      </c>
      <c r="D1150">
        <v>2</v>
      </c>
      <c r="E1150" s="15">
        <v>3172</v>
      </c>
    </row>
    <row r="1151" spans="1:5" x14ac:dyDescent="0.2">
      <c r="A1151">
        <v>2024</v>
      </c>
      <c r="B1151" t="s">
        <v>140</v>
      </c>
      <c r="C1151" t="s">
        <v>115</v>
      </c>
      <c r="D1151">
        <v>3</v>
      </c>
      <c r="E1151" s="15">
        <v>2423</v>
      </c>
    </row>
    <row r="1152" spans="1:5" x14ac:dyDescent="0.2">
      <c r="A1152">
        <v>2024</v>
      </c>
      <c r="B1152" t="s">
        <v>140</v>
      </c>
      <c r="C1152" t="s">
        <v>116</v>
      </c>
      <c r="D1152">
        <v>4</v>
      </c>
      <c r="E1152" s="15">
        <v>1228</v>
      </c>
    </row>
    <row r="1153" spans="1:5" x14ac:dyDescent="0.2">
      <c r="A1153">
        <v>2024</v>
      </c>
      <c r="B1153" t="s">
        <v>140</v>
      </c>
      <c r="C1153" t="s">
        <v>117</v>
      </c>
      <c r="D1153">
        <v>5</v>
      </c>
      <c r="E1153" s="15">
        <v>3607</v>
      </c>
    </row>
    <row r="1154" spans="1:5" x14ac:dyDescent="0.2">
      <c r="A1154">
        <v>2024</v>
      </c>
      <c r="B1154" t="s">
        <v>140</v>
      </c>
      <c r="C1154" t="s">
        <v>118</v>
      </c>
      <c r="D1154">
        <v>6</v>
      </c>
      <c r="E1154" s="15">
        <v>4513</v>
      </c>
    </row>
    <row r="1155" spans="1:5" x14ac:dyDescent="0.2">
      <c r="A1155">
        <v>2024</v>
      </c>
      <c r="B1155" t="s">
        <v>140</v>
      </c>
      <c r="C1155" t="s">
        <v>119</v>
      </c>
      <c r="D1155">
        <v>7</v>
      </c>
      <c r="E1155" s="15">
        <v>2272</v>
      </c>
    </row>
    <row r="1156" spans="1:5" x14ac:dyDescent="0.2">
      <c r="A1156">
        <v>2024</v>
      </c>
      <c r="B1156" t="s">
        <v>140</v>
      </c>
      <c r="C1156" t="s">
        <v>120</v>
      </c>
      <c r="D1156">
        <v>8</v>
      </c>
      <c r="E1156" s="15">
        <v>6346</v>
      </c>
    </row>
    <row r="1157" spans="1:5" x14ac:dyDescent="0.2">
      <c r="A1157">
        <v>2024</v>
      </c>
      <c r="B1157" t="s">
        <v>140</v>
      </c>
      <c r="C1157" t="s">
        <v>121</v>
      </c>
      <c r="D1157">
        <v>9</v>
      </c>
      <c r="E1157" s="15">
        <v>6232</v>
      </c>
    </row>
    <row r="1158" spans="1:5" x14ac:dyDescent="0.2">
      <c r="A1158">
        <v>2024</v>
      </c>
      <c r="B1158" t="s">
        <v>140</v>
      </c>
      <c r="C1158" t="s">
        <v>122</v>
      </c>
      <c r="D1158">
        <v>10</v>
      </c>
      <c r="E1158" s="15">
        <v>9631</v>
      </c>
    </row>
    <row r="1159" spans="1:5" x14ac:dyDescent="0.2">
      <c r="A1159">
        <v>2024</v>
      </c>
      <c r="B1159" t="s">
        <v>140</v>
      </c>
      <c r="C1159" t="s">
        <v>123</v>
      </c>
      <c r="D1159">
        <v>11</v>
      </c>
      <c r="E1159" s="15">
        <v>36169</v>
      </c>
    </row>
    <row r="1160" spans="1:5" x14ac:dyDescent="0.2">
      <c r="A1160">
        <v>2024</v>
      </c>
      <c r="B1160" t="s">
        <v>141</v>
      </c>
      <c r="C1160" t="s">
        <v>113</v>
      </c>
      <c r="D1160">
        <v>1</v>
      </c>
      <c r="E1160" s="15">
        <v>570</v>
      </c>
    </row>
    <row r="1161" spans="1:5" x14ac:dyDescent="0.2">
      <c r="A1161">
        <v>2024</v>
      </c>
      <c r="B1161" t="s">
        <v>141</v>
      </c>
      <c r="C1161" t="s">
        <v>114</v>
      </c>
      <c r="D1161">
        <v>2</v>
      </c>
      <c r="E1161" s="15">
        <v>5071</v>
      </c>
    </row>
    <row r="1162" spans="1:5" x14ac:dyDescent="0.2">
      <c r="A1162">
        <v>2024</v>
      </c>
      <c r="B1162" t="s">
        <v>141</v>
      </c>
      <c r="C1162" t="s">
        <v>115</v>
      </c>
      <c r="D1162">
        <v>3</v>
      </c>
      <c r="E1162" s="15">
        <v>3862</v>
      </c>
    </row>
    <row r="1163" spans="1:5" x14ac:dyDescent="0.2">
      <c r="A1163">
        <v>2024</v>
      </c>
      <c r="B1163" t="s">
        <v>141</v>
      </c>
      <c r="C1163" t="s">
        <v>116</v>
      </c>
      <c r="D1163">
        <v>4</v>
      </c>
      <c r="E1163" s="15">
        <v>1763</v>
      </c>
    </row>
    <row r="1164" spans="1:5" x14ac:dyDescent="0.2">
      <c r="A1164">
        <v>2024</v>
      </c>
      <c r="B1164" t="s">
        <v>141</v>
      </c>
      <c r="C1164" t="s">
        <v>117</v>
      </c>
      <c r="D1164">
        <v>5</v>
      </c>
      <c r="E1164" s="15">
        <v>6252</v>
      </c>
    </row>
    <row r="1165" spans="1:5" x14ac:dyDescent="0.2">
      <c r="A1165">
        <v>2024</v>
      </c>
      <c r="B1165" t="s">
        <v>141</v>
      </c>
      <c r="C1165" t="s">
        <v>118</v>
      </c>
      <c r="D1165">
        <v>6</v>
      </c>
      <c r="E1165" s="15">
        <v>10556</v>
      </c>
    </row>
    <row r="1166" spans="1:5" x14ac:dyDescent="0.2">
      <c r="A1166">
        <v>2024</v>
      </c>
      <c r="B1166" t="s">
        <v>141</v>
      </c>
      <c r="C1166" t="s">
        <v>119</v>
      </c>
      <c r="D1166">
        <v>7</v>
      </c>
      <c r="E1166" s="15">
        <v>5711</v>
      </c>
    </row>
    <row r="1167" spans="1:5" x14ac:dyDescent="0.2">
      <c r="A1167">
        <v>2024</v>
      </c>
      <c r="B1167" t="s">
        <v>141</v>
      </c>
      <c r="C1167" t="s">
        <v>120</v>
      </c>
      <c r="D1167">
        <v>8</v>
      </c>
      <c r="E1167" s="15">
        <v>15400</v>
      </c>
    </row>
    <row r="1168" spans="1:5" x14ac:dyDescent="0.2">
      <c r="A1168">
        <v>2024</v>
      </c>
      <c r="B1168" t="s">
        <v>141</v>
      </c>
      <c r="C1168" t="s">
        <v>121</v>
      </c>
      <c r="D1168">
        <v>9</v>
      </c>
      <c r="E1168" s="15">
        <v>13330</v>
      </c>
    </row>
    <row r="1169" spans="1:5" x14ac:dyDescent="0.2">
      <c r="A1169">
        <v>2024</v>
      </c>
      <c r="B1169" t="s">
        <v>141</v>
      </c>
      <c r="C1169" t="s">
        <v>122</v>
      </c>
      <c r="D1169">
        <v>10</v>
      </c>
      <c r="E1169" s="15">
        <v>19186</v>
      </c>
    </row>
    <row r="1170" spans="1:5" x14ac:dyDescent="0.2">
      <c r="A1170">
        <v>2024</v>
      </c>
      <c r="B1170" t="s">
        <v>141</v>
      </c>
      <c r="C1170" t="s">
        <v>123</v>
      </c>
      <c r="D1170">
        <v>11</v>
      </c>
      <c r="E1170" s="15">
        <v>61986</v>
      </c>
    </row>
    <row r="1171" spans="1:5" x14ac:dyDescent="0.2">
      <c r="A1171">
        <v>2024</v>
      </c>
      <c r="B1171" t="s">
        <v>142</v>
      </c>
      <c r="C1171" t="s">
        <v>113</v>
      </c>
      <c r="D1171">
        <v>1</v>
      </c>
      <c r="E1171" s="15">
        <v>82</v>
      </c>
    </row>
    <row r="1172" spans="1:5" x14ac:dyDescent="0.2">
      <c r="A1172">
        <v>2024</v>
      </c>
      <c r="B1172" t="s">
        <v>142</v>
      </c>
      <c r="C1172" t="s">
        <v>114</v>
      </c>
      <c r="D1172">
        <v>2</v>
      </c>
      <c r="E1172" s="15">
        <v>933</v>
      </c>
    </row>
    <row r="1173" spans="1:5" x14ac:dyDescent="0.2">
      <c r="A1173">
        <v>2024</v>
      </c>
      <c r="B1173" t="s">
        <v>142</v>
      </c>
      <c r="C1173" t="s">
        <v>115</v>
      </c>
      <c r="D1173">
        <v>3</v>
      </c>
      <c r="E1173" s="15">
        <v>792</v>
      </c>
    </row>
    <row r="1174" spans="1:5" x14ac:dyDescent="0.2">
      <c r="A1174">
        <v>2024</v>
      </c>
      <c r="B1174" t="s">
        <v>142</v>
      </c>
      <c r="C1174" t="s">
        <v>116</v>
      </c>
      <c r="D1174">
        <v>4</v>
      </c>
      <c r="E1174" s="15">
        <v>333</v>
      </c>
    </row>
    <row r="1175" spans="1:5" x14ac:dyDescent="0.2">
      <c r="A1175">
        <v>2024</v>
      </c>
      <c r="B1175" t="s">
        <v>142</v>
      </c>
      <c r="C1175" t="s">
        <v>117</v>
      </c>
      <c r="D1175">
        <v>5</v>
      </c>
      <c r="E1175" s="15">
        <v>1035</v>
      </c>
    </row>
    <row r="1176" spans="1:5" x14ac:dyDescent="0.2">
      <c r="A1176">
        <v>2024</v>
      </c>
      <c r="B1176" t="s">
        <v>142</v>
      </c>
      <c r="C1176" t="s">
        <v>118</v>
      </c>
      <c r="D1176">
        <v>6</v>
      </c>
      <c r="E1176" s="15">
        <v>1968</v>
      </c>
    </row>
    <row r="1177" spans="1:5" x14ac:dyDescent="0.2">
      <c r="A1177">
        <v>2024</v>
      </c>
      <c r="B1177" t="s">
        <v>142</v>
      </c>
      <c r="C1177" t="s">
        <v>119</v>
      </c>
      <c r="D1177">
        <v>7</v>
      </c>
      <c r="E1177" s="15">
        <v>1226</v>
      </c>
    </row>
    <row r="1178" spans="1:5" x14ac:dyDescent="0.2">
      <c r="A1178">
        <v>2024</v>
      </c>
      <c r="B1178" t="s">
        <v>142</v>
      </c>
      <c r="C1178" t="s">
        <v>120</v>
      </c>
      <c r="D1178">
        <v>8</v>
      </c>
      <c r="E1178" s="15">
        <v>3423</v>
      </c>
    </row>
    <row r="1179" spans="1:5" x14ac:dyDescent="0.2">
      <c r="A1179">
        <v>2024</v>
      </c>
      <c r="B1179" t="s">
        <v>142</v>
      </c>
      <c r="C1179" t="s">
        <v>121</v>
      </c>
      <c r="D1179">
        <v>9</v>
      </c>
      <c r="E1179" s="15">
        <v>2952</v>
      </c>
    </row>
    <row r="1180" spans="1:5" x14ac:dyDescent="0.2">
      <c r="A1180">
        <v>2024</v>
      </c>
      <c r="B1180" t="s">
        <v>142</v>
      </c>
      <c r="C1180" t="s">
        <v>122</v>
      </c>
      <c r="D1180">
        <v>10</v>
      </c>
      <c r="E1180" s="15">
        <v>3954</v>
      </c>
    </row>
    <row r="1181" spans="1:5" x14ac:dyDescent="0.2">
      <c r="A1181">
        <v>2024</v>
      </c>
      <c r="B1181" t="s">
        <v>142</v>
      </c>
      <c r="C1181" t="s">
        <v>123</v>
      </c>
      <c r="D1181">
        <v>11</v>
      </c>
      <c r="E1181" s="15">
        <v>10924</v>
      </c>
    </row>
    <row r="1182" spans="1:5" x14ac:dyDescent="0.2">
      <c r="A1182">
        <v>2024</v>
      </c>
      <c r="B1182" t="s">
        <v>143</v>
      </c>
      <c r="C1182" t="s">
        <v>113</v>
      </c>
      <c r="D1182">
        <v>1</v>
      </c>
      <c r="E1182" s="15">
        <v>99</v>
      </c>
    </row>
    <row r="1183" spans="1:5" x14ac:dyDescent="0.2">
      <c r="A1183">
        <v>2024</v>
      </c>
      <c r="B1183" t="s">
        <v>143</v>
      </c>
      <c r="C1183" t="s">
        <v>114</v>
      </c>
      <c r="D1183">
        <v>2</v>
      </c>
      <c r="E1183" s="15">
        <v>1082</v>
      </c>
    </row>
    <row r="1184" spans="1:5" x14ac:dyDescent="0.2">
      <c r="A1184">
        <v>2024</v>
      </c>
      <c r="B1184" t="s">
        <v>143</v>
      </c>
      <c r="C1184" t="s">
        <v>115</v>
      </c>
      <c r="D1184">
        <v>3</v>
      </c>
      <c r="E1184" s="15">
        <v>1031</v>
      </c>
    </row>
    <row r="1185" spans="1:5" x14ac:dyDescent="0.2">
      <c r="A1185">
        <v>2024</v>
      </c>
      <c r="B1185" t="s">
        <v>143</v>
      </c>
      <c r="C1185" t="s">
        <v>116</v>
      </c>
      <c r="D1185">
        <v>4</v>
      </c>
      <c r="E1185" s="15">
        <v>462</v>
      </c>
    </row>
    <row r="1186" spans="1:5" x14ac:dyDescent="0.2">
      <c r="A1186">
        <v>2024</v>
      </c>
      <c r="B1186" t="s">
        <v>143</v>
      </c>
      <c r="C1186" t="s">
        <v>117</v>
      </c>
      <c r="D1186">
        <v>5</v>
      </c>
      <c r="E1186" s="15">
        <v>1277</v>
      </c>
    </row>
    <row r="1187" spans="1:5" x14ac:dyDescent="0.2">
      <c r="A1187">
        <v>2024</v>
      </c>
      <c r="B1187" t="s">
        <v>143</v>
      </c>
      <c r="C1187" t="s">
        <v>118</v>
      </c>
      <c r="D1187">
        <v>6</v>
      </c>
      <c r="E1187" s="15">
        <v>1414</v>
      </c>
    </row>
    <row r="1188" spans="1:5" x14ac:dyDescent="0.2">
      <c r="A1188">
        <v>2024</v>
      </c>
      <c r="B1188" t="s">
        <v>143</v>
      </c>
      <c r="C1188" t="s">
        <v>119</v>
      </c>
      <c r="D1188">
        <v>7</v>
      </c>
      <c r="E1188" s="15">
        <v>627</v>
      </c>
    </row>
    <row r="1189" spans="1:5" x14ac:dyDescent="0.2">
      <c r="A1189">
        <v>2024</v>
      </c>
      <c r="B1189" t="s">
        <v>143</v>
      </c>
      <c r="C1189" t="s">
        <v>120</v>
      </c>
      <c r="D1189">
        <v>8</v>
      </c>
      <c r="E1189" s="15">
        <v>1891</v>
      </c>
    </row>
    <row r="1190" spans="1:5" x14ac:dyDescent="0.2">
      <c r="A1190">
        <v>2024</v>
      </c>
      <c r="B1190" t="s">
        <v>143</v>
      </c>
      <c r="C1190" t="s">
        <v>121</v>
      </c>
      <c r="D1190">
        <v>9</v>
      </c>
      <c r="E1190" s="15">
        <v>1998</v>
      </c>
    </row>
    <row r="1191" spans="1:5" x14ac:dyDescent="0.2">
      <c r="A1191">
        <v>2024</v>
      </c>
      <c r="B1191" t="s">
        <v>143</v>
      </c>
      <c r="C1191" t="s">
        <v>122</v>
      </c>
      <c r="D1191">
        <v>10</v>
      </c>
      <c r="E1191" s="15">
        <v>2821</v>
      </c>
    </row>
    <row r="1192" spans="1:5" x14ac:dyDescent="0.2">
      <c r="A1192">
        <v>2024</v>
      </c>
      <c r="B1192" t="s">
        <v>143</v>
      </c>
      <c r="C1192" t="s">
        <v>123</v>
      </c>
      <c r="D1192">
        <v>11</v>
      </c>
      <c r="E1192" s="15">
        <v>9552</v>
      </c>
    </row>
    <row r="1193" spans="1:5" x14ac:dyDescent="0.2">
      <c r="A1193">
        <v>2024</v>
      </c>
      <c r="B1193" t="s">
        <v>144</v>
      </c>
      <c r="C1193" t="s">
        <v>113</v>
      </c>
      <c r="D1193">
        <v>1</v>
      </c>
      <c r="E1193" s="15">
        <v>178</v>
      </c>
    </row>
    <row r="1194" spans="1:5" x14ac:dyDescent="0.2">
      <c r="A1194">
        <v>2024</v>
      </c>
      <c r="B1194" t="s">
        <v>144</v>
      </c>
      <c r="C1194" t="s">
        <v>114</v>
      </c>
      <c r="D1194">
        <v>2</v>
      </c>
      <c r="E1194" s="15">
        <v>2082</v>
      </c>
    </row>
    <row r="1195" spans="1:5" x14ac:dyDescent="0.2">
      <c r="A1195">
        <v>2024</v>
      </c>
      <c r="B1195" t="s">
        <v>144</v>
      </c>
      <c r="C1195" t="s">
        <v>115</v>
      </c>
      <c r="D1195">
        <v>3</v>
      </c>
      <c r="E1195" s="15">
        <v>1503</v>
      </c>
    </row>
    <row r="1196" spans="1:5" x14ac:dyDescent="0.2">
      <c r="A1196">
        <v>2024</v>
      </c>
      <c r="B1196" t="s">
        <v>144</v>
      </c>
      <c r="C1196" t="s">
        <v>116</v>
      </c>
      <c r="D1196">
        <v>4</v>
      </c>
      <c r="E1196" s="15">
        <v>698</v>
      </c>
    </row>
    <row r="1197" spans="1:5" x14ac:dyDescent="0.2">
      <c r="A1197">
        <v>2024</v>
      </c>
      <c r="B1197" t="s">
        <v>144</v>
      </c>
      <c r="C1197" t="s">
        <v>117</v>
      </c>
      <c r="D1197">
        <v>5</v>
      </c>
      <c r="E1197" s="15">
        <v>1968</v>
      </c>
    </row>
    <row r="1198" spans="1:5" x14ac:dyDescent="0.2">
      <c r="A1198">
        <v>2024</v>
      </c>
      <c r="B1198" t="s">
        <v>144</v>
      </c>
      <c r="C1198" t="s">
        <v>118</v>
      </c>
      <c r="D1198">
        <v>6</v>
      </c>
      <c r="E1198" s="15">
        <v>2877</v>
      </c>
    </row>
    <row r="1199" spans="1:5" x14ac:dyDescent="0.2">
      <c r="A1199">
        <v>2024</v>
      </c>
      <c r="B1199" t="s">
        <v>144</v>
      </c>
      <c r="C1199" t="s">
        <v>119</v>
      </c>
      <c r="D1199">
        <v>7</v>
      </c>
      <c r="E1199" s="15">
        <v>1734</v>
      </c>
    </row>
    <row r="1200" spans="1:5" x14ac:dyDescent="0.2">
      <c r="A1200">
        <v>2024</v>
      </c>
      <c r="B1200" t="s">
        <v>144</v>
      </c>
      <c r="C1200" t="s">
        <v>120</v>
      </c>
      <c r="D1200">
        <v>8</v>
      </c>
      <c r="E1200" s="15">
        <v>5019</v>
      </c>
    </row>
    <row r="1201" spans="1:5" x14ac:dyDescent="0.2">
      <c r="A1201">
        <v>2024</v>
      </c>
      <c r="B1201" t="s">
        <v>144</v>
      </c>
      <c r="C1201" t="s">
        <v>121</v>
      </c>
      <c r="D1201">
        <v>9</v>
      </c>
      <c r="E1201" s="15">
        <v>4529</v>
      </c>
    </row>
    <row r="1202" spans="1:5" x14ac:dyDescent="0.2">
      <c r="A1202">
        <v>2024</v>
      </c>
      <c r="B1202" t="s">
        <v>144</v>
      </c>
      <c r="C1202" t="s">
        <v>122</v>
      </c>
      <c r="D1202">
        <v>10</v>
      </c>
      <c r="E1202" s="15">
        <v>6580</v>
      </c>
    </row>
    <row r="1203" spans="1:5" x14ac:dyDescent="0.2">
      <c r="A1203">
        <v>2024</v>
      </c>
      <c r="B1203" t="s">
        <v>144</v>
      </c>
      <c r="C1203" t="s">
        <v>123</v>
      </c>
      <c r="D1203">
        <v>11</v>
      </c>
      <c r="E1203" s="15">
        <v>22434</v>
      </c>
    </row>
    <row r="1204" spans="1:5" x14ac:dyDescent="0.2">
      <c r="A1204">
        <v>2024</v>
      </c>
      <c r="B1204" t="s">
        <v>145</v>
      </c>
      <c r="C1204" t="s">
        <v>113</v>
      </c>
      <c r="D1204">
        <v>1</v>
      </c>
      <c r="E1204" s="15">
        <v>11</v>
      </c>
    </row>
    <row r="1205" spans="1:5" x14ac:dyDescent="0.2">
      <c r="A1205">
        <v>2024</v>
      </c>
      <c r="B1205" t="s">
        <v>145</v>
      </c>
      <c r="C1205" t="s">
        <v>114</v>
      </c>
      <c r="D1205">
        <v>2</v>
      </c>
      <c r="E1205" s="15">
        <v>198</v>
      </c>
    </row>
    <row r="1206" spans="1:5" x14ac:dyDescent="0.2">
      <c r="A1206">
        <v>2024</v>
      </c>
      <c r="B1206" t="s">
        <v>145</v>
      </c>
      <c r="C1206" t="s">
        <v>115</v>
      </c>
      <c r="D1206">
        <v>3</v>
      </c>
      <c r="E1206" s="15">
        <v>319</v>
      </c>
    </row>
    <row r="1207" spans="1:5" x14ac:dyDescent="0.2">
      <c r="A1207">
        <v>2024</v>
      </c>
      <c r="B1207" t="s">
        <v>145</v>
      </c>
      <c r="C1207" t="s">
        <v>116</v>
      </c>
      <c r="D1207">
        <v>4</v>
      </c>
      <c r="E1207" s="15">
        <v>123</v>
      </c>
    </row>
    <row r="1208" spans="1:5" x14ac:dyDescent="0.2">
      <c r="A1208">
        <v>2024</v>
      </c>
      <c r="B1208" t="s">
        <v>145</v>
      </c>
      <c r="C1208" t="s">
        <v>117</v>
      </c>
      <c r="D1208">
        <v>5</v>
      </c>
      <c r="E1208" s="15">
        <v>484</v>
      </c>
    </row>
    <row r="1209" spans="1:5" x14ac:dyDescent="0.2">
      <c r="A1209">
        <v>2024</v>
      </c>
      <c r="B1209" t="s">
        <v>145</v>
      </c>
      <c r="C1209" t="s">
        <v>118</v>
      </c>
      <c r="D1209">
        <v>6</v>
      </c>
      <c r="E1209" s="15">
        <v>1126</v>
      </c>
    </row>
    <row r="1210" spans="1:5" x14ac:dyDescent="0.2">
      <c r="A1210">
        <v>2024</v>
      </c>
      <c r="B1210" t="s">
        <v>145</v>
      </c>
      <c r="C1210" t="s">
        <v>119</v>
      </c>
      <c r="D1210">
        <v>7</v>
      </c>
      <c r="E1210" s="15">
        <v>846</v>
      </c>
    </row>
    <row r="1211" spans="1:5" x14ac:dyDescent="0.2">
      <c r="A1211">
        <v>2024</v>
      </c>
      <c r="B1211" t="s">
        <v>145</v>
      </c>
      <c r="C1211" t="s">
        <v>120</v>
      </c>
      <c r="D1211">
        <v>8</v>
      </c>
      <c r="E1211" s="15">
        <v>2839</v>
      </c>
    </row>
    <row r="1212" spans="1:5" x14ac:dyDescent="0.2">
      <c r="A1212">
        <v>2024</v>
      </c>
      <c r="B1212" t="s">
        <v>145</v>
      </c>
      <c r="C1212" t="s">
        <v>121</v>
      </c>
      <c r="D1212">
        <v>9</v>
      </c>
      <c r="E1212" s="15">
        <v>2499</v>
      </c>
    </row>
    <row r="1213" spans="1:5" x14ac:dyDescent="0.2">
      <c r="A1213">
        <v>2024</v>
      </c>
      <c r="B1213" t="s">
        <v>145</v>
      </c>
      <c r="C1213" t="s">
        <v>122</v>
      </c>
      <c r="D1213">
        <v>10</v>
      </c>
      <c r="E1213" s="15">
        <v>3151</v>
      </c>
    </row>
    <row r="1214" spans="1:5" x14ac:dyDescent="0.2">
      <c r="A1214">
        <v>2024</v>
      </c>
      <c r="B1214" t="s">
        <v>145</v>
      </c>
      <c r="C1214" t="s">
        <v>123</v>
      </c>
      <c r="D1214">
        <v>11</v>
      </c>
      <c r="E1214" s="15">
        <v>6719</v>
      </c>
    </row>
    <row r="1215" spans="1:5" x14ac:dyDescent="0.2">
      <c r="A1215">
        <v>2024</v>
      </c>
      <c r="B1215" t="s">
        <v>146</v>
      </c>
      <c r="C1215" t="s">
        <v>113</v>
      </c>
      <c r="D1215">
        <v>1</v>
      </c>
      <c r="E1215" s="15">
        <v>173</v>
      </c>
    </row>
    <row r="1216" spans="1:5" x14ac:dyDescent="0.2">
      <c r="A1216">
        <v>2024</v>
      </c>
      <c r="B1216" t="s">
        <v>146</v>
      </c>
      <c r="C1216" t="s">
        <v>114</v>
      </c>
      <c r="D1216">
        <v>2</v>
      </c>
      <c r="E1216" s="15">
        <v>2092</v>
      </c>
    </row>
    <row r="1217" spans="1:5" x14ac:dyDescent="0.2">
      <c r="A1217">
        <v>2024</v>
      </c>
      <c r="B1217" t="s">
        <v>146</v>
      </c>
      <c r="C1217" t="s">
        <v>115</v>
      </c>
      <c r="D1217">
        <v>3</v>
      </c>
      <c r="E1217" s="15">
        <v>1817</v>
      </c>
    </row>
    <row r="1218" spans="1:5" x14ac:dyDescent="0.2">
      <c r="A1218">
        <v>2024</v>
      </c>
      <c r="B1218" t="s">
        <v>146</v>
      </c>
      <c r="C1218" t="s">
        <v>116</v>
      </c>
      <c r="D1218">
        <v>4</v>
      </c>
      <c r="E1218" s="15">
        <v>1004</v>
      </c>
    </row>
    <row r="1219" spans="1:5" x14ac:dyDescent="0.2">
      <c r="A1219">
        <v>2024</v>
      </c>
      <c r="B1219" t="s">
        <v>146</v>
      </c>
      <c r="C1219" t="s">
        <v>117</v>
      </c>
      <c r="D1219">
        <v>5</v>
      </c>
      <c r="E1219" s="15">
        <v>3311</v>
      </c>
    </row>
    <row r="1220" spans="1:5" x14ac:dyDescent="0.2">
      <c r="A1220">
        <v>2024</v>
      </c>
      <c r="B1220" t="s">
        <v>146</v>
      </c>
      <c r="C1220" t="s">
        <v>118</v>
      </c>
      <c r="D1220">
        <v>6</v>
      </c>
      <c r="E1220" s="15">
        <v>5118</v>
      </c>
    </row>
    <row r="1221" spans="1:5" x14ac:dyDescent="0.2">
      <c r="A1221">
        <v>2024</v>
      </c>
      <c r="B1221" t="s">
        <v>146</v>
      </c>
      <c r="C1221" t="s">
        <v>119</v>
      </c>
      <c r="D1221">
        <v>7</v>
      </c>
      <c r="E1221" s="15">
        <v>2800</v>
      </c>
    </row>
    <row r="1222" spans="1:5" x14ac:dyDescent="0.2">
      <c r="A1222">
        <v>2024</v>
      </c>
      <c r="B1222" t="s">
        <v>146</v>
      </c>
      <c r="C1222" t="s">
        <v>120</v>
      </c>
      <c r="D1222">
        <v>8</v>
      </c>
      <c r="E1222" s="15">
        <v>7908</v>
      </c>
    </row>
    <row r="1223" spans="1:5" x14ac:dyDescent="0.2">
      <c r="A1223">
        <v>2024</v>
      </c>
      <c r="B1223" t="s">
        <v>146</v>
      </c>
      <c r="C1223" t="s">
        <v>121</v>
      </c>
      <c r="D1223">
        <v>9</v>
      </c>
      <c r="E1223" s="15">
        <v>7179</v>
      </c>
    </row>
    <row r="1224" spans="1:5" x14ac:dyDescent="0.2">
      <c r="A1224">
        <v>2024</v>
      </c>
      <c r="B1224" t="s">
        <v>146</v>
      </c>
      <c r="C1224" t="s">
        <v>122</v>
      </c>
      <c r="D1224">
        <v>10</v>
      </c>
      <c r="E1224" s="15">
        <v>10566</v>
      </c>
    </row>
    <row r="1225" spans="1:5" x14ac:dyDescent="0.2">
      <c r="A1225">
        <v>2024</v>
      </c>
      <c r="B1225" t="s">
        <v>146</v>
      </c>
      <c r="C1225" t="s">
        <v>123</v>
      </c>
      <c r="D1225">
        <v>11</v>
      </c>
      <c r="E1225" s="15">
        <v>34140</v>
      </c>
    </row>
    <row r="1226" spans="1:5" x14ac:dyDescent="0.2">
      <c r="A1226">
        <v>2024</v>
      </c>
      <c r="B1226" t="s">
        <v>147</v>
      </c>
      <c r="C1226" t="s">
        <v>113</v>
      </c>
      <c r="D1226">
        <v>1</v>
      </c>
      <c r="E1226" s="15">
        <v>445</v>
      </c>
    </row>
    <row r="1227" spans="1:5" x14ac:dyDescent="0.2">
      <c r="A1227">
        <v>2024</v>
      </c>
      <c r="B1227" t="s">
        <v>147</v>
      </c>
      <c r="C1227" t="s">
        <v>114</v>
      </c>
      <c r="D1227">
        <v>2</v>
      </c>
      <c r="E1227" s="15">
        <v>3977</v>
      </c>
    </row>
    <row r="1228" spans="1:5" x14ac:dyDescent="0.2">
      <c r="A1228">
        <v>2024</v>
      </c>
      <c r="B1228" t="s">
        <v>147</v>
      </c>
      <c r="C1228" t="s">
        <v>115</v>
      </c>
      <c r="D1228">
        <v>3</v>
      </c>
      <c r="E1228" s="15">
        <v>3573</v>
      </c>
    </row>
    <row r="1229" spans="1:5" x14ac:dyDescent="0.2">
      <c r="A1229">
        <v>2024</v>
      </c>
      <c r="B1229" t="s">
        <v>147</v>
      </c>
      <c r="C1229" t="s">
        <v>116</v>
      </c>
      <c r="D1229">
        <v>4</v>
      </c>
      <c r="E1229" s="15">
        <v>1915</v>
      </c>
    </row>
    <row r="1230" spans="1:5" x14ac:dyDescent="0.2">
      <c r="A1230">
        <v>2024</v>
      </c>
      <c r="B1230" t="s">
        <v>147</v>
      </c>
      <c r="C1230" t="s">
        <v>117</v>
      </c>
      <c r="D1230">
        <v>5</v>
      </c>
      <c r="E1230" s="15">
        <v>6816</v>
      </c>
    </row>
    <row r="1231" spans="1:5" x14ac:dyDescent="0.2">
      <c r="A1231">
        <v>2024</v>
      </c>
      <c r="B1231" t="s">
        <v>147</v>
      </c>
      <c r="C1231" t="s">
        <v>118</v>
      </c>
      <c r="D1231">
        <v>6</v>
      </c>
      <c r="E1231" s="15">
        <v>10057</v>
      </c>
    </row>
    <row r="1232" spans="1:5" x14ac:dyDescent="0.2">
      <c r="A1232">
        <v>2024</v>
      </c>
      <c r="B1232" t="s">
        <v>147</v>
      </c>
      <c r="C1232" t="s">
        <v>119</v>
      </c>
      <c r="D1232">
        <v>7</v>
      </c>
      <c r="E1232" s="15">
        <v>5111</v>
      </c>
    </row>
    <row r="1233" spans="1:5" x14ac:dyDescent="0.2">
      <c r="A1233">
        <v>2024</v>
      </c>
      <c r="B1233" t="s">
        <v>147</v>
      </c>
      <c r="C1233" t="s">
        <v>120</v>
      </c>
      <c r="D1233">
        <v>8</v>
      </c>
      <c r="E1233" s="15">
        <v>13181</v>
      </c>
    </row>
    <row r="1234" spans="1:5" x14ac:dyDescent="0.2">
      <c r="A1234">
        <v>2024</v>
      </c>
      <c r="B1234" t="s">
        <v>147</v>
      </c>
      <c r="C1234" t="s">
        <v>121</v>
      </c>
      <c r="D1234">
        <v>9</v>
      </c>
      <c r="E1234" s="15">
        <v>13096</v>
      </c>
    </row>
    <row r="1235" spans="1:5" x14ac:dyDescent="0.2">
      <c r="A1235">
        <v>2024</v>
      </c>
      <c r="B1235" t="s">
        <v>147</v>
      </c>
      <c r="C1235" t="s">
        <v>122</v>
      </c>
      <c r="D1235">
        <v>10</v>
      </c>
      <c r="E1235" s="15">
        <v>19610</v>
      </c>
    </row>
    <row r="1236" spans="1:5" x14ac:dyDescent="0.2">
      <c r="A1236">
        <v>2024</v>
      </c>
      <c r="B1236" t="s">
        <v>147</v>
      </c>
      <c r="C1236" t="s">
        <v>123</v>
      </c>
      <c r="D1236">
        <v>11</v>
      </c>
      <c r="E1236" s="15">
        <v>66018</v>
      </c>
    </row>
    <row r="1237" spans="1:5" x14ac:dyDescent="0.2">
      <c r="A1237">
        <v>2024</v>
      </c>
      <c r="B1237" t="s">
        <v>148</v>
      </c>
      <c r="C1237" t="s">
        <v>113</v>
      </c>
      <c r="D1237">
        <v>1</v>
      </c>
      <c r="E1237" s="15">
        <v>138</v>
      </c>
    </row>
    <row r="1238" spans="1:5" x14ac:dyDescent="0.2">
      <c r="A1238">
        <v>2024</v>
      </c>
      <c r="B1238" t="s">
        <v>148</v>
      </c>
      <c r="C1238" t="s">
        <v>114</v>
      </c>
      <c r="D1238">
        <v>2</v>
      </c>
      <c r="E1238" s="15">
        <v>978</v>
      </c>
    </row>
    <row r="1239" spans="1:5" x14ac:dyDescent="0.2">
      <c r="A1239">
        <v>2024</v>
      </c>
      <c r="B1239" t="s">
        <v>148</v>
      </c>
      <c r="C1239" t="s">
        <v>115</v>
      </c>
      <c r="D1239">
        <v>3</v>
      </c>
      <c r="E1239" s="15">
        <v>746</v>
      </c>
    </row>
    <row r="1240" spans="1:5" x14ac:dyDescent="0.2">
      <c r="A1240">
        <v>2024</v>
      </c>
      <c r="B1240" t="s">
        <v>148</v>
      </c>
      <c r="C1240" t="s">
        <v>116</v>
      </c>
      <c r="D1240">
        <v>4</v>
      </c>
      <c r="E1240" s="15">
        <v>347</v>
      </c>
    </row>
    <row r="1241" spans="1:5" x14ac:dyDescent="0.2">
      <c r="A1241">
        <v>2024</v>
      </c>
      <c r="B1241" t="s">
        <v>148</v>
      </c>
      <c r="C1241" t="s">
        <v>117</v>
      </c>
      <c r="D1241">
        <v>5</v>
      </c>
      <c r="E1241" s="15">
        <v>1155</v>
      </c>
    </row>
    <row r="1242" spans="1:5" x14ac:dyDescent="0.2">
      <c r="A1242">
        <v>2024</v>
      </c>
      <c r="B1242" t="s">
        <v>148</v>
      </c>
      <c r="C1242" t="s">
        <v>118</v>
      </c>
      <c r="D1242">
        <v>6</v>
      </c>
      <c r="E1242" s="15">
        <v>1731</v>
      </c>
    </row>
    <row r="1243" spans="1:5" x14ac:dyDescent="0.2">
      <c r="A1243">
        <v>2024</v>
      </c>
      <c r="B1243" t="s">
        <v>148</v>
      </c>
      <c r="C1243" t="s">
        <v>119</v>
      </c>
      <c r="D1243">
        <v>7</v>
      </c>
      <c r="E1243" s="15">
        <v>1064</v>
      </c>
    </row>
    <row r="1244" spans="1:5" x14ac:dyDescent="0.2">
      <c r="A1244">
        <v>2024</v>
      </c>
      <c r="B1244" t="s">
        <v>148</v>
      </c>
      <c r="C1244" t="s">
        <v>120</v>
      </c>
      <c r="D1244">
        <v>8</v>
      </c>
      <c r="E1244" s="15">
        <v>2814</v>
      </c>
    </row>
    <row r="1245" spans="1:5" x14ac:dyDescent="0.2">
      <c r="A1245">
        <v>2024</v>
      </c>
      <c r="B1245" t="s">
        <v>148</v>
      </c>
      <c r="C1245" t="s">
        <v>121</v>
      </c>
      <c r="D1245">
        <v>9</v>
      </c>
      <c r="E1245" s="15">
        <v>2847</v>
      </c>
    </row>
    <row r="1246" spans="1:5" x14ac:dyDescent="0.2">
      <c r="A1246">
        <v>2024</v>
      </c>
      <c r="B1246" t="s">
        <v>148</v>
      </c>
      <c r="C1246" t="s">
        <v>122</v>
      </c>
      <c r="D1246">
        <v>10</v>
      </c>
      <c r="E1246" s="15">
        <v>4361</v>
      </c>
    </row>
    <row r="1247" spans="1:5" x14ac:dyDescent="0.2">
      <c r="A1247">
        <v>2024</v>
      </c>
      <c r="B1247" t="s">
        <v>148</v>
      </c>
      <c r="C1247" t="s">
        <v>123</v>
      </c>
      <c r="D1247">
        <v>11</v>
      </c>
      <c r="E1247" s="15">
        <v>14344</v>
      </c>
    </row>
    <row r="1248" spans="1:5" x14ac:dyDescent="0.2">
      <c r="A1248">
        <v>2024</v>
      </c>
      <c r="B1248" t="s">
        <v>149</v>
      </c>
      <c r="C1248" t="s">
        <v>113</v>
      </c>
      <c r="D1248">
        <v>1</v>
      </c>
      <c r="E1248" s="15">
        <v>6</v>
      </c>
    </row>
    <row r="1249" spans="1:5" x14ac:dyDescent="0.2">
      <c r="A1249">
        <v>2024</v>
      </c>
      <c r="B1249" t="s">
        <v>149</v>
      </c>
      <c r="C1249" t="s">
        <v>114</v>
      </c>
      <c r="D1249">
        <v>2</v>
      </c>
      <c r="E1249" s="15">
        <v>96</v>
      </c>
    </row>
    <row r="1250" spans="1:5" x14ac:dyDescent="0.2">
      <c r="A1250">
        <v>2024</v>
      </c>
      <c r="B1250" t="s">
        <v>149</v>
      </c>
      <c r="C1250" t="s">
        <v>115</v>
      </c>
      <c r="D1250">
        <v>3</v>
      </c>
      <c r="E1250" s="15">
        <v>93</v>
      </c>
    </row>
    <row r="1251" spans="1:5" x14ac:dyDescent="0.2">
      <c r="A1251">
        <v>2024</v>
      </c>
      <c r="B1251" t="s">
        <v>149</v>
      </c>
      <c r="C1251" t="s">
        <v>116</v>
      </c>
      <c r="D1251">
        <v>4</v>
      </c>
      <c r="E1251" s="15">
        <v>41</v>
      </c>
    </row>
    <row r="1252" spans="1:5" x14ac:dyDescent="0.2">
      <c r="A1252">
        <v>2024</v>
      </c>
      <c r="B1252" t="s">
        <v>149</v>
      </c>
      <c r="C1252" t="s">
        <v>117</v>
      </c>
      <c r="D1252">
        <v>5</v>
      </c>
      <c r="E1252" s="15">
        <v>158</v>
      </c>
    </row>
    <row r="1253" spans="1:5" x14ac:dyDescent="0.2">
      <c r="A1253">
        <v>2024</v>
      </c>
      <c r="B1253" t="s">
        <v>149</v>
      </c>
      <c r="C1253" t="s">
        <v>118</v>
      </c>
      <c r="D1253">
        <v>6</v>
      </c>
      <c r="E1253" s="15">
        <v>128</v>
      </c>
    </row>
    <row r="1254" spans="1:5" x14ac:dyDescent="0.2">
      <c r="A1254">
        <v>2024</v>
      </c>
      <c r="B1254" t="s">
        <v>149</v>
      </c>
      <c r="C1254" t="s">
        <v>119</v>
      </c>
      <c r="D1254">
        <v>7</v>
      </c>
      <c r="E1254" s="15">
        <v>98</v>
      </c>
    </row>
    <row r="1255" spans="1:5" x14ac:dyDescent="0.2">
      <c r="A1255">
        <v>2024</v>
      </c>
      <c r="B1255" t="s">
        <v>149</v>
      </c>
      <c r="C1255" t="s">
        <v>120</v>
      </c>
      <c r="D1255">
        <v>8</v>
      </c>
      <c r="E1255" s="15">
        <v>284</v>
      </c>
    </row>
    <row r="1256" spans="1:5" x14ac:dyDescent="0.2">
      <c r="A1256">
        <v>2024</v>
      </c>
      <c r="B1256" t="s">
        <v>149</v>
      </c>
      <c r="C1256" t="s">
        <v>121</v>
      </c>
      <c r="D1256">
        <v>9</v>
      </c>
      <c r="E1256" s="15">
        <v>293</v>
      </c>
    </row>
    <row r="1257" spans="1:5" x14ac:dyDescent="0.2">
      <c r="A1257">
        <v>2024</v>
      </c>
      <c r="B1257" t="s">
        <v>149</v>
      </c>
      <c r="C1257" t="s">
        <v>122</v>
      </c>
      <c r="D1257">
        <v>10</v>
      </c>
      <c r="E1257" s="15">
        <v>380</v>
      </c>
    </row>
    <row r="1258" spans="1:5" x14ac:dyDescent="0.2">
      <c r="A1258">
        <v>2024</v>
      </c>
      <c r="B1258" t="s">
        <v>149</v>
      </c>
      <c r="C1258" t="s">
        <v>123</v>
      </c>
      <c r="D1258">
        <v>11</v>
      </c>
      <c r="E1258" s="15">
        <v>675</v>
      </c>
    </row>
    <row r="1259" spans="1:5" x14ac:dyDescent="0.2">
      <c r="A1259">
        <v>2024</v>
      </c>
      <c r="B1259" t="s">
        <v>150</v>
      </c>
      <c r="C1259" t="s">
        <v>113</v>
      </c>
      <c r="D1259">
        <v>1</v>
      </c>
      <c r="E1259" s="15">
        <v>22</v>
      </c>
    </row>
    <row r="1260" spans="1:5" x14ac:dyDescent="0.2">
      <c r="A1260">
        <v>2024</v>
      </c>
      <c r="B1260" t="s">
        <v>150</v>
      </c>
      <c r="C1260" t="s">
        <v>114</v>
      </c>
      <c r="D1260">
        <v>2</v>
      </c>
      <c r="E1260" s="15">
        <v>444</v>
      </c>
    </row>
    <row r="1261" spans="1:5" x14ac:dyDescent="0.2">
      <c r="A1261">
        <v>2024</v>
      </c>
      <c r="B1261" t="s">
        <v>150</v>
      </c>
      <c r="C1261" t="s">
        <v>115</v>
      </c>
      <c r="D1261">
        <v>3</v>
      </c>
      <c r="E1261" s="15">
        <v>365</v>
      </c>
    </row>
    <row r="1262" spans="1:5" x14ac:dyDescent="0.2">
      <c r="A1262">
        <v>2024</v>
      </c>
      <c r="B1262" t="s">
        <v>150</v>
      </c>
      <c r="C1262" t="s">
        <v>116</v>
      </c>
      <c r="D1262">
        <v>4</v>
      </c>
      <c r="E1262" s="15">
        <v>212</v>
      </c>
    </row>
    <row r="1263" spans="1:5" x14ac:dyDescent="0.2">
      <c r="A1263">
        <v>2024</v>
      </c>
      <c r="B1263" t="s">
        <v>150</v>
      </c>
      <c r="C1263" t="s">
        <v>117</v>
      </c>
      <c r="D1263">
        <v>5</v>
      </c>
      <c r="E1263" s="15">
        <v>635</v>
      </c>
    </row>
    <row r="1264" spans="1:5" x14ac:dyDescent="0.2">
      <c r="A1264">
        <v>2024</v>
      </c>
      <c r="B1264" t="s">
        <v>150</v>
      </c>
      <c r="C1264" t="s">
        <v>118</v>
      </c>
      <c r="D1264">
        <v>6</v>
      </c>
      <c r="E1264" s="15">
        <v>811</v>
      </c>
    </row>
    <row r="1265" spans="1:5" x14ac:dyDescent="0.2">
      <c r="A1265">
        <v>2024</v>
      </c>
      <c r="B1265" t="s">
        <v>150</v>
      </c>
      <c r="C1265" t="s">
        <v>119</v>
      </c>
      <c r="D1265">
        <v>7</v>
      </c>
      <c r="E1265" s="15">
        <v>592</v>
      </c>
    </row>
    <row r="1266" spans="1:5" x14ac:dyDescent="0.2">
      <c r="A1266">
        <v>2024</v>
      </c>
      <c r="B1266" t="s">
        <v>150</v>
      </c>
      <c r="C1266" t="s">
        <v>120</v>
      </c>
      <c r="D1266">
        <v>8</v>
      </c>
      <c r="E1266" s="15">
        <v>1934</v>
      </c>
    </row>
    <row r="1267" spans="1:5" x14ac:dyDescent="0.2">
      <c r="A1267">
        <v>2024</v>
      </c>
      <c r="B1267" t="s">
        <v>150</v>
      </c>
      <c r="C1267" t="s">
        <v>121</v>
      </c>
      <c r="D1267">
        <v>9</v>
      </c>
      <c r="E1267" s="15">
        <v>1769</v>
      </c>
    </row>
    <row r="1268" spans="1:5" x14ac:dyDescent="0.2">
      <c r="A1268">
        <v>2024</v>
      </c>
      <c r="B1268" t="s">
        <v>150</v>
      </c>
      <c r="C1268" t="s">
        <v>122</v>
      </c>
      <c r="D1268">
        <v>10</v>
      </c>
      <c r="E1268" s="15">
        <v>2176</v>
      </c>
    </row>
    <row r="1269" spans="1:5" x14ac:dyDescent="0.2">
      <c r="A1269">
        <v>2024</v>
      </c>
      <c r="B1269" t="s">
        <v>150</v>
      </c>
      <c r="C1269" t="s">
        <v>123</v>
      </c>
      <c r="D1269">
        <v>11</v>
      </c>
      <c r="E1269" s="15">
        <v>4454</v>
      </c>
    </row>
    <row r="1270" spans="1:5" x14ac:dyDescent="0.2">
      <c r="A1270">
        <v>2024</v>
      </c>
      <c r="B1270" t="s">
        <v>151</v>
      </c>
      <c r="C1270" t="s">
        <v>113</v>
      </c>
      <c r="D1270">
        <v>1</v>
      </c>
      <c r="E1270" s="15">
        <v>138</v>
      </c>
    </row>
    <row r="1271" spans="1:5" x14ac:dyDescent="0.2">
      <c r="A1271">
        <v>2024</v>
      </c>
      <c r="B1271" t="s">
        <v>151</v>
      </c>
      <c r="C1271" t="s">
        <v>114</v>
      </c>
      <c r="D1271">
        <v>2</v>
      </c>
      <c r="E1271" s="15">
        <v>1629</v>
      </c>
    </row>
    <row r="1272" spans="1:5" x14ac:dyDescent="0.2">
      <c r="A1272">
        <v>2024</v>
      </c>
      <c r="B1272" t="s">
        <v>151</v>
      </c>
      <c r="C1272" t="s">
        <v>115</v>
      </c>
      <c r="D1272">
        <v>3</v>
      </c>
      <c r="E1272" s="15">
        <v>1550</v>
      </c>
    </row>
    <row r="1273" spans="1:5" x14ac:dyDescent="0.2">
      <c r="A1273">
        <v>2024</v>
      </c>
      <c r="B1273" t="s">
        <v>151</v>
      </c>
      <c r="C1273" t="s">
        <v>116</v>
      </c>
      <c r="D1273">
        <v>4</v>
      </c>
      <c r="E1273" s="15">
        <v>717</v>
      </c>
    </row>
    <row r="1274" spans="1:5" x14ac:dyDescent="0.2">
      <c r="A1274">
        <v>2024</v>
      </c>
      <c r="B1274" t="s">
        <v>151</v>
      </c>
      <c r="C1274" t="s">
        <v>117</v>
      </c>
      <c r="D1274">
        <v>5</v>
      </c>
      <c r="E1274" s="15">
        <v>2255</v>
      </c>
    </row>
    <row r="1275" spans="1:5" x14ac:dyDescent="0.2">
      <c r="A1275">
        <v>2024</v>
      </c>
      <c r="B1275" t="s">
        <v>151</v>
      </c>
      <c r="C1275" t="s">
        <v>118</v>
      </c>
      <c r="D1275">
        <v>6</v>
      </c>
      <c r="E1275" s="15">
        <v>3414</v>
      </c>
    </row>
    <row r="1276" spans="1:5" x14ac:dyDescent="0.2">
      <c r="A1276">
        <v>2024</v>
      </c>
      <c r="B1276" t="s">
        <v>151</v>
      </c>
      <c r="C1276" t="s">
        <v>119</v>
      </c>
      <c r="D1276">
        <v>7</v>
      </c>
      <c r="E1276" s="15">
        <v>1959</v>
      </c>
    </row>
    <row r="1277" spans="1:5" x14ac:dyDescent="0.2">
      <c r="A1277">
        <v>2024</v>
      </c>
      <c r="B1277" t="s">
        <v>151</v>
      </c>
      <c r="C1277" t="s">
        <v>120</v>
      </c>
      <c r="D1277">
        <v>8</v>
      </c>
      <c r="E1277" s="15">
        <v>5500</v>
      </c>
    </row>
    <row r="1278" spans="1:5" x14ac:dyDescent="0.2">
      <c r="A1278">
        <v>2024</v>
      </c>
      <c r="B1278" t="s">
        <v>151</v>
      </c>
      <c r="C1278" t="s">
        <v>121</v>
      </c>
      <c r="D1278">
        <v>9</v>
      </c>
      <c r="E1278" s="15">
        <v>5448</v>
      </c>
    </row>
    <row r="1279" spans="1:5" x14ac:dyDescent="0.2">
      <c r="A1279">
        <v>2024</v>
      </c>
      <c r="B1279" t="s">
        <v>151</v>
      </c>
      <c r="C1279" t="s">
        <v>122</v>
      </c>
      <c r="D1279">
        <v>10</v>
      </c>
      <c r="E1279" s="15">
        <v>7855</v>
      </c>
    </row>
    <row r="1280" spans="1:5" x14ac:dyDescent="0.2">
      <c r="A1280">
        <v>2024</v>
      </c>
      <c r="B1280" t="s">
        <v>151</v>
      </c>
      <c r="C1280" t="s">
        <v>123</v>
      </c>
      <c r="D1280">
        <v>11</v>
      </c>
      <c r="E1280" s="15">
        <v>23476</v>
      </c>
    </row>
    <row r="1281" spans="1:5" x14ac:dyDescent="0.2">
      <c r="A1281">
        <v>2024</v>
      </c>
      <c r="B1281" t="s">
        <v>152</v>
      </c>
      <c r="C1281" t="s">
        <v>113</v>
      </c>
      <c r="D1281">
        <v>1</v>
      </c>
      <c r="E1281" s="15">
        <v>0</v>
      </c>
    </row>
    <row r="1282" spans="1:5" x14ac:dyDescent="0.2">
      <c r="A1282">
        <v>2024</v>
      </c>
      <c r="B1282" t="s">
        <v>152</v>
      </c>
      <c r="C1282" t="s">
        <v>114</v>
      </c>
      <c r="D1282">
        <v>2</v>
      </c>
      <c r="E1282" s="15">
        <v>38</v>
      </c>
    </row>
    <row r="1283" spans="1:5" x14ac:dyDescent="0.2">
      <c r="A1283">
        <v>2024</v>
      </c>
      <c r="B1283" t="s">
        <v>152</v>
      </c>
      <c r="C1283" t="s">
        <v>115</v>
      </c>
      <c r="D1283">
        <v>3</v>
      </c>
      <c r="E1283" s="15">
        <v>192</v>
      </c>
    </row>
    <row r="1284" spans="1:5" x14ac:dyDescent="0.2">
      <c r="A1284">
        <v>2024</v>
      </c>
      <c r="B1284" t="s">
        <v>152</v>
      </c>
      <c r="C1284" t="s">
        <v>116</v>
      </c>
      <c r="D1284">
        <v>4</v>
      </c>
      <c r="E1284" s="15">
        <v>230</v>
      </c>
    </row>
    <row r="1285" spans="1:5" x14ac:dyDescent="0.2">
      <c r="A1285">
        <v>2024</v>
      </c>
      <c r="B1285" t="s">
        <v>152</v>
      </c>
      <c r="C1285" t="s">
        <v>117</v>
      </c>
      <c r="D1285">
        <v>5</v>
      </c>
      <c r="E1285" s="15">
        <v>1478</v>
      </c>
    </row>
    <row r="1286" spans="1:5" x14ac:dyDescent="0.2">
      <c r="A1286">
        <v>2024</v>
      </c>
      <c r="B1286" t="s">
        <v>152</v>
      </c>
      <c r="C1286" t="s">
        <v>118</v>
      </c>
      <c r="D1286">
        <v>6</v>
      </c>
      <c r="E1286" s="15">
        <v>3764</v>
      </c>
    </row>
    <row r="1287" spans="1:5" x14ac:dyDescent="0.2">
      <c r="A1287">
        <v>2024</v>
      </c>
      <c r="B1287" t="s">
        <v>152</v>
      </c>
      <c r="C1287" t="s">
        <v>119</v>
      </c>
      <c r="D1287">
        <v>7</v>
      </c>
      <c r="E1287" s="15">
        <v>2345</v>
      </c>
    </row>
    <row r="1288" spans="1:5" x14ac:dyDescent="0.2">
      <c r="A1288">
        <v>2024</v>
      </c>
      <c r="B1288" t="s">
        <v>152</v>
      </c>
      <c r="C1288" t="s">
        <v>120</v>
      </c>
      <c r="D1288">
        <v>8</v>
      </c>
      <c r="E1288" s="15">
        <v>5149</v>
      </c>
    </row>
    <row r="1289" spans="1:5" x14ac:dyDescent="0.2">
      <c r="A1289">
        <v>2024</v>
      </c>
      <c r="B1289" t="s">
        <v>152</v>
      </c>
      <c r="C1289" t="s">
        <v>121</v>
      </c>
      <c r="D1289">
        <v>9</v>
      </c>
      <c r="E1289" s="15">
        <v>3791</v>
      </c>
    </row>
    <row r="1290" spans="1:5" x14ac:dyDescent="0.2">
      <c r="A1290">
        <v>2024</v>
      </c>
      <c r="B1290" t="s">
        <v>152</v>
      </c>
      <c r="C1290" t="s">
        <v>122</v>
      </c>
      <c r="D1290">
        <v>10</v>
      </c>
      <c r="E1290" s="15">
        <v>4468</v>
      </c>
    </row>
    <row r="1291" spans="1:5" x14ac:dyDescent="0.2">
      <c r="A1291">
        <v>2024</v>
      </c>
      <c r="B1291" t="s">
        <v>152</v>
      </c>
      <c r="C1291" t="s">
        <v>123</v>
      </c>
      <c r="D1291">
        <v>11</v>
      </c>
      <c r="E1291" s="15">
        <v>7814</v>
      </c>
    </row>
    <row r="1292" spans="1:5" x14ac:dyDescent="0.2">
      <c r="A1292">
        <v>2025</v>
      </c>
      <c r="B1292" t="s">
        <v>140</v>
      </c>
      <c r="C1292" t="s">
        <v>113</v>
      </c>
      <c r="D1292">
        <v>1</v>
      </c>
      <c r="E1292" s="15">
        <v>345</v>
      </c>
    </row>
    <row r="1293" spans="1:5" x14ac:dyDescent="0.2">
      <c r="A1293">
        <v>2025</v>
      </c>
      <c r="B1293" t="s">
        <v>140</v>
      </c>
      <c r="C1293" t="s">
        <v>114</v>
      </c>
      <c r="D1293">
        <v>2</v>
      </c>
      <c r="E1293" s="15">
        <v>3111</v>
      </c>
    </row>
    <row r="1294" spans="1:5" x14ac:dyDescent="0.2">
      <c r="A1294">
        <v>2025</v>
      </c>
      <c r="B1294" t="s">
        <v>140</v>
      </c>
      <c r="C1294" t="s">
        <v>115</v>
      </c>
      <c r="D1294">
        <v>3</v>
      </c>
      <c r="E1294" s="15">
        <v>2436</v>
      </c>
    </row>
    <row r="1295" spans="1:5" x14ac:dyDescent="0.2">
      <c r="A1295">
        <v>2025</v>
      </c>
      <c r="B1295" t="s">
        <v>140</v>
      </c>
      <c r="C1295" t="s">
        <v>116</v>
      </c>
      <c r="D1295">
        <v>4</v>
      </c>
      <c r="E1295" s="15">
        <v>1205</v>
      </c>
    </row>
    <row r="1296" spans="1:5" x14ac:dyDescent="0.2">
      <c r="A1296">
        <v>2025</v>
      </c>
      <c r="B1296" t="s">
        <v>140</v>
      </c>
      <c r="C1296" t="s">
        <v>117</v>
      </c>
      <c r="D1296">
        <v>5</v>
      </c>
      <c r="E1296" s="15">
        <v>3876</v>
      </c>
    </row>
    <row r="1297" spans="1:5" x14ac:dyDescent="0.2">
      <c r="A1297">
        <v>2025</v>
      </c>
      <c r="B1297" t="s">
        <v>140</v>
      </c>
      <c r="C1297" t="s">
        <v>118</v>
      </c>
      <c r="D1297">
        <v>6</v>
      </c>
      <c r="E1297" s="15">
        <v>4775</v>
      </c>
    </row>
    <row r="1298" spans="1:5" x14ac:dyDescent="0.2">
      <c r="A1298">
        <v>2025</v>
      </c>
      <c r="B1298" t="s">
        <v>140</v>
      </c>
      <c r="C1298" t="s">
        <v>119</v>
      </c>
      <c r="D1298">
        <v>7</v>
      </c>
      <c r="E1298" s="15">
        <v>2360</v>
      </c>
    </row>
    <row r="1299" spans="1:5" x14ac:dyDescent="0.2">
      <c r="A1299">
        <v>2025</v>
      </c>
      <c r="B1299" t="s">
        <v>140</v>
      </c>
      <c r="C1299" t="s">
        <v>120</v>
      </c>
      <c r="D1299">
        <v>8</v>
      </c>
      <c r="E1299" s="15">
        <v>6153</v>
      </c>
    </row>
    <row r="1300" spans="1:5" x14ac:dyDescent="0.2">
      <c r="A1300">
        <v>2025</v>
      </c>
      <c r="B1300" t="s">
        <v>140</v>
      </c>
      <c r="C1300" t="s">
        <v>121</v>
      </c>
      <c r="D1300">
        <v>9</v>
      </c>
      <c r="E1300" s="15">
        <v>5605</v>
      </c>
    </row>
    <row r="1301" spans="1:5" x14ac:dyDescent="0.2">
      <c r="A1301">
        <v>2025</v>
      </c>
      <c r="B1301" t="s">
        <v>140</v>
      </c>
      <c r="C1301" t="s">
        <v>122</v>
      </c>
      <c r="D1301">
        <v>10</v>
      </c>
      <c r="E1301" s="15">
        <v>9334</v>
      </c>
    </row>
    <row r="1302" spans="1:5" x14ac:dyDescent="0.2">
      <c r="A1302">
        <v>2025</v>
      </c>
      <c r="B1302" t="s">
        <v>140</v>
      </c>
      <c r="C1302" t="s">
        <v>123</v>
      </c>
      <c r="D1302">
        <v>11</v>
      </c>
      <c r="E1302" s="15">
        <v>36879</v>
      </c>
    </row>
    <row r="1303" spans="1:5" x14ac:dyDescent="0.2">
      <c r="A1303">
        <v>2025</v>
      </c>
      <c r="B1303" t="s">
        <v>141</v>
      </c>
      <c r="C1303" t="s">
        <v>113</v>
      </c>
      <c r="D1303">
        <v>1</v>
      </c>
      <c r="E1303" s="15">
        <v>501</v>
      </c>
    </row>
    <row r="1304" spans="1:5" x14ac:dyDescent="0.2">
      <c r="A1304">
        <v>2025</v>
      </c>
      <c r="B1304" t="s">
        <v>141</v>
      </c>
      <c r="C1304" t="s">
        <v>114</v>
      </c>
      <c r="D1304">
        <v>2</v>
      </c>
      <c r="E1304" s="15">
        <v>4990</v>
      </c>
    </row>
    <row r="1305" spans="1:5" x14ac:dyDescent="0.2">
      <c r="A1305">
        <v>2025</v>
      </c>
      <c r="B1305" t="s">
        <v>141</v>
      </c>
      <c r="C1305" t="s">
        <v>115</v>
      </c>
      <c r="D1305">
        <v>3</v>
      </c>
      <c r="E1305" s="15">
        <v>4066</v>
      </c>
    </row>
    <row r="1306" spans="1:5" x14ac:dyDescent="0.2">
      <c r="A1306">
        <v>2025</v>
      </c>
      <c r="B1306" t="s">
        <v>141</v>
      </c>
      <c r="C1306" t="s">
        <v>116</v>
      </c>
      <c r="D1306">
        <v>4</v>
      </c>
      <c r="E1306" s="15">
        <v>1865</v>
      </c>
    </row>
    <row r="1307" spans="1:5" x14ac:dyDescent="0.2">
      <c r="A1307">
        <v>2025</v>
      </c>
      <c r="B1307" t="s">
        <v>141</v>
      </c>
      <c r="C1307" t="s">
        <v>117</v>
      </c>
      <c r="D1307">
        <v>5</v>
      </c>
      <c r="E1307" s="15">
        <v>6658</v>
      </c>
    </row>
    <row r="1308" spans="1:5" x14ac:dyDescent="0.2">
      <c r="A1308">
        <v>2025</v>
      </c>
      <c r="B1308" t="s">
        <v>141</v>
      </c>
      <c r="C1308" t="s">
        <v>118</v>
      </c>
      <c r="D1308">
        <v>6</v>
      </c>
      <c r="E1308" s="15">
        <v>10954</v>
      </c>
    </row>
    <row r="1309" spans="1:5" x14ac:dyDescent="0.2">
      <c r="A1309">
        <v>2025</v>
      </c>
      <c r="B1309" t="s">
        <v>141</v>
      </c>
      <c r="C1309" t="s">
        <v>119</v>
      </c>
      <c r="D1309">
        <v>7</v>
      </c>
      <c r="E1309" s="15">
        <v>5872</v>
      </c>
    </row>
    <row r="1310" spans="1:5" x14ac:dyDescent="0.2">
      <c r="A1310">
        <v>2025</v>
      </c>
      <c r="B1310" t="s">
        <v>141</v>
      </c>
      <c r="C1310" t="s">
        <v>120</v>
      </c>
      <c r="D1310">
        <v>8</v>
      </c>
      <c r="E1310" s="15">
        <v>15051</v>
      </c>
    </row>
    <row r="1311" spans="1:5" x14ac:dyDescent="0.2">
      <c r="A1311">
        <v>2025</v>
      </c>
      <c r="B1311" t="s">
        <v>141</v>
      </c>
      <c r="C1311" t="s">
        <v>121</v>
      </c>
      <c r="D1311">
        <v>9</v>
      </c>
      <c r="E1311" s="15">
        <v>12181</v>
      </c>
    </row>
    <row r="1312" spans="1:5" x14ac:dyDescent="0.2">
      <c r="A1312">
        <v>2025</v>
      </c>
      <c r="B1312" t="s">
        <v>141</v>
      </c>
      <c r="C1312" t="s">
        <v>122</v>
      </c>
      <c r="D1312">
        <v>10</v>
      </c>
      <c r="E1312" s="15">
        <v>18918</v>
      </c>
    </row>
    <row r="1313" spans="1:5" x14ac:dyDescent="0.2">
      <c r="A1313">
        <v>2025</v>
      </c>
      <c r="B1313" t="s">
        <v>141</v>
      </c>
      <c r="C1313" t="s">
        <v>123</v>
      </c>
      <c r="D1313">
        <v>11</v>
      </c>
      <c r="E1313" s="15">
        <v>63445</v>
      </c>
    </row>
    <row r="1314" spans="1:5" x14ac:dyDescent="0.2">
      <c r="A1314">
        <v>2025</v>
      </c>
      <c r="B1314" t="s">
        <v>142</v>
      </c>
      <c r="C1314" t="s">
        <v>113</v>
      </c>
      <c r="D1314">
        <v>1</v>
      </c>
      <c r="E1314" s="15">
        <v>75</v>
      </c>
    </row>
    <row r="1315" spans="1:5" x14ac:dyDescent="0.2">
      <c r="A1315">
        <v>2025</v>
      </c>
      <c r="B1315" t="s">
        <v>142</v>
      </c>
      <c r="C1315" t="s">
        <v>114</v>
      </c>
      <c r="D1315">
        <v>2</v>
      </c>
      <c r="E1315" s="15">
        <v>940</v>
      </c>
    </row>
    <row r="1316" spans="1:5" x14ac:dyDescent="0.2">
      <c r="A1316">
        <v>2025</v>
      </c>
      <c r="B1316" t="s">
        <v>142</v>
      </c>
      <c r="C1316" t="s">
        <v>115</v>
      </c>
      <c r="D1316">
        <v>3</v>
      </c>
      <c r="E1316" s="15">
        <v>759</v>
      </c>
    </row>
    <row r="1317" spans="1:5" x14ac:dyDescent="0.2">
      <c r="A1317">
        <v>2025</v>
      </c>
      <c r="B1317" t="s">
        <v>142</v>
      </c>
      <c r="C1317" t="s">
        <v>116</v>
      </c>
      <c r="D1317">
        <v>4</v>
      </c>
      <c r="E1317" s="15">
        <v>340</v>
      </c>
    </row>
    <row r="1318" spans="1:5" x14ac:dyDescent="0.2">
      <c r="A1318">
        <v>2025</v>
      </c>
      <c r="B1318" t="s">
        <v>142</v>
      </c>
      <c r="C1318" t="s">
        <v>117</v>
      </c>
      <c r="D1318">
        <v>5</v>
      </c>
      <c r="E1318" s="15">
        <v>1138</v>
      </c>
    </row>
    <row r="1319" spans="1:5" x14ac:dyDescent="0.2">
      <c r="A1319">
        <v>2025</v>
      </c>
      <c r="B1319" t="s">
        <v>142</v>
      </c>
      <c r="C1319" t="s">
        <v>118</v>
      </c>
      <c r="D1319">
        <v>6</v>
      </c>
      <c r="E1319" s="15">
        <v>2087</v>
      </c>
    </row>
    <row r="1320" spans="1:5" x14ac:dyDescent="0.2">
      <c r="A1320">
        <v>2025</v>
      </c>
      <c r="B1320" t="s">
        <v>142</v>
      </c>
      <c r="C1320" t="s">
        <v>119</v>
      </c>
      <c r="D1320">
        <v>7</v>
      </c>
      <c r="E1320" s="15">
        <v>1349</v>
      </c>
    </row>
    <row r="1321" spans="1:5" x14ac:dyDescent="0.2">
      <c r="A1321">
        <v>2025</v>
      </c>
      <c r="B1321" t="s">
        <v>142</v>
      </c>
      <c r="C1321" t="s">
        <v>120</v>
      </c>
      <c r="D1321">
        <v>8</v>
      </c>
      <c r="E1321" s="15">
        <v>3426</v>
      </c>
    </row>
    <row r="1322" spans="1:5" x14ac:dyDescent="0.2">
      <c r="A1322">
        <v>2025</v>
      </c>
      <c r="B1322" t="s">
        <v>142</v>
      </c>
      <c r="C1322" t="s">
        <v>121</v>
      </c>
      <c r="D1322">
        <v>9</v>
      </c>
      <c r="E1322" s="15">
        <v>2703</v>
      </c>
    </row>
    <row r="1323" spans="1:5" x14ac:dyDescent="0.2">
      <c r="A1323">
        <v>2025</v>
      </c>
      <c r="B1323" t="s">
        <v>142</v>
      </c>
      <c r="C1323" t="s">
        <v>122</v>
      </c>
      <c r="D1323">
        <v>10</v>
      </c>
      <c r="E1323" s="15">
        <v>3805</v>
      </c>
    </row>
    <row r="1324" spans="1:5" x14ac:dyDescent="0.2">
      <c r="A1324">
        <v>2025</v>
      </c>
      <c r="B1324" t="s">
        <v>142</v>
      </c>
      <c r="C1324" t="s">
        <v>123</v>
      </c>
      <c r="D1324">
        <v>11</v>
      </c>
      <c r="E1324" s="15">
        <v>11155</v>
      </c>
    </row>
    <row r="1325" spans="1:5" x14ac:dyDescent="0.2">
      <c r="A1325">
        <v>2025</v>
      </c>
      <c r="B1325" t="s">
        <v>143</v>
      </c>
      <c r="C1325" t="s">
        <v>113</v>
      </c>
      <c r="D1325">
        <v>1</v>
      </c>
      <c r="E1325" s="15">
        <v>90</v>
      </c>
    </row>
    <row r="1326" spans="1:5" x14ac:dyDescent="0.2">
      <c r="A1326">
        <v>2025</v>
      </c>
      <c r="B1326" t="s">
        <v>143</v>
      </c>
      <c r="C1326" t="s">
        <v>114</v>
      </c>
      <c r="D1326">
        <v>2</v>
      </c>
      <c r="E1326" s="15">
        <v>1128</v>
      </c>
    </row>
    <row r="1327" spans="1:5" x14ac:dyDescent="0.2">
      <c r="A1327">
        <v>2025</v>
      </c>
      <c r="B1327" t="s">
        <v>143</v>
      </c>
      <c r="C1327" t="s">
        <v>115</v>
      </c>
      <c r="D1327">
        <v>3</v>
      </c>
      <c r="E1327" s="15">
        <v>1133</v>
      </c>
    </row>
    <row r="1328" spans="1:5" x14ac:dyDescent="0.2">
      <c r="A1328">
        <v>2025</v>
      </c>
      <c r="B1328" t="s">
        <v>143</v>
      </c>
      <c r="C1328" t="s">
        <v>116</v>
      </c>
      <c r="D1328">
        <v>4</v>
      </c>
      <c r="E1328" s="15">
        <v>535</v>
      </c>
    </row>
    <row r="1329" spans="1:5" x14ac:dyDescent="0.2">
      <c r="A1329">
        <v>2025</v>
      </c>
      <c r="B1329" t="s">
        <v>143</v>
      </c>
      <c r="C1329" t="s">
        <v>117</v>
      </c>
      <c r="D1329">
        <v>5</v>
      </c>
      <c r="E1329" s="15">
        <v>1381</v>
      </c>
    </row>
    <row r="1330" spans="1:5" x14ac:dyDescent="0.2">
      <c r="A1330">
        <v>2025</v>
      </c>
      <c r="B1330" t="s">
        <v>143</v>
      </c>
      <c r="C1330" t="s">
        <v>118</v>
      </c>
      <c r="D1330">
        <v>6</v>
      </c>
      <c r="E1330" s="15">
        <v>1431</v>
      </c>
    </row>
    <row r="1331" spans="1:5" x14ac:dyDescent="0.2">
      <c r="A1331">
        <v>2025</v>
      </c>
      <c r="B1331" t="s">
        <v>143</v>
      </c>
      <c r="C1331" t="s">
        <v>119</v>
      </c>
      <c r="D1331">
        <v>7</v>
      </c>
      <c r="E1331" s="15">
        <v>648</v>
      </c>
    </row>
    <row r="1332" spans="1:5" x14ac:dyDescent="0.2">
      <c r="A1332">
        <v>2025</v>
      </c>
      <c r="B1332" t="s">
        <v>143</v>
      </c>
      <c r="C1332" t="s">
        <v>120</v>
      </c>
      <c r="D1332">
        <v>8</v>
      </c>
      <c r="E1332" s="15">
        <v>1744</v>
      </c>
    </row>
    <row r="1333" spans="1:5" x14ac:dyDescent="0.2">
      <c r="A1333">
        <v>2025</v>
      </c>
      <c r="B1333" t="s">
        <v>143</v>
      </c>
      <c r="C1333" t="s">
        <v>121</v>
      </c>
      <c r="D1333">
        <v>9</v>
      </c>
      <c r="E1333" s="15">
        <v>1765</v>
      </c>
    </row>
    <row r="1334" spans="1:5" x14ac:dyDescent="0.2">
      <c r="A1334">
        <v>2025</v>
      </c>
      <c r="B1334" t="s">
        <v>143</v>
      </c>
      <c r="C1334" t="s">
        <v>122</v>
      </c>
      <c r="D1334">
        <v>10</v>
      </c>
      <c r="E1334" s="15">
        <v>2717</v>
      </c>
    </row>
    <row r="1335" spans="1:5" x14ac:dyDescent="0.2">
      <c r="A1335">
        <v>2025</v>
      </c>
      <c r="B1335" t="s">
        <v>143</v>
      </c>
      <c r="C1335" t="s">
        <v>123</v>
      </c>
      <c r="D1335">
        <v>11</v>
      </c>
      <c r="E1335" s="15">
        <v>9527</v>
      </c>
    </row>
    <row r="1336" spans="1:5" x14ac:dyDescent="0.2">
      <c r="A1336">
        <v>2025</v>
      </c>
      <c r="B1336" t="s">
        <v>144</v>
      </c>
      <c r="C1336" t="s">
        <v>113</v>
      </c>
      <c r="D1336">
        <v>1</v>
      </c>
      <c r="E1336" s="15">
        <v>205</v>
      </c>
    </row>
    <row r="1337" spans="1:5" x14ac:dyDescent="0.2">
      <c r="A1337">
        <v>2025</v>
      </c>
      <c r="B1337" t="s">
        <v>144</v>
      </c>
      <c r="C1337" t="s">
        <v>114</v>
      </c>
      <c r="D1337">
        <v>2</v>
      </c>
      <c r="E1337" s="15">
        <v>2061</v>
      </c>
    </row>
    <row r="1338" spans="1:5" x14ac:dyDescent="0.2">
      <c r="A1338">
        <v>2025</v>
      </c>
      <c r="B1338" t="s">
        <v>144</v>
      </c>
      <c r="C1338" t="s">
        <v>115</v>
      </c>
      <c r="D1338">
        <v>3</v>
      </c>
      <c r="E1338" s="15">
        <v>1564</v>
      </c>
    </row>
    <row r="1339" spans="1:5" x14ac:dyDescent="0.2">
      <c r="A1339">
        <v>2025</v>
      </c>
      <c r="B1339" t="s">
        <v>144</v>
      </c>
      <c r="C1339" t="s">
        <v>116</v>
      </c>
      <c r="D1339">
        <v>4</v>
      </c>
      <c r="E1339" s="15">
        <v>729</v>
      </c>
    </row>
    <row r="1340" spans="1:5" x14ac:dyDescent="0.2">
      <c r="A1340">
        <v>2025</v>
      </c>
      <c r="B1340" t="s">
        <v>144</v>
      </c>
      <c r="C1340" t="s">
        <v>117</v>
      </c>
      <c r="D1340">
        <v>5</v>
      </c>
      <c r="E1340" s="15">
        <v>2103</v>
      </c>
    </row>
    <row r="1341" spans="1:5" x14ac:dyDescent="0.2">
      <c r="A1341">
        <v>2025</v>
      </c>
      <c r="B1341" t="s">
        <v>144</v>
      </c>
      <c r="C1341" t="s">
        <v>118</v>
      </c>
      <c r="D1341">
        <v>6</v>
      </c>
      <c r="E1341" s="15">
        <v>3138</v>
      </c>
    </row>
    <row r="1342" spans="1:5" x14ac:dyDescent="0.2">
      <c r="A1342">
        <v>2025</v>
      </c>
      <c r="B1342" t="s">
        <v>144</v>
      </c>
      <c r="C1342" t="s">
        <v>119</v>
      </c>
      <c r="D1342">
        <v>7</v>
      </c>
      <c r="E1342" s="15">
        <v>1807</v>
      </c>
    </row>
    <row r="1343" spans="1:5" x14ac:dyDescent="0.2">
      <c r="A1343">
        <v>2025</v>
      </c>
      <c r="B1343" t="s">
        <v>144</v>
      </c>
      <c r="C1343" t="s">
        <v>120</v>
      </c>
      <c r="D1343">
        <v>8</v>
      </c>
      <c r="E1343" s="15">
        <v>4842</v>
      </c>
    </row>
    <row r="1344" spans="1:5" x14ac:dyDescent="0.2">
      <c r="A1344">
        <v>2025</v>
      </c>
      <c r="B1344" t="s">
        <v>144</v>
      </c>
      <c r="C1344" t="s">
        <v>121</v>
      </c>
      <c r="D1344">
        <v>9</v>
      </c>
      <c r="E1344" s="15">
        <v>4167</v>
      </c>
    </row>
    <row r="1345" spans="1:5" x14ac:dyDescent="0.2">
      <c r="A1345">
        <v>2025</v>
      </c>
      <c r="B1345" t="s">
        <v>144</v>
      </c>
      <c r="C1345" t="s">
        <v>122</v>
      </c>
      <c r="D1345">
        <v>10</v>
      </c>
      <c r="E1345" s="15">
        <v>6473</v>
      </c>
    </row>
    <row r="1346" spans="1:5" x14ac:dyDescent="0.2">
      <c r="A1346">
        <v>2025</v>
      </c>
      <c r="B1346" t="s">
        <v>144</v>
      </c>
      <c r="C1346" t="s">
        <v>123</v>
      </c>
      <c r="D1346">
        <v>11</v>
      </c>
      <c r="E1346" s="15">
        <v>22652</v>
      </c>
    </row>
    <row r="1347" spans="1:5" x14ac:dyDescent="0.2">
      <c r="A1347">
        <v>2025</v>
      </c>
      <c r="B1347" t="s">
        <v>145</v>
      </c>
      <c r="C1347" t="s">
        <v>113</v>
      </c>
      <c r="D1347">
        <v>1</v>
      </c>
      <c r="E1347" s="15">
        <v>11</v>
      </c>
    </row>
    <row r="1348" spans="1:5" x14ac:dyDescent="0.2">
      <c r="A1348">
        <v>2025</v>
      </c>
      <c r="B1348" t="s">
        <v>145</v>
      </c>
      <c r="C1348" t="s">
        <v>114</v>
      </c>
      <c r="D1348">
        <v>2</v>
      </c>
      <c r="E1348" s="15">
        <v>217</v>
      </c>
    </row>
    <row r="1349" spans="1:5" x14ac:dyDescent="0.2">
      <c r="A1349">
        <v>2025</v>
      </c>
      <c r="B1349" t="s">
        <v>145</v>
      </c>
      <c r="C1349" t="s">
        <v>115</v>
      </c>
      <c r="D1349">
        <v>3</v>
      </c>
      <c r="E1349" s="15">
        <v>329</v>
      </c>
    </row>
    <row r="1350" spans="1:5" x14ac:dyDescent="0.2">
      <c r="A1350">
        <v>2025</v>
      </c>
      <c r="B1350" t="s">
        <v>145</v>
      </c>
      <c r="C1350" t="s">
        <v>116</v>
      </c>
      <c r="D1350">
        <v>4</v>
      </c>
      <c r="E1350" s="15">
        <v>140</v>
      </c>
    </row>
    <row r="1351" spans="1:5" x14ac:dyDescent="0.2">
      <c r="A1351">
        <v>2025</v>
      </c>
      <c r="B1351" t="s">
        <v>145</v>
      </c>
      <c r="C1351" t="s">
        <v>117</v>
      </c>
      <c r="D1351">
        <v>5</v>
      </c>
      <c r="E1351" s="15">
        <v>514</v>
      </c>
    </row>
    <row r="1352" spans="1:5" x14ac:dyDescent="0.2">
      <c r="A1352">
        <v>2025</v>
      </c>
      <c r="B1352" t="s">
        <v>145</v>
      </c>
      <c r="C1352" t="s">
        <v>118</v>
      </c>
      <c r="D1352">
        <v>6</v>
      </c>
      <c r="E1352" s="15">
        <v>1187</v>
      </c>
    </row>
    <row r="1353" spans="1:5" x14ac:dyDescent="0.2">
      <c r="A1353">
        <v>2025</v>
      </c>
      <c r="B1353" t="s">
        <v>145</v>
      </c>
      <c r="C1353" t="s">
        <v>119</v>
      </c>
      <c r="D1353">
        <v>7</v>
      </c>
      <c r="E1353" s="15">
        <v>931</v>
      </c>
    </row>
    <row r="1354" spans="1:5" x14ac:dyDescent="0.2">
      <c r="A1354">
        <v>2025</v>
      </c>
      <c r="B1354" t="s">
        <v>145</v>
      </c>
      <c r="C1354" t="s">
        <v>120</v>
      </c>
      <c r="D1354">
        <v>8</v>
      </c>
      <c r="E1354" s="15">
        <v>2769</v>
      </c>
    </row>
    <row r="1355" spans="1:5" x14ac:dyDescent="0.2">
      <c r="A1355">
        <v>2025</v>
      </c>
      <c r="B1355" t="s">
        <v>145</v>
      </c>
      <c r="C1355" t="s">
        <v>121</v>
      </c>
      <c r="D1355">
        <v>9</v>
      </c>
      <c r="E1355" s="15">
        <v>2291</v>
      </c>
    </row>
    <row r="1356" spans="1:5" x14ac:dyDescent="0.2">
      <c r="A1356">
        <v>2025</v>
      </c>
      <c r="B1356" t="s">
        <v>145</v>
      </c>
      <c r="C1356" t="s">
        <v>122</v>
      </c>
      <c r="D1356">
        <v>10</v>
      </c>
      <c r="E1356" s="15">
        <v>3180</v>
      </c>
    </row>
    <row r="1357" spans="1:5" x14ac:dyDescent="0.2">
      <c r="A1357">
        <v>2025</v>
      </c>
      <c r="B1357" t="s">
        <v>145</v>
      </c>
      <c r="C1357" t="s">
        <v>123</v>
      </c>
      <c r="D1357">
        <v>11</v>
      </c>
      <c r="E1357" s="15">
        <v>7183</v>
      </c>
    </row>
    <row r="1358" spans="1:5" x14ac:dyDescent="0.2">
      <c r="A1358">
        <v>2025</v>
      </c>
      <c r="B1358" t="s">
        <v>146</v>
      </c>
      <c r="C1358" t="s">
        <v>113</v>
      </c>
      <c r="D1358">
        <v>1</v>
      </c>
      <c r="E1358" s="15">
        <v>166</v>
      </c>
    </row>
    <row r="1359" spans="1:5" x14ac:dyDescent="0.2">
      <c r="A1359">
        <v>2025</v>
      </c>
      <c r="B1359" t="s">
        <v>146</v>
      </c>
      <c r="C1359" t="s">
        <v>114</v>
      </c>
      <c r="D1359">
        <v>2</v>
      </c>
      <c r="E1359" s="15">
        <v>2083</v>
      </c>
    </row>
    <row r="1360" spans="1:5" x14ac:dyDescent="0.2">
      <c r="A1360">
        <v>2025</v>
      </c>
      <c r="B1360" t="s">
        <v>146</v>
      </c>
      <c r="C1360" t="s">
        <v>115</v>
      </c>
      <c r="D1360">
        <v>3</v>
      </c>
      <c r="E1360" s="15">
        <v>1882</v>
      </c>
    </row>
    <row r="1361" spans="1:5" x14ac:dyDescent="0.2">
      <c r="A1361">
        <v>2025</v>
      </c>
      <c r="B1361" t="s">
        <v>146</v>
      </c>
      <c r="C1361" t="s">
        <v>116</v>
      </c>
      <c r="D1361">
        <v>4</v>
      </c>
      <c r="E1361" s="15">
        <v>1061</v>
      </c>
    </row>
    <row r="1362" spans="1:5" x14ac:dyDescent="0.2">
      <c r="A1362">
        <v>2025</v>
      </c>
      <c r="B1362" t="s">
        <v>146</v>
      </c>
      <c r="C1362" t="s">
        <v>117</v>
      </c>
      <c r="D1362">
        <v>5</v>
      </c>
      <c r="E1362" s="15">
        <v>3748</v>
      </c>
    </row>
    <row r="1363" spans="1:5" x14ac:dyDescent="0.2">
      <c r="A1363">
        <v>2025</v>
      </c>
      <c r="B1363" t="s">
        <v>146</v>
      </c>
      <c r="C1363" t="s">
        <v>118</v>
      </c>
      <c r="D1363">
        <v>6</v>
      </c>
      <c r="E1363" s="15">
        <v>5853</v>
      </c>
    </row>
    <row r="1364" spans="1:5" x14ac:dyDescent="0.2">
      <c r="A1364">
        <v>2025</v>
      </c>
      <c r="B1364" t="s">
        <v>146</v>
      </c>
      <c r="C1364" t="s">
        <v>119</v>
      </c>
      <c r="D1364">
        <v>7</v>
      </c>
      <c r="E1364" s="15">
        <v>3161</v>
      </c>
    </row>
    <row r="1365" spans="1:5" x14ac:dyDescent="0.2">
      <c r="A1365">
        <v>2025</v>
      </c>
      <c r="B1365" t="s">
        <v>146</v>
      </c>
      <c r="C1365" t="s">
        <v>120</v>
      </c>
      <c r="D1365">
        <v>8</v>
      </c>
      <c r="E1365" s="15">
        <v>8038</v>
      </c>
    </row>
    <row r="1366" spans="1:5" x14ac:dyDescent="0.2">
      <c r="A1366">
        <v>2025</v>
      </c>
      <c r="B1366" t="s">
        <v>146</v>
      </c>
      <c r="C1366" t="s">
        <v>121</v>
      </c>
      <c r="D1366">
        <v>9</v>
      </c>
      <c r="E1366" s="15">
        <v>6691</v>
      </c>
    </row>
    <row r="1367" spans="1:5" x14ac:dyDescent="0.2">
      <c r="A1367">
        <v>2025</v>
      </c>
      <c r="B1367" t="s">
        <v>146</v>
      </c>
      <c r="C1367" t="s">
        <v>122</v>
      </c>
      <c r="D1367">
        <v>10</v>
      </c>
      <c r="E1367" s="15">
        <v>10736</v>
      </c>
    </row>
    <row r="1368" spans="1:5" x14ac:dyDescent="0.2">
      <c r="A1368">
        <v>2025</v>
      </c>
      <c r="B1368" t="s">
        <v>146</v>
      </c>
      <c r="C1368" t="s">
        <v>123</v>
      </c>
      <c r="D1368">
        <v>11</v>
      </c>
      <c r="E1368" s="15">
        <v>35353</v>
      </c>
    </row>
    <row r="1369" spans="1:5" x14ac:dyDescent="0.2">
      <c r="A1369">
        <v>2025</v>
      </c>
      <c r="B1369" t="s">
        <v>147</v>
      </c>
      <c r="C1369" t="s">
        <v>113</v>
      </c>
      <c r="D1369">
        <v>1</v>
      </c>
      <c r="E1369" s="15">
        <v>466</v>
      </c>
    </row>
    <row r="1370" spans="1:5" x14ac:dyDescent="0.2">
      <c r="A1370">
        <v>2025</v>
      </c>
      <c r="B1370" t="s">
        <v>147</v>
      </c>
      <c r="C1370" t="s">
        <v>114</v>
      </c>
      <c r="D1370">
        <v>2</v>
      </c>
      <c r="E1370" s="15">
        <v>4015</v>
      </c>
    </row>
    <row r="1371" spans="1:5" x14ac:dyDescent="0.2">
      <c r="A1371">
        <v>2025</v>
      </c>
      <c r="B1371" t="s">
        <v>147</v>
      </c>
      <c r="C1371" t="s">
        <v>115</v>
      </c>
      <c r="D1371">
        <v>3</v>
      </c>
      <c r="E1371" s="15">
        <v>3632</v>
      </c>
    </row>
    <row r="1372" spans="1:5" x14ac:dyDescent="0.2">
      <c r="A1372">
        <v>2025</v>
      </c>
      <c r="B1372" t="s">
        <v>147</v>
      </c>
      <c r="C1372" t="s">
        <v>116</v>
      </c>
      <c r="D1372">
        <v>4</v>
      </c>
      <c r="E1372" s="15">
        <v>1917</v>
      </c>
    </row>
    <row r="1373" spans="1:5" x14ac:dyDescent="0.2">
      <c r="A1373">
        <v>2025</v>
      </c>
      <c r="B1373" t="s">
        <v>147</v>
      </c>
      <c r="C1373" t="s">
        <v>117</v>
      </c>
      <c r="D1373">
        <v>5</v>
      </c>
      <c r="E1373" s="15">
        <v>7286</v>
      </c>
    </row>
    <row r="1374" spans="1:5" x14ac:dyDescent="0.2">
      <c r="A1374">
        <v>2025</v>
      </c>
      <c r="B1374" t="s">
        <v>147</v>
      </c>
      <c r="C1374" t="s">
        <v>118</v>
      </c>
      <c r="D1374">
        <v>6</v>
      </c>
      <c r="E1374" s="15">
        <v>10878</v>
      </c>
    </row>
    <row r="1375" spans="1:5" x14ac:dyDescent="0.2">
      <c r="A1375">
        <v>2025</v>
      </c>
      <c r="B1375" t="s">
        <v>147</v>
      </c>
      <c r="C1375" t="s">
        <v>119</v>
      </c>
      <c r="D1375">
        <v>7</v>
      </c>
      <c r="E1375" s="15">
        <v>5368</v>
      </c>
    </row>
    <row r="1376" spans="1:5" x14ac:dyDescent="0.2">
      <c r="A1376">
        <v>2025</v>
      </c>
      <c r="B1376" t="s">
        <v>147</v>
      </c>
      <c r="C1376" t="s">
        <v>120</v>
      </c>
      <c r="D1376">
        <v>8</v>
      </c>
      <c r="E1376" s="15">
        <v>13103</v>
      </c>
    </row>
    <row r="1377" spans="1:5" x14ac:dyDescent="0.2">
      <c r="A1377">
        <v>2025</v>
      </c>
      <c r="B1377" t="s">
        <v>147</v>
      </c>
      <c r="C1377" t="s">
        <v>121</v>
      </c>
      <c r="D1377">
        <v>9</v>
      </c>
      <c r="E1377" s="15">
        <v>11801</v>
      </c>
    </row>
    <row r="1378" spans="1:5" x14ac:dyDescent="0.2">
      <c r="A1378">
        <v>2025</v>
      </c>
      <c r="B1378" t="s">
        <v>147</v>
      </c>
      <c r="C1378" t="s">
        <v>122</v>
      </c>
      <c r="D1378">
        <v>10</v>
      </c>
      <c r="E1378" s="15">
        <v>19244</v>
      </c>
    </row>
    <row r="1379" spans="1:5" x14ac:dyDescent="0.2">
      <c r="A1379">
        <v>2025</v>
      </c>
      <c r="B1379" t="s">
        <v>147</v>
      </c>
      <c r="C1379" t="s">
        <v>123</v>
      </c>
      <c r="D1379">
        <v>11</v>
      </c>
      <c r="E1379" s="15">
        <v>67040</v>
      </c>
    </row>
    <row r="1380" spans="1:5" x14ac:dyDescent="0.2">
      <c r="A1380">
        <v>2025</v>
      </c>
      <c r="B1380" t="s">
        <v>148</v>
      </c>
      <c r="C1380" t="s">
        <v>113</v>
      </c>
      <c r="D1380">
        <v>1</v>
      </c>
      <c r="E1380" s="15">
        <v>149</v>
      </c>
    </row>
    <row r="1381" spans="1:5" x14ac:dyDescent="0.2">
      <c r="A1381">
        <v>2025</v>
      </c>
      <c r="B1381" t="s">
        <v>148</v>
      </c>
      <c r="C1381" t="s">
        <v>114</v>
      </c>
      <c r="D1381">
        <v>2</v>
      </c>
      <c r="E1381" s="15">
        <v>972</v>
      </c>
    </row>
    <row r="1382" spans="1:5" x14ac:dyDescent="0.2">
      <c r="A1382">
        <v>2025</v>
      </c>
      <c r="B1382" t="s">
        <v>148</v>
      </c>
      <c r="C1382" t="s">
        <v>115</v>
      </c>
      <c r="D1382">
        <v>3</v>
      </c>
      <c r="E1382" s="15">
        <v>756</v>
      </c>
    </row>
    <row r="1383" spans="1:5" x14ac:dyDescent="0.2">
      <c r="A1383">
        <v>2025</v>
      </c>
      <c r="B1383" t="s">
        <v>148</v>
      </c>
      <c r="C1383" t="s">
        <v>116</v>
      </c>
      <c r="D1383">
        <v>4</v>
      </c>
      <c r="E1383" s="15">
        <v>391</v>
      </c>
    </row>
    <row r="1384" spans="1:5" x14ac:dyDescent="0.2">
      <c r="A1384">
        <v>2025</v>
      </c>
      <c r="B1384" t="s">
        <v>148</v>
      </c>
      <c r="C1384" t="s">
        <v>117</v>
      </c>
      <c r="D1384">
        <v>5</v>
      </c>
      <c r="E1384" s="15">
        <v>1179</v>
      </c>
    </row>
    <row r="1385" spans="1:5" x14ac:dyDescent="0.2">
      <c r="A1385">
        <v>2025</v>
      </c>
      <c r="B1385" t="s">
        <v>148</v>
      </c>
      <c r="C1385" t="s">
        <v>118</v>
      </c>
      <c r="D1385">
        <v>6</v>
      </c>
      <c r="E1385" s="15">
        <v>1904</v>
      </c>
    </row>
    <row r="1386" spans="1:5" x14ac:dyDescent="0.2">
      <c r="A1386">
        <v>2025</v>
      </c>
      <c r="B1386" t="s">
        <v>148</v>
      </c>
      <c r="C1386" t="s">
        <v>119</v>
      </c>
      <c r="D1386">
        <v>7</v>
      </c>
      <c r="E1386" s="15">
        <v>1043</v>
      </c>
    </row>
    <row r="1387" spans="1:5" x14ac:dyDescent="0.2">
      <c r="A1387">
        <v>2025</v>
      </c>
      <c r="B1387" t="s">
        <v>148</v>
      </c>
      <c r="C1387" t="s">
        <v>120</v>
      </c>
      <c r="D1387">
        <v>8</v>
      </c>
      <c r="E1387" s="15">
        <v>2728</v>
      </c>
    </row>
    <row r="1388" spans="1:5" x14ac:dyDescent="0.2">
      <c r="A1388">
        <v>2025</v>
      </c>
      <c r="B1388" t="s">
        <v>148</v>
      </c>
      <c r="C1388" t="s">
        <v>121</v>
      </c>
      <c r="D1388">
        <v>9</v>
      </c>
      <c r="E1388" s="15">
        <v>2513</v>
      </c>
    </row>
    <row r="1389" spans="1:5" x14ac:dyDescent="0.2">
      <c r="A1389">
        <v>2025</v>
      </c>
      <c r="B1389" t="s">
        <v>148</v>
      </c>
      <c r="C1389" t="s">
        <v>122</v>
      </c>
      <c r="D1389">
        <v>10</v>
      </c>
      <c r="E1389" s="15">
        <v>4141</v>
      </c>
    </row>
    <row r="1390" spans="1:5" x14ac:dyDescent="0.2">
      <c r="A1390">
        <v>2025</v>
      </c>
      <c r="B1390" t="s">
        <v>148</v>
      </c>
      <c r="C1390" t="s">
        <v>123</v>
      </c>
      <c r="D1390">
        <v>11</v>
      </c>
      <c r="E1390" s="15">
        <v>14337</v>
      </c>
    </row>
    <row r="1391" spans="1:5" x14ac:dyDescent="0.2">
      <c r="A1391">
        <v>2025</v>
      </c>
      <c r="B1391" t="s">
        <v>149</v>
      </c>
      <c r="C1391" t="s">
        <v>113</v>
      </c>
      <c r="D1391">
        <v>1</v>
      </c>
      <c r="E1391" s="15">
        <v>4</v>
      </c>
    </row>
    <row r="1392" spans="1:5" x14ac:dyDescent="0.2">
      <c r="A1392">
        <v>2025</v>
      </c>
      <c r="B1392" t="s">
        <v>149</v>
      </c>
      <c r="C1392" t="s">
        <v>114</v>
      </c>
      <c r="D1392">
        <v>2</v>
      </c>
      <c r="E1392" s="15">
        <v>84</v>
      </c>
    </row>
    <row r="1393" spans="1:5" x14ac:dyDescent="0.2">
      <c r="A1393">
        <v>2025</v>
      </c>
      <c r="B1393" t="s">
        <v>149</v>
      </c>
      <c r="C1393" t="s">
        <v>115</v>
      </c>
      <c r="D1393">
        <v>3</v>
      </c>
      <c r="E1393" s="15">
        <v>84</v>
      </c>
    </row>
    <row r="1394" spans="1:5" x14ac:dyDescent="0.2">
      <c r="A1394">
        <v>2025</v>
      </c>
      <c r="B1394" t="s">
        <v>149</v>
      </c>
      <c r="C1394" t="s">
        <v>116</v>
      </c>
      <c r="D1394">
        <v>4</v>
      </c>
      <c r="E1394" s="15">
        <v>42</v>
      </c>
    </row>
    <row r="1395" spans="1:5" x14ac:dyDescent="0.2">
      <c r="A1395">
        <v>2025</v>
      </c>
      <c r="B1395" t="s">
        <v>149</v>
      </c>
      <c r="C1395" t="s">
        <v>117</v>
      </c>
      <c r="D1395">
        <v>5</v>
      </c>
      <c r="E1395" s="15">
        <v>172</v>
      </c>
    </row>
    <row r="1396" spans="1:5" x14ac:dyDescent="0.2">
      <c r="A1396">
        <v>2025</v>
      </c>
      <c r="B1396" t="s">
        <v>149</v>
      </c>
      <c r="C1396" t="s">
        <v>118</v>
      </c>
      <c r="D1396">
        <v>6</v>
      </c>
      <c r="E1396" s="15">
        <v>137</v>
      </c>
    </row>
    <row r="1397" spans="1:5" x14ac:dyDescent="0.2">
      <c r="A1397">
        <v>2025</v>
      </c>
      <c r="B1397" t="s">
        <v>149</v>
      </c>
      <c r="C1397" t="s">
        <v>119</v>
      </c>
      <c r="D1397">
        <v>7</v>
      </c>
      <c r="E1397" s="15">
        <v>89</v>
      </c>
    </row>
    <row r="1398" spans="1:5" x14ac:dyDescent="0.2">
      <c r="A1398">
        <v>2025</v>
      </c>
      <c r="B1398" t="s">
        <v>149</v>
      </c>
      <c r="C1398" t="s">
        <v>120</v>
      </c>
      <c r="D1398">
        <v>8</v>
      </c>
      <c r="E1398" s="15">
        <v>252</v>
      </c>
    </row>
    <row r="1399" spans="1:5" x14ac:dyDescent="0.2">
      <c r="A1399">
        <v>2025</v>
      </c>
      <c r="B1399" t="s">
        <v>149</v>
      </c>
      <c r="C1399" t="s">
        <v>121</v>
      </c>
      <c r="D1399">
        <v>9</v>
      </c>
      <c r="E1399" s="15">
        <v>250</v>
      </c>
    </row>
    <row r="1400" spans="1:5" x14ac:dyDescent="0.2">
      <c r="A1400">
        <v>2025</v>
      </c>
      <c r="B1400" t="s">
        <v>149</v>
      </c>
      <c r="C1400" t="s">
        <v>122</v>
      </c>
      <c r="D1400">
        <v>10</v>
      </c>
      <c r="E1400" s="15">
        <v>375</v>
      </c>
    </row>
    <row r="1401" spans="1:5" x14ac:dyDescent="0.2">
      <c r="A1401">
        <v>2025</v>
      </c>
      <c r="B1401" t="s">
        <v>149</v>
      </c>
      <c r="C1401" t="s">
        <v>123</v>
      </c>
      <c r="D1401">
        <v>11</v>
      </c>
      <c r="E1401" s="15">
        <v>679</v>
      </c>
    </row>
    <row r="1402" spans="1:5" x14ac:dyDescent="0.2">
      <c r="A1402">
        <v>2025</v>
      </c>
      <c r="B1402" t="s">
        <v>150</v>
      </c>
      <c r="C1402" t="s">
        <v>113</v>
      </c>
      <c r="D1402">
        <v>1</v>
      </c>
      <c r="E1402" s="15">
        <v>20</v>
      </c>
    </row>
    <row r="1403" spans="1:5" x14ac:dyDescent="0.2">
      <c r="A1403">
        <v>2025</v>
      </c>
      <c r="B1403" t="s">
        <v>150</v>
      </c>
      <c r="C1403" t="s">
        <v>114</v>
      </c>
      <c r="D1403">
        <v>2</v>
      </c>
      <c r="E1403" s="15">
        <v>419</v>
      </c>
    </row>
    <row r="1404" spans="1:5" x14ac:dyDescent="0.2">
      <c r="A1404">
        <v>2025</v>
      </c>
      <c r="B1404" t="s">
        <v>150</v>
      </c>
      <c r="C1404" t="s">
        <v>115</v>
      </c>
      <c r="D1404">
        <v>3</v>
      </c>
      <c r="E1404" s="15">
        <v>396</v>
      </c>
    </row>
    <row r="1405" spans="1:5" x14ac:dyDescent="0.2">
      <c r="A1405">
        <v>2025</v>
      </c>
      <c r="B1405" t="s">
        <v>150</v>
      </c>
      <c r="C1405" t="s">
        <v>116</v>
      </c>
      <c r="D1405">
        <v>4</v>
      </c>
      <c r="E1405" s="15">
        <v>215</v>
      </c>
    </row>
    <row r="1406" spans="1:5" x14ac:dyDescent="0.2">
      <c r="A1406">
        <v>2025</v>
      </c>
      <c r="B1406" t="s">
        <v>150</v>
      </c>
      <c r="C1406" t="s">
        <v>117</v>
      </c>
      <c r="D1406">
        <v>5</v>
      </c>
      <c r="E1406" s="15">
        <v>691</v>
      </c>
    </row>
    <row r="1407" spans="1:5" x14ac:dyDescent="0.2">
      <c r="A1407">
        <v>2025</v>
      </c>
      <c r="B1407" t="s">
        <v>150</v>
      </c>
      <c r="C1407" t="s">
        <v>118</v>
      </c>
      <c r="D1407">
        <v>6</v>
      </c>
      <c r="E1407" s="15">
        <v>863</v>
      </c>
    </row>
    <row r="1408" spans="1:5" x14ac:dyDescent="0.2">
      <c r="A1408">
        <v>2025</v>
      </c>
      <c r="B1408" t="s">
        <v>150</v>
      </c>
      <c r="C1408" t="s">
        <v>119</v>
      </c>
      <c r="D1408">
        <v>7</v>
      </c>
      <c r="E1408" s="15">
        <v>619</v>
      </c>
    </row>
    <row r="1409" spans="1:5" x14ac:dyDescent="0.2">
      <c r="A1409">
        <v>2025</v>
      </c>
      <c r="B1409" t="s">
        <v>150</v>
      </c>
      <c r="C1409" t="s">
        <v>120</v>
      </c>
      <c r="D1409">
        <v>8</v>
      </c>
      <c r="E1409" s="15">
        <v>1886</v>
      </c>
    </row>
    <row r="1410" spans="1:5" x14ac:dyDescent="0.2">
      <c r="A1410">
        <v>2025</v>
      </c>
      <c r="B1410" t="s">
        <v>150</v>
      </c>
      <c r="C1410" t="s">
        <v>121</v>
      </c>
      <c r="D1410">
        <v>9</v>
      </c>
      <c r="E1410" s="15">
        <v>1666</v>
      </c>
    </row>
    <row r="1411" spans="1:5" x14ac:dyDescent="0.2">
      <c r="A1411">
        <v>2025</v>
      </c>
      <c r="B1411" t="s">
        <v>150</v>
      </c>
      <c r="C1411" t="s">
        <v>122</v>
      </c>
      <c r="D1411">
        <v>10</v>
      </c>
      <c r="E1411" s="15">
        <v>2137</v>
      </c>
    </row>
    <row r="1412" spans="1:5" x14ac:dyDescent="0.2">
      <c r="A1412">
        <v>2025</v>
      </c>
      <c r="B1412" t="s">
        <v>150</v>
      </c>
      <c r="C1412" t="s">
        <v>123</v>
      </c>
      <c r="D1412">
        <v>11</v>
      </c>
      <c r="E1412" s="15">
        <v>4784</v>
      </c>
    </row>
    <row r="1413" spans="1:5" x14ac:dyDescent="0.2">
      <c r="A1413">
        <v>2025</v>
      </c>
      <c r="B1413" t="s">
        <v>151</v>
      </c>
      <c r="C1413" t="s">
        <v>113</v>
      </c>
      <c r="D1413">
        <v>1</v>
      </c>
      <c r="E1413" s="15">
        <v>139</v>
      </c>
    </row>
    <row r="1414" spans="1:5" x14ac:dyDescent="0.2">
      <c r="A1414">
        <v>2025</v>
      </c>
      <c r="B1414" t="s">
        <v>151</v>
      </c>
      <c r="C1414" t="s">
        <v>114</v>
      </c>
      <c r="D1414">
        <v>2</v>
      </c>
      <c r="E1414" s="15">
        <v>1661</v>
      </c>
    </row>
    <row r="1415" spans="1:5" x14ac:dyDescent="0.2">
      <c r="A1415">
        <v>2025</v>
      </c>
      <c r="B1415" t="s">
        <v>151</v>
      </c>
      <c r="C1415" t="s">
        <v>115</v>
      </c>
      <c r="D1415">
        <v>3</v>
      </c>
      <c r="E1415" s="15">
        <v>1599</v>
      </c>
    </row>
    <row r="1416" spans="1:5" x14ac:dyDescent="0.2">
      <c r="A1416">
        <v>2025</v>
      </c>
      <c r="B1416" t="s">
        <v>151</v>
      </c>
      <c r="C1416" t="s">
        <v>116</v>
      </c>
      <c r="D1416">
        <v>4</v>
      </c>
      <c r="E1416" s="15">
        <v>809</v>
      </c>
    </row>
    <row r="1417" spans="1:5" x14ac:dyDescent="0.2">
      <c r="A1417">
        <v>2025</v>
      </c>
      <c r="B1417" t="s">
        <v>151</v>
      </c>
      <c r="C1417" t="s">
        <v>117</v>
      </c>
      <c r="D1417">
        <v>5</v>
      </c>
      <c r="E1417" s="15">
        <v>2396</v>
      </c>
    </row>
    <row r="1418" spans="1:5" x14ac:dyDescent="0.2">
      <c r="A1418">
        <v>2025</v>
      </c>
      <c r="B1418" t="s">
        <v>151</v>
      </c>
      <c r="C1418" t="s">
        <v>118</v>
      </c>
      <c r="D1418">
        <v>6</v>
      </c>
      <c r="E1418" s="15">
        <v>3589</v>
      </c>
    </row>
    <row r="1419" spans="1:5" x14ac:dyDescent="0.2">
      <c r="A1419">
        <v>2025</v>
      </c>
      <c r="B1419" t="s">
        <v>151</v>
      </c>
      <c r="C1419" t="s">
        <v>119</v>
      </c>
      <c r="D1419">
        <v>7</v>
      </c>
      <c r="E1419" s="15">
        <v>2041</v>
      </c>
    </row>
    <row r="1420" spans="1:5" x14ac:dyDescent="0.2">
      <c r="A1420">
        <v>2025</v>
      </c>
      <c r="B1420" t="s">
        <v>151</v>
      </c>
      <c r="C1420" t="s">
        <v>120</v>
      </c>
      <c r="D1420">
        <v>8</v>
      </c>
      <c r="E1420" s="15">
        <v>5301</v>
      </c>
    </row>
    <row r="1421" spans="1:5" x14ac:dyDescent="0.2">
      <c r="A1421">
        <v>2025</v>
      </c>
      <c r="B1421" t="s">
        <v>151</v>
      </c>
      <c r="C1421" t="s">
        <v>121</v>
      </c>
      <c r="D1421">
        <v>9</v>
      </c>
      <c r="E1421" s="15">
        <v>4903</v>
      </c>
    </row>
    <row r="1422" spans="1:5" x14ac:dyDescent="0.2">
      <c r="A1422">
        <v>2025</v>
      </c>
      <c r="B1422" t="s">
        <v>151</v>
      </c>
      <c r="C1422" t="s">
        <v>122</v>
      </c>
      <c r="D1422">
        <v>10</v>
      </c>
      <c r="E1422" s="15">
        <v>7844</v>
      </c>
    </row>
    <row r="1423" spans="1:5" x14ac:dyDescent="0.2">
      <c r="A1423">
        <v>2025</v>
      </c>
      <c r="B1423" t="s">
        <v>151</v>
      </c>
      <c r="C1423" t="s">
        <v>123</v>
      </c>
      <c r="D1423">
        <v>11</v>
      </c>
      <c r="E1423" s="15">
        <v>24189</v>
      </c>
    </row>
    <row r="1424" spans="1:5" x14ac:dyDescent="0.2">
      <c r="A1424">
        <v>2025</v>
      </c>
      <c r="B1424" t="s">
        <v>152</v>
      </c>
      <c r="C1424" t="s">
        <v>113</v>
      </c>
      <c r="D1424">
        <v>1</v>
      </c>
      <c r="E1424" s="15">
        <v>0</v>
      </c>
    </row>
    <row r="1425" spans="1:5" x14ac:dyDescent="0.2">
      <c r="A1425">
        <v>2025</v>
      </c>
      <c r="B1425" t="s">
        <v>152</v>
      </c>
      <c r="C1425" t="s">
        <v>114</v>
      </c>
      <c r="D1425">
        <v>2</v>
      </c>
      <c r="E1425" s="15">
        <v>59</v>
      </c>
    </row>
    <row r="1426" spans="1:5" x14ac:dyDescent="0.2">
      <c r="A1426">
        <v>2025</v>
      </c>
      <c r="B1426" t="s">
        <v>152</v>
      </c>
      <c r="C1426" t="s">
        <v>115</v>
      </c>
      <c r="D1426">
        <v>3</v>
      </c>
      <c r="E1426" s="15">
        <v>251</v>
      </c>
    </row>
    <row r="1427" spans="1:5" x14ac:dyDescent="0.2">
      <c r="A1427">
        <v>2025</v>
      </c>
      <c r="B1427" t="s">
        <v>152</v>
      </c>
      <c r="C1427" t="s">
        <v>116</v>
      </c>
      <c r="D1427">
        <v>4</v>
      </c>
      <c r="E1427" s="15">
        <v>273</v>
      </c>
    </row>
    <row r="1428" spans="1:5" x14ac:dyDescent="0.2">
      <c r="A1428">
        <v>2025</v>
      </c>
      <c r="B1428" t="s">
        <v>152</v>
      </c>
      <c r="C1428" t="s">
        <v>117</v>
      </c>
      <c r="D1428">
        <v>5</v>
      </c>
      <c r="E1428" s="15">
        <v>1757</v>
      </c>
    </row>
    <row r="1429" spans="1:5" x14ac:dyDescent="0.2">
      <c r="A1429">
        <v>2025</v>
      </c>
      <c r="B1429" t="s">
        <v>152</v>
      </c>
      <c r="C1429" t="s">
        <v>118</v>
      </c>
      <c r="D1429">
        <v>6</v>
      </c>
      <c r="E1429" s="15">
        <v>4589</v>
      </c>
    </row>
    <row r="1430" spans="1:5" x14ac:dyDescent="0.2">
      <c r="A1430">
        <v>2025</v>
      </c>
      <c r="B1430" t="s">
        <v>152</v>
      </c>
      <c r="C1430" t="s">
        <v>119</v>
      </c>
      <c r="D1430">
        <v>7</v>
      </c>
      <c r="E1430" s="15">
        <v>2717</v>
      </c>
    </row>
    <row r="1431" spans="1:5" x14ac:dyDescent="0.2">
      <c r="A1431">
        <v>2025</v>
      </c>
      <c r="B1431" t="s">
        <v>152</v>
      </c>
      <c r="C1431" t="s">
        <v>120</v>
      </c>
      <c r="D1431">
        <v>8</v>
      </c>
      <c r="E1431" s="15">
        <v>5557</v>
      </c>
    </row>
    <row r="1432" spans="1:5" x14ac:dyDescent="0.2">
      <c r="A1432">
        <v>2025</v>
      </c>
      <c r="B1432" t="s">
        <v>152</v>
      </c>
      <c r="C1432" t="s">
        <v>121</v>
      </c>
      <c r="D1432">
        <v>9</v>
      </c>
      <c r="E1432" s="15">
        <v>3783</v>
      </c>
    </row>
    <row r="1433" spans="1:5" x14ac:dyDescent="0.2">
      <c r="A1433">
        <v>2025</v>
      </c>
      <c r="B1433" t="s">
        <v>152</v>
      </c>
      <c r="C1433" t="s">
        <v>122</v>
      </c>
      <c r="D1433">
        <v>10</v>
      </c>
      <c r="E1433" s="15">
        <v>4782</v>
      </c>
    </row>
    <row r="1434" spans="1:5" x14ac:dyDescent="0.2">
      <c r="A1434">
        <v>2025</v>
      </c>
      <c r="B1434" t="s">
        <v>152</v>
      </c>
      <c r="C1434" t="s">
        <v>123</v>
      </c>
      <c r="D1434">
        <v>11</v>
      </c>
      <c r="E1434" s="15">
        <v>8930</v>
      </c>
    </row>
  </sheetData>
  <pageMargins left="0.75" right="0.75" top="1" bottom="1" header="0.5" footer="0.5"/>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L15"/>
  <sheetViews>
    <sheetView workbookViewId="0"/>
  </sheetViews>
  <sheetFormatPr baseColWidth="10" defaultColWidth="8.83203125" defaultRowHeight="15" x14ac:dyDescent="0.2"/>
  <cols>
    <col min="1" max="1" width="9" customWidth="1"/>
    <col min="2" max="7" width="10" customWidth="1"/>
    <col min="8" max="10" width="12" customWidth="1"/>
    <col min="11" max="11" width="13" customWidth="1"/>
    <col min="12" max="12" width="15" customWidth="1"/>
  </cols>
  <sheetData>
    <row r="1" spans="1:12" ht="19" x14ac:dyDescent="0.25">
      <c r="A1" s="1" t="s">
        <v>157</v>
      </c>
    </row>
    <row r="2" spans="1:12" x14ac:dyDescent="0.2">
      <c r="A2" s="2" t="s">
        <v>156</v>
      </c>
    </row>
    <row r="4" spans="1:12" x14ac:dyDescent="0.2">
      <c r="B4" s="37" t="s">
        <v>113</v>
      </c>
      <c r="C4" s="38"/>
      <c r="D4" s="37" t="s">
        <v>114</v>
      </c>
      <c r="E4" s="38"/>
      <c r="F4" s="37" t="s">
        <v>115</v>
      </c>
      <c r="G4" s="38"/>
      <c r="H4" s="37" t="s">
        <v>112</v>
      </c>
      <c r="I4" s="38"/>
      <c r="J4" s="38"/>
    </row>
    <row r="5" spans="1:12" ht="30" customHeight="1" x14ac:dyDescent="0.2">
      <c r="A5" s="5" t="s">
        <v>98</v>
      </c>
      <c r="B5" s="5" t="s">
        <v>158</v>
      </c>
      <c r="C5" s="5" t="s">
        <v>159</v>
      </c>
      <c r="D5" s="5" t="s">
        <v>158</v>
      </c>
      <c r="E5" s="5" t="s">
        <v>159</v>
      </c>
      <c r="F5" s="5" t="s">
        <v>158</v>
      </c>
      <c r="G5" s="5" t="s">
        <v>159</v>
      </c>
      <c r="H5" s="5" t="s">
        <v>100</v>
      </c>
      <c r="I5" s="5" t="s">
        <v>101</v>
      </c>
      <c r="J5" s="5" t="s">
        <v>112</v>
      </c>
      <c r="K5" s="5" t="s">
        <v>102</v>
      </c>
      <c r="L5" s="5" t="s">
        <v>108</v>
      </c>
    </row>
    <row r="6" spans="1:12" x14ac:dyDescent="0.2">
      <c r="A6" s="6">
        <v>2016</v>
      </c>
      <c r="B6" s="7">
        <v>1170</v>
      </c>
      <c r="C6" s="7">
        <v>703</v>
      </c>
      <c r="D6" s="7">
        <v>16114</v>
      </c>
      <c r="E6" s="7">
        <v>8202</v>
      </c>
      <c r="F6" s="7">
        <v>12578</v>
      </c>
      <c r="G6" s="7">
        <v>5186</v>
      </c>
      <c r="H6" s="7">
        <f t="shared" ref="H6:H15" si="0">B6+D6+F6</f>
        <v>29862</v>
      </c>
      <c r="I6" s="7">
        <f t="shared" ref="I6:I15" si="1">C6+E6+G6</f>
        <v>14091</v>
      </c>
      <c r="J6" s="7">
        <f t="shared" ref="J6:J15" si="2">H6+I6</f>
        <v>43953</v>
      </c>
      <c r="K6" s="8">
        <f t="shared" ref="K6:K15" si="3">I6/J6</f>
        <v>0.32059245102723366</v>
      </c>
      <c r="L6" s="10">
        <f t="shared" ref="L6:L15" si="4">J6/$J$6*100</f>
        <v>100</v>
      </c>
    </row>
    <row r="7" spans="1:12" x14ac:dyDescent="0.2">
      <c r="A7" s="6">
        <v>2017</v>
      </c>
      <c r="B7" s="7">
        <v>1112</v>
      </c>
      <c r="C7" s="7">
        <v>670</v>
      </c>
      <c r="D7" s="7">
        <v>15727</v>
      </c>
      <c r="E7" s="7">
        <v>7994</v>
      </c>
      <c r="F7" s="7">
        <v>12093</v>
      </c>
      <c r="G7" s="7">
        <v>5077</v>
      </c>
      <c r="H7" s="7">
        <f t="shared" si="0"/>
        <v>28932</v>
      </c>
      <c r="I7" s="7">
        <f t="shared" si="1"/>
        <v>13741</v>
      </c>
      <c r="J7" s="7">
        <f t="shared" si="2"/>
        <v>42673</v>
      </c>
      <c r="K7" s="8">
        <f t="shared" si="3"/>
        <v>0.32200688960232465</v>
      </c>
      <c r="L7" s="10">
        <f t="shared" si="4"/>
        <v>97.08779833003436</v>
      </c>
    </row>
    <row r="8" spans="1:12" x14ac:dyDescent="0.2">
      <c r="A8" s="6">
        <v>2018</v>
      </c>
      <c r="B8" s="7">
        <v>1122</v>
      </c>
      <c r="C8" s="7">
        <v>701</v>
      </c>
      <c r="D8" s="7">
        <v>15133</v>
      </c>
      <c r="E8" s="7">
        <v>7887</v>
      </c>
      <c r="F8" s="7">
        <v>11643</v>
      </c>
      <c r="G8" s="7">
        <v>4919</v>
      </c>
      <c r="H8" s="7">
        <f t="shared" si="0"/>
        <v>27898</v>
      </c>
      <c r="I8" s="7">
        <f t="shared" si="1"/>
        <v>13507</v>
      </c>
      <c r="J8" s="7">
        <f t="shared" si="2"/>
        <v>41405</v>
      </c>
      <c r="K8" s="8">
        <f t="shared" si="3"/>
        <v>0.32621664050235477</v>
      </c>
      <c r="L8" s="10">
        <f t="shared" si="4"/>
        <v>94.20289855072464</v>
      </c>
    </row>
    <row r="9" spans="1:12" x14ac:dyDescent="0.2">
      <c r="A9" s="6">
        <v>2019</v>
      </c>
      <c r="B9" s="7">
        <v>1058</v>
      </c>
      <c r="C9" s="7">
        <v>726</v>
      </c>
      <c r="D9" s="7">
        <v>14782</v>
      </c>
      <c r="E9" s="7">
        <v>7608</v>
      </c>
      <c r="F9" s="7">
        <v>11368</v>
      </c>
      <c r="G9" s="7">
        <v>4797</v>
      </c>
      <c r="H9" s="7">
        <f t="shared" si="0"/>
        <v>27208</v>
      </c>
      <c r="I9" s="7">
        <f t="shared" si="1"/>
        <v>13131</v>
      </c>
      <c r="J9" s="7">
        <f t="shared" si="2"/>
        <v>40339</v>
      </c>
      <c r="K9" s="8">
        <f t="shared" si="3"/>
        <v>0.32551624978308835</v>
      </c>
      <c r="L9" s="10">
        <f t="shared" si="4"/>
        <v>91.777580597456378</v>
      </c>
    </row>
    <row r="10" spans="1:12" x14ac:dyDescent="0.2">
      <c r="A10" s="6">
        <v>2020</v>
      </c>
      <c r="B10" s="7">
        <v>1186</v>
      </c>
      <c r="C10" s="7">
        <v>754</v>
      </c>
      <c r="D10" s="7">
        <v>14729</v>
      </c>
      <c r="E10" s="7">
        <v>7726</v>
      </c>
      <c r="F10" s="7">
        <v>11761</v>
      </c>
      <c r="G10" s="7">
        <v>5056</v>
      </c>
      <c r="H10" s="7">
        <f t="shared" si="0"/>
        <v>27676</v>
      </c>
      <c r="I10" s="7">
        <f t="shared" si="1"/>
        <v>13536</v>
      </c>
      <c r="J10" s="7">
        <f t="shared" si="2"/>
        <v>41212</v>
      </c>
      <c r="K10" s="8">
        <f t="shared" si="3"/>
        <v>0.32844802484713193</v>
      </c>
      <c r="L10" s="10">
        <f t="shared" si="4"/>
        <v>93.763793142675127</v>
      </c>
    </row>
    <row r="11" spans="1:12" x14ac:dyDescent="0.2">
      <c r="A11" s="6">
        <v>2021</v>
      </c>
      <c r="B11" s="7">
        <v>1310</v>
      </c>
      <c r="C11" s="7">
        <v>861</v>
      </c>
      <c r="D11" s="7">
        <v>15438</v>
      </c>
      <c r="E11" s="7">
        <v>8137</v>
      </c>
      <c r="F11" s="7">
        <v>12612</v>
      </c>
      <c r="G11" s="7">
        <v>5560</v>
      </c>
      <c r="H11" s="7">
        <f t="shared" si="0"/>
        <v>29360</v>
      </c>
      <c r="I11" s="7">
        <f t="shared" si="1"/>
        <v>14558</v>
      </c>
      <c r="J11" s="7">
        <f t="shared" si="2"/>
        <v>43918</v>
      </c>
      <c r="K11" s="8">
        <f t="shared" si="3"/>
        <v>0.33148139714923264</v>
      </c>
      <c r="L11" s="10">
        <f t="shared" si="4"/>
        <v>99.920369485586875</v>
      </c>
    </row>
    <row r="12" spans="1:12" x14ac:dyDescent="0.2">
      <c r="A12" s="6">
        <v>2022</v>
      </c>
      <c r="B12" s="7">
        <v>1326</v>
      </c>
      <c r="C12" s="7">
        <v>886</v>
      </c>
      <c r="D12" s="7">
        <v>15302</v>
      </c>
      <c r="E12" s="7">
        <v>8228</v>
      </c>
      <c r="F12" s="7">
        <v>12769</v>
      </c>
      <c r="G12" s="7">
        <v>5766</v>
      </c>
      <c r="H12" s="7">
        <f t="shared" si="0"/>
        <v>29397</v>
      </c>
      <c r="I12" s="7">
        <f t="shared" si="1"/>
        <v>14880</v>
      </c>
      <c r="J12" s="7">
        <f t="shared" si="2"/>
        <v>44277</v>
      </c>
      <c r="K12" s="8">
        <f t="shared" si="3"/>
        <v>0.33606612914154077</v>
      </c>
      <c r="L12" s="10">
        <f t="shared" si="4"/>
        <v>100.73715104771006</v>
      </c>
    </row>
    <row r="13" spans="1:12" x14ac:dyDescent="0.2">
      <c r="A13" s="6">
        <v>2023</v>
      </c>
      <c r="B13" s="7">
        <v>1265</v>
      </c>
      <c r="C13" s="7">
        <v>865</v>
      </c>
      <c r="D13" s="7">
        <v>14582</v>
      </c>
      <c r="E13" s="7">
        <v>7791</v>
      </c>
      <c r="F13" s="7">
        <v>12676</v>
      </c>
      <c r="G13" s="7">
        <v>5680</v>
      </c>
      <c r="H13" s="7">
        <f t="shared" si="0"/>
        <v>28523</v>
      </c>
      <c r="I13" s="7">
        <f t="shared" si="1"/>
        <v>14336</v>
      </c>
      <c r="J13" s="7">
        <f t="shared" si="2"/>
        <v>42859</v>
      </c>
      <c r="K13" s="8">
        <f t="shared" si="3"/>
        <v>0.33449217200587972</v>
      </c>
      <c r="L13" s="10">
        <f t="shared" si="4"/>
        <v>97.510977635201229</v>
      </c>
    </row>
    <row r="14" spans="1:12" x14ac:dyDescent="0.2">
      <c r="A14" s="6">
        <v>2024</v>
      </c>
      <c r="B14" s="7">
        <v>1334</v>
      </c>
      <c r="C14" s="7">
        <v>855</v>
      </c>
      <c r="D14" s="7">
        <v>14137</v>
      </c>
      <c r="E14" s="7">
        <v>7655</v>
      </c>
      <c r="F14" s="7">
        <v>12704</v>
      </c>
      <c r="G14" s="7">
        <v>5562</v>
      </c>
      <c r="H14" s="7">
        <f t="shared" si="0"/>
        <v>28175</v>
      </c>
      <c r="I14" s="7">
        <f t="shared" si="1"/>
        <v>14072</v>
      </c>
      <c r="J14" s="7">
        <f t="shared" si="2"/>
        <v>42247</v>
      </c>
      <c r="K14" s="8">
        <f t="shared" si="3"/>
        <v>0.33308874002887778</v>
      </c>
      <c r="L14" s="10">
        <f t="shared" si="4"/>
        <v>96.118581211748904</v>
      </c>
    </row>
    <row r="15" spans="1:12" x14ac:dyDescent="0.2">
      <c r="A15" s="6">
        <v>2025</v>
      </c>
      <c r="B15" s="7">
        <v>1347</v>
      </c>
      <c r="C15" s="7">
        <v>824</v>
      </c>
      <c r="D15" s="7">
        <v>14268</v>
      </c>
      <c r="E15" s="7">
        <v>7472</v>
      </c>
      <c r="F15" s="7">
        <v>13350</v>
      </c>
      <c r="G15" s="7">
        <v>5537</v>
      </c>
      <c r="H15" s="7">
        <f t="shared" si="0"/>
        <v>28965</v>
      </c>
      <c r="I15" s="7">
        <f t="shared" si="1"/>
        <v>13833</v>
      </c>
      <c r="J15" s="7">
        <f t="shared" si="2"/>
        <v>42798</v>
      </c>
      <c r="K15" s="8">
        <f t="shared" si="3"/>
        <v>0.32321603813262301</v>
      </c>
      <c r="L15" s="10">
        <f t="shared" si="4"/>
        <v>97.372193024366936</v>
      </c>
    </row>
  </sheetData>
  <mergeCells count="4">
    <mergeCell ref="F4:G4"/>
    <mergeCell ref="H4:J4"/>
    <mergeCell ref="B4:C4"/>
    <mergeCell ref="D4:E4"/>
  </mergeCells>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I31"/>
  <sheetViews>
    <sheetView workbookViewId="0"/>
  </sheetViews>
  <sheetFormatPr baseColWidth="10" defaultColWidth="8.83203125" defaultRowHeight="15" x14ac:dyDescent="0.2"/>
  <cols>
    <col min="1" max="1" width="34" customWidth="1"/>
    <col min="2" max="8" width="13" customWidth="1"/>
    <col min="9" max="9" width="15" customWidth="1"/>
  </cols>
  <sheetData>
    <row r="1" spans="1:9" ht="19" x14ac:dyDescent="0.25">
      <c r="A1" s="1" t="s">
        <v>160</v>
      </c>
    </row>
    <row r="2" spans="1:9" x14ac:dyDescent="0.2">
      <c r="A2" s="2" t="s">
        <v>161</v>
      </c>
    </row>
    <row r="4" spans="1:9" ht="30" customHeight="1" x14ac:dyDescent="0.2">
      <c r="A4" s="5" t="s">
        <v>162</v>
      </c>
      <c r="B4" s="5" t="s">
        <v>163</v>
      </c>
      <c r="C4" s="5" t="s">
        <v>164</v>
      </c>
      <c r="D4" s="5" t="s">
        <v>165</v>
      </c>
      <c r="E4" s="5" t="s">
        <v>166</v>
      </c>
      <c r="F4" s="5" t="s">
        <v>167</v>
      </c>
      <c r="G4" s="5" t="s">
        <v>168</v>
      </c>
      <c r="H4" s="5" t="s">
        <v>169</v>
      </c>
      <c r="I4" s="5" t="s">
        <v>170</v>
      </c>
    </row>
    <row r="5" spans="1:9" x14ac:dyDescent="0.2">
      <c r="A5" s="6" t="s">
        <v>171</v>
      </c>
      <c r="B5" s="18">
        <v>67.62</v>
      </c>
      <c r="C5" s="18">
        <v>67.849999999999994</v>
      </c>
      <c r="D5" s="18">
        <v>68</v>
      </c>
      <c r="E5" s="18">
        <v>68.08</v>
      </c>
      <c r="F5" s="18">
        <v>67.849999999999994</v>
      </c>
      <c r="G5" s="18">
        <v>68.510000000000005</v>
      </c>
      <c r="H5" s="18">
        <v>69.13</v>
      </c>
      <c r="I5" s="9">
        <f t="shared" ref="I5:I10" si="0">IFERROR(H5/B5-1,"")</f>
        <v>2.233067139899414E-2</v>
      </c>
    </row>
    <row r="6" spans="1:9" x14ac:dyDescent="0.2">
      <c r="A6" s="6" t="s">
        <v>172</v>
      </c>
      <c r="B6" s="18">
        <v>6.7</v>
      </c>
      <c r="C6" s="18">
        <v>6.56</v>
      </c>
      <c r="D6" s="18">
        <v>6.11</v>
      </c>
      <c r="E6" s="18">
        <v>6.01</v>
      </c>
      <c r="F6" s="18">
        <v>6.16</v>
      </c>
      <c r="G6" s="18">
        <v>6.45</v>
      </c>
      <c r="H6" s="18">
        <v>6.87</v>
      </c>
      <c r="I6" s="9">
        <f t="shared" si="0"/>
        <v>2.5373134328358304E-2</v>
      </c>
    </row>
    <row r="7" spans="1:9" x14ac:dyDescent="0.2">
      <c r="A7" s="6" t="s">
        <v>173</v>
      </c>
      <c r="B7" s="18">
        <v>1.47</v>
      </c>
      <c r="C7" s="18">
        <v>1.55</v>
      </c>
      <c r="D7" s="18">
        <v>1.46</v>
      </c>
      <c r="E7" s="18">
        <v>1.35</v>
      </c>
      <c r="F7" s="18">
        <v>1.32</v>
      </c>
      <c r="G7" s="18">
        <v>1.45</v>
      </c>
      <c r="H7" s="18">
        <v>1.62</v>
      </c>
      <c r="I7" s="9">
        <f t="shared" si="0"/>
        <v>0.10204081632653073</v>
      </c>
    </row>
    <row r="8" spans="1:9" x14ac:dyDescent="0.2">
      <c r="A8" s="6" t="s">
        <v>174</v>
      </c>
      <c r="B8" s="18">
        <v>2.89</v>
      </c>
      <c r="C8" s="18">
        <v>3.04</v>
      </c>
      <c r="D8" s="18">
        <v>3.14</v>
      </c>
      <c r="E8" s="18">
        <v>3.12</v>
      </c>
      <c r="F8" s="18">
        <v>3.27</v>
      </c>
      <c r="G8" s="18">
        <v>3.44</v>
      </c>
      <c r="H8" s="18">
        <v>3.38</v>
      </c>
      <c r="I8" s="9">
        <f t="shared" si="0"/>
        <v>0.16955017301038056</v>
      </c>
    </row>
    <row r="9" spans="1:9" x14ac:dyDescent="0.2">
      <c r="A9" s="6" t="s">
        <v>175</v>
      </c>
      <c r="B9" s="18">
        <v>0.75</v>
      </c>
      <c r="C9" s="18">
        <v>0.81</v>
      </c>
      <c r="D9" s="18">
        <v>0.87</v>
      </c>
      <c r="E9" s="18">
        <v>0.87</v>
      </c>
      <c r="F9" s="18">
        <v>0.9</v>
      </c>
      <c r="G9" s="18">
        <v>0.91</v>
      </c>
      <c r="H9" s="18">
        <v>0.9</v>
      </c>
      <c r="I9" s="9">
        <f t="shared" si="0"/>
        <v>0.19999999999999996</v>
      </c>
    </row>
    <row r="10" spans="1:9" x14ac:dyDescent="0.2">
      <c r="A10" s="6" t="s">
        <v>176</v>
      </c>
      <c r="B10" s="18">
        <v>0.64300000000000002</v>
      </c>
      <c r="C10" s="18">
        <v>0.65100000000000002</v>
      </c>
      <c r="D10" s="18">
        <v>0.67400000000000004</v>
      </c>
      <c r="E10" s="18">
        <v>0.68300000000000005</v>
      </c>
      <c r="F10" s="18">
        <v>0.68200000000000005</v>
      </c>
      <c r="G10" s="18">
        <v>0.68700000000000006</v>
      </c>
      <c r="H10" s="18">
        <v>0.69599999999999995</v>
      </c>
      <c r="I10" s="9">
        <f t="shared" si="0"/>
        <v>8.2426127527216009E-2</v>
      </c>
    </row>
    <row r="13" spans="1:9" x14ac:dyDescent="0.2">
      <c r="A13" s="19" t="s">
        <v>177</v>
      </c>
    </row>
    <row r="14" spans="1:9" ht="30" customHeight="1" x14ac:dyDescent="0.2">
      <c r="A14" s="5" t="s">
        <v>178</v>
      </c>
      <c r="B14" s="5" t="s">
        <v>179</v>
      </c>
    </row>
    <row r="15" spans="1:9" x14ac:dyDescent="0.2">
      <c r="A15" s="6" t="s">
        <v>180</v>
      </c>
      <c r="B15" s="20">
        <f>H6/H10</f>
        <v>9.8706896551724146</v>
      </c>
    </row>
    <row r="16" spans="1:9" x14ac:dyDescent="0.2">
      <c r="A16" s="6" t="s">
        <v>181</v>
      </c>
      <c r="B16" s="20">
        <f>H8/H10</f>
        <v>4.8563218390804597</v>
      </c>
    </row>
    <row r="17" spans="1:2" x14ac:dyDescent="0.2">
      <c r="A17" s="6" t="s">
        <v>182</v>
      </c>
      <c r="B17" s="17">
        <f>H10/H6</f>
        <v>0.10131004366812227</v>
      </c>
    </row>
    <row r="18" spans="1:2" x14ac:dyDescent="0.2">
      <c r="A18" s="6" t="s">
        <v>183</v>
      </c>
      <c r="B18" s="17">
        <f>H10/H8</f>
        <v>0.2059171597633136</v>
      </c>
    </row>
    <row r="19" spans="1:2" x14ac:dyDescent="0.2">
      <c r="A19" s="6" t="s">
        <v>184</v>
      </c>
      <c r="B19" s="20">
        <f>H6-H8</f>
        <v>3.49</v>
      </c>
    </row>
    <row r="20" spans="1:2" x14ac:dyDescent="0.2">
      <c r="A20" s="6" t="s">
        <v>185</v>
      </c>
      <c r="B20" s="20">
        <f>H8-H10</f>
        <v>2.6840000000000002</v>
      </c>
    </row>
    <row r="22" spans="1:2" x14ac:dyDescent="0.2">
      <c r="A22" s="2" t="s">
        <v>186</v>
      </c>
    </row>
    <row r="24" spans="1:2" x14ac:dyDescent="0.2">
      <c r="A24" s="19" t="s">
        <v>187</v>
      </c>
    </row>
    <row r="25" spans="1:2" x14ac:dyDescent="0.2">
      <c r="A25" s="2" t="s">
        <v>188</v>
      </c>
    </row>
    <row r="26" spans="1:2" ht="18" customHeight="1" x14ac:dyDescent="0.2">
      <c r="A26" s="5" t="s">
        <v>189</v>
      </c>
      <c r="B26" s="5" t="s">
        <v>190</v>
      </c>
    </row>
    <row r="27" spans="1:2" x14ac:dyDescent="0.2">
      <c r="A27" s="6" t="s">
        <v>171</v>
      </c>
      <c r="B27" s="18">
        <f>H5</f>
        <v>69.13</v>
      </c>
    </row>
    <row r="28" spans="1:2" x14ac:dyDescent="0.2">
      <c r="A28" s="6" t="s">
        <v>191</v>
      </c>
      <c r="B28" s="18">
        <f>H6</f>
        <v>6.87</v>
      </c>
    </row>
    <row r="29" spans="1:2" x14ac:dyDescent="0.2">
      <c r="A29" s="6" t="s">
        <v>192</v>
      </c>
      <c r="B29" s="18">
        <f>H8</f>
        <v>3.38</v>
      </c>
    </row>
    <row r="30" spans="1:2" x14ac:dyDescent="0.2">
      <c r="A30" s="6" t="s">
        <v>193</v>
      </c>
      <c r="B30" s="18">
        <f>H9</f>
        <v>0.9</v>
      </c>
    </row>
    <row r="31" spans="1:2" x14ac:dyDescent="0.2">
      <c r="A31" s="6" t="s">
        <v>194</v>
      </c>
      <c r="B31" s="18">
        <f>H10</f>
        <v>0.69599999999999995</v>
      </c>
    </row>
  </sheetData>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K22"/>
  <sheetViews>
    <sheetView workbookViewId="0"/>
  </sheetViews>
  <sheetFormatPr baseColWidth="10" defaultColWidth="8.83203125" defaultRowHeight="15" x14ac:dyDescent="0.2"/>
  <cols>
    <col min="1" max="1" width="16" customWidth="1"/>
    <col min="2" max="2" width="14" customWidth="1"/>
    <col min="3" max="3" width="13" customWidth="1"/>
    <col min="4" max="5" width="12" customWidth="1"/>
    <col min="6" max="6" width="11" customWidth="1"/>
    <col min="7" max="7" width="10" customWidth="1"/>
    <col min="8" max="8" width="16" customWidth="1"/>
    <col min="9" max="10" width="14" customWidth="1"/>
    <col min="11" max="11" width="16" customWidth="1"/>
  </cols>
  <sheetData>
    <row r="1" spans="1:11" ht="19" x14ac:dyDescent="0.25">
      <c r="A1" s="1" t="s">
        <v>195</v>
      </c>
    </row>
    <row r="2" spans="1:11" x14ac:dyDescent="0.2">
      <c r="A2" s="2" t="s">
        <v>196</v>
      </c>
    </row>
    <row r="4" spans="1:11" ht="30" customHeight="1" x14ac:dyDescent="0.2">
      <c r="A4" s="5" t="s">
        <v>197</v>
      </c>
      <c r="B4" s="5" t="s">
        <v>137</v>
      </c>
      <c r="C4" s="5" t="s">
        <v>198</v>
      </c>
      <c r="D4" s="5" t="s">
        <v>199</v>
      </c>
      <c r="E4" s="5" t="s">
        <v>200</v>
      </c>
      <c r="F4" s="5" t="s">
        <v>201</v>
      </c>
      <c r="G4" s="5" t="s">
        <v>202</v>
      </c>
      <c r="H4" s="5" t="s">
        <v>203</v>
      </c>
      <c r="I4" s="5" t="s">
        <v>204</v>
      </c>
      <c r="J4" s="5" t="s">
        <v>205</v>
      </c>
      <c r="K4" s="5" t="s">
        <v>206</v>
      </c>
    </row>
    <row r="5" spans="1:11" x14ac:dyDescent="0.2">
      <c r="A5" s="6" t="s">
        <v>207</v>
      </c>
      <c r="B5" s="7">
        <v>393349</v>
      </c>
      <c r="C5" s="7">
        <v>26349</v>
      </c>
      <c r="D5" s="7">
        <v>14924</v>
      </c>
      <c r="E5" s="7">
        <v>7905</v>
      </c>
      <c r="F5" s="7">
        <v>3520</v>
      </c>
      <c r="G5" s="7">
        <v>64</v>
      </c>
      <c r="H5" s="10">
        <f t="shared" ref="H5:H22" si="0">C5/B5*1000</f>
        <v>66.986314951862084</v>
      </c>
      <c r="I5" s="8">
        <f t="shared" ref="I5:I22" si="1">E5/(D5+E5)</f>
        <v>0.34627009505453588</v>
      </c>
      <c r="J5" s="7">
        <f t="shared" ref="J5:J21" si="2">C5/G5</f>
        <v>411.703125</v>
      </c>
      <c r="K5" s="7">
        <f t="shared" ref="K5:K21" si="3">B5/G5</f>
        <v>6146.078125</v>
      </c>
    </row>
    <row r="6" spans="1:11" x14ac:dyDescent="0.2">
      <c r="A6" s="6" t="s">
        <v>208</v>
      </c>
      <c r="B6" s="7">
        <v>10536632</v>
      </c>
      <c r="C6" s="7">
        <v>561677</v>
      </c>
      <c r="D6" s="7">
        <v>361387</v>
      </c>
      <c r="E6" s="7">
        <v>118782</v>
      </c>
      <c r="F6" s="7">
        <v>81508</v>
      </c>
      <c r="G6" s="7">
        <v>680</v>
      </c>
      <c r="H6" s="10">
        <f t="shared" si="0"/>
        <v>53.307071937218645</v>
      </c>
      <c r="I6" s="8">
        <f t="shared" si="1"/>
        <v>0.24737540324344137</v>
      </c>
      <c r="J6" s="7">
        <f t="shared" si="2"/>
        <v>825.99558823529412</v>
      </c>
      <c r="K6" s="7">
        <f t="shared" si="3"/>
        <v>15495.047058823529</v>
      </c>
    </row>
    <row r="7" spans="1:11" x14ac:dyDescent="0.2">
      <c r="A7" s="6" t="s">
        <v>209</v>
      </c>
      <c r="B7" s="7">
        <v>5490100</v>
      </c>
      <c r="C7" s="7">
        <v>210278</v>
      </c>
      <c r="D7" s="7">
        <v>162488</v>
      </c>
      <c r="E7" s="7">
        <v>21957</v>
      </c>
      <c r="F7" s="7">
        <v>25833</v>
      </c>
      <c r="G7" s="7">
        <v>550</v>
      </c>
      <c r="H7" s="10">
        <f t="shared" si="0"/>
        <v>38.301305987140488</v>
      </c>
      <c r="I7" s="8">
        <f t="shared" si="1"/>
        <v>0.11904361733850199</v>
      </c>
      <c r="J7" s="7">
        <f t="shared" si="2"/>
        <v>382.32363636363635</v>
      </c>
      <c r="K7" s="7">
        <f t="shared" si="3"/>
        <v>9982</v>
      </c>
    </row>
    <row r="8" spans="1:11" x14ac:dyDescent="0.2">
      <c r="A8" s="6" t="s">
        <v>210</v>
      </c>
      <c r="B8" s="7">
        <v>7228000</v>
      </c>
      <c r="C8" s="7">
        <v>225363</v>
      </c>
      <c r="D8" s="7">
        <v>158548</v>
      </c>
      <c r="E8" s="7">
        <v>39637</v>
      </c>
      <c r="F8" s="7">
        <v>27178</v>
      </c>
      <c r="G8" s="7">
        <v>377</v>
      </c>
      <c r="H8" s="10">
        <f t="shared" si="0"/>
        <v>31.179164360819037</v>
      </c>
      <c r="I8" s="8">
        <f t="shared" si="1"/>
        <v>0.2</v>
      </c>
      <c r="J8" s="7">
        <f t="shared" si="2"/>
        <v>597.77984084880632</v>
      </c>
      <c r="K8" s="7">
        <f t="shared" si="3"/>
        <v>19172.413793103449</v>
      </c>
    </row>
    <row r="9" spans="1:11" x14ac:dyDescent="0.2">
      <c r="A9" s="6" t="s">
        <v>211</v>
      </c>
      <c r="B9" s="7">
        <v>5583911</v>
      </c>
      <c r="C9" s="7">
        <v>156315</v>
      </c>
      <c r="D9" s="7">
        <v>98554</v>
      </c>
      <c r="E9" s="7">
        <v>37661</v>
      </c>
      <c r="F9" s="7">
        <v>20100</v>
      </c>
      <c r="G9" s="7">
        <v>161</v>
      </c>
      <c r="H9" s="10">
        <f t="shared" si="0"/>
        <v>27.993820102075411</v>
      </c>
      <c r="I9" s="8">
        <f t="shared" si="1"/>
        <v>0.27648203208163563</v>
      </c>
      <c r="J9" s="7">
        <f t="shared" si="2"/>
        <v>970.9006211180124</v>
      </c>
      <c r="K9" s="7">
        <f t="shared" si="3"/>
        <v>34682.677018633542</v>
      </c>
    </row>
    <row r="10" spans="1:11" x14ac:dyDescent="0.2">
      <c r="A10" s="6" t="s">
        <v>212</v>
      </c>
      <c r="B10" s="7">
        <v>5946952</v>
      </c>
      <c r="C10" s="7">
        <v>162957</v>
      </c>
      <c r="D10" s="7">
        <v>112307</v>
      </c>
      <c r="E10" s="7">
        <v>43101</v>
      </c>
      <c r="F10" s="7">
        <v>7549</v>
      </c>
      <c r="G10" s="7">
        <v>192</v>
      </c>
      <c r="H10" s="10">
        <f t="shared" si="0"/>
        <v>27.401768166280814</v>
      </c>
      <c r="I10" s="8">
        <f t="shared" si="1"/>
        <v>0.27734093482960981</v>
      </c>
      <c r="J10" s="7">
        <f t="shared" si="2"/>
        <v>848.734375</v>
      </c>
      <c r="K10" s="7">
        <f t="shared" si="3"/>
        <v>30973.708333333332</v>
      </c>
    </row>
    <row r="11" spans="1:11" x14ac:dyDescent="0.2">
      <c r="A11" s="6" t="s">
        <v>213</v>
      </c>
      <c r="B11" s="7">
        <v>5519594</v>
      </c>
      <c r="C11" s="7">
        <v>149288</v>
      </c>
      <c r="D11" s="7">
        <v>101932</v>
      </c>
      <c r="E11" s="7">
        <v>26461</v>
      </c>
      <c r="F11" s="7">
        <v>20895</v>
      </c>
      <c r="G11" s="7">
        <v>174</v>
      </c>
      <c r="H11" s="10">
        <f t="shared" si="0"/>
        <v>27.0469168565659</v>
      </c>
      <c r="I11" s="8">
        <f t="shared" si="1"/>
        <v>0.20609379015989968</v>
      </c>
      <c r="J11" s="7">
        <f t="shared" si="2"/>
        <v>857.97701149425291</v>
      </c>
      <c r="K11" s="7">
        <f t="shared" si="3"/>
        <v>31721.80459770115</v>
      </c>
    </row>
    <row r="12" spans="1:11" x14ac:dyDescent="0.2">
      <c r="A12" s="6" t="s">
        <v>214</v>
      </c>
      <c r="B12" s="7">
        <v>17877117</v>
      </c>
      <c r="C12" s="7">
        <v>446888</v>
      </c>
      <c r="D12" s="7">
        <v>294049</v>
      </c>
      <c r="E12" s="7">
        <v>135755</v>
      </c>
      <c r="F12" s="7">
        <v>17084</v>
      </c>
      <c r="G12" s="7">
        <v>259</v>
      </c>
      <c r="H12" s="10">
        <f t="shared" si="0"/>
        <v>24.997766698064346</v>
      </c>
      <c r="I12" s="8">
        <f t="shared" si="1"/>
        <v>0.3158532726545123</v>
      </c>
      <c r="J12" s="7">
        <f t="shared" si="2"/>
        <v>1725.4362934362935</v>
      </c>
      <c r="K12" s="7">
        <f t="shared" si="3"/>
        <v>69023.617760617766</v>
      </c>
    </row>
    <row r="13" spans="1:11" x14ac:dyDescent="0.2">
      <c r="A13" s="6" t="s">
        <v>215</v>
      </c>
      <c r="B13" s="7">
        <v>3164400</v>
      </c>
      <c r="C13" s="7">
        <v>52641</v>
      </c>
      <c r="D13" s="7">
        <v>42808</v>
      </c>
      <c r="E13" s="7">
        <v>5297</v>
      </c>
      <c r="F13" s="7">
        <v>4536</v>
      </c>
      <c r="G13" s="7">
        <v>149</v>
      </c>
      <c r="H13" s="10">
        <f t="shared" si="0"/>
        <v>16.6353811149033</v>
      </c>
      <c r="I13" s="8">
        <f t="shared" si="1"/>
        <v>0.11011329383639955</v>
      </c>
      <c r="J13" s="7">
        <f t="shared" si="2"/>
        <v>353.29530201342283</v>
      </c>
      <c r="K13" s="7">
        <f t="shared" si="3"/>
        <v>21237.583892617451</v>
      </c>
    </row>
    <row r="14" spans="1:11" x14ac:dyDescent="0.2">
      <c r="A14" s="6" t="s">
        <v>216</v>
      </c>
      <c r="B14" s="7">
        <v>57690300</v>
      </c>
      <c r="C14" s="7">
        <v>790728</v>
      </c>
      <c r="D14" s="7">
        <v>658852</v>
      </c>
      <c r="E14" s="7">
        <v>85457</v>
      </c>
      <c r="F14" s="7">
        <v>46419</v>
      </c>
      <c r="G14" s="7">
        <v>2304</v>
      </c>
      <c r="H14" s="10">
        <f t="shared" si="0"/>
        <v>13.706428983728633</v>
      </c>
      <c r="I14" s="8">
        <f t="shared" si="1"/>
        <v>0.11481387434519803</v>
      </c>
      <c r="J14" s="7">
        <f t="shared" si="2"/>
        <v>343.19791666666669</v>
      </c>
      <c r="K14" s="7">
        <f t="shared" si="3"/>
        <v>25039.192708333332</v>
      </c>
    </row>
    <row r="15" spans="1:11" x14ac:dyDescent="0.2">
      <c r="A15" s="6" t="s">
        <v>217</v>
      </c>
      <c r="B15" s="7">
        <v>8888093</v>
      </c>
      <c r="C15" s="7">
        <v>105109</v>
      </c>
      <c r="D15" s="7">
        <v>63393</v>
      </c>
      <c r="E15" s="7">
        <v>35192</v>
      </c>
      <c r="F15" s="7">
        <v>6524</v>
      </c>
      <c r="G15" s="7">
        <v>128</v>
      </c>
      <c r="H15" s="10">
        <f t="shared" si="0"/>
        <v>11.825821354479528</v>
      </c>
      <c r="I15" s="8">
        <f t="shared" si="1"/>
        <v>0.35697114165440991</v>
      </c>
      <c r="J15" s="7">
        <f t="shared" si="2"/>
        <v>821.1640625</v>
      </c>
      <c r="K15" s="7">
        <f t="shared" si="3"/>
        <v>69438.2265625</v>
      </c>
    </row>
    <row r="16" spans="1:11" x14ac:dyDescent="0.2">
      <c r="A16" s="6" t="s">
        <v>218</v>
      </c>
      <c r="B16" s="7">
        <v>9131761</v>
      </c>
      <c r="C16" s="7">
        <v>94926</v>
      </c>
      <c r="D16" s="7">
        <v>55071</v>
      </c>
      <c r="E16" s="7">
        <v>33136</v>
      </c>
      <c r="F16" s="7">
        <v>6719</v>
      </c>
      <c r="G16" s="7">
        <v>175</v>
      </c>
      <c r="H16" s="10">
        <f t="shared" si="0"/>
        <v>10.395147222972657</v>
      </c>
      <c r="I16" s="8">
        <f t="shared" si="1"/>
        <v>0.37566179554910606</v>
      </c>
      <c r="J16" s="7">
        <f t="shared" si="2"/>
        <v>542.43428571428569</v>
      </c>
      <c r="K16" s="7">
        <f t="shared" si="3"/>
        <v>52181.491428571426</v>
      </c>
    </row>
    <row r="17" spans="1:11" x14ac:dyDescent="0.2">
      <c r="A17" s="21" t="s">
        <v>219</v>
      </c>
      <c r="B17" s="22">
        <v>83280000</v>
      </c>
      <c r="C17" s="22">
        <v>686708</v>
      </c>
      <c r="D17" s="22">
        <v>417194</v>
      </c>
      <c r="E17" s="22">
        <v>227267</v>
      </c>
      <c r="F17" s="22">
        <v>42247</v>
      </c>
      <c r="G17" s="22">
        <v>726</v>
      </c>
      <c r="H17" s="23">
        <f t="shared" si="0"/>
        <v>8.2457732949087408</v>
      </c>
      <c r="I17" s="24">
        <f t="shared" si="1"/>
        <v>0.35264663028484267</v>
      </c>
      <c r="J17" s="22">
        <f t="shared" si="2"/>
        <v>945.87878787878788</v>
      </c>
      <c r="K17" s="22">
        <f t="shared" si="3"/>
        <v>114710.74380165289</v>
      </c>
    </row>
    <row r="18" spans="1:11" x14ac:dyDescent="0.2">
      <c r="A18" s="6" t="s">
        <v>220</v>
      </c>
      <c r="B18" s="7">
        <v>11787423</v>
      </c>
      <c r="C18" s="7">
        <v>78444</v>
      </c>
      <c r="D18" s="7">
        <v>47362</v>
      </c>
      <c r="E18" s="7">
        <v>23621</v>
      </c>
      <c r="F18" s="7">
        <v>7461</v>
      </c>
      <c r="G18" s="7">
        <v>77</v>
      </c>
      <c r="H18" s="10">
        <f t="shared" si="0"/>
        <v>6.6548897074449611</v>
      </c>
      <c r="I18" s="8">
        <f t="shared" si="1"/>
        <v>0.33276981812546669</v>
      </c>
      <c r="J18" s="7">
        <f t="shared" si="2"/>
        <v>1018.7532467532468</v>
      </c>
      <c r="K18" s="7">
        <f t="shared" si="3"/>
        <v>153083.41558441558</v>
      </c>
    </row>
    <row r="19" spans="1:11" x14ac:dyDescent="0.2">
      <c r="A19" s="6" t="s">
        <v>221</v>
      </c>
      <c r="B19" s="7">
        <v>68287487</v>
      </c>
      <c r="C19" s="7">
        <v>442536</v>
      </c>
      <c r="D19" s="7">
        <v>294694</v>
      </c>
      <c r="E19" s="7">
        <v>105565</v>
      </c>
      <c r="F19" s="7">
        <v>42277</v>
      </c>
      <c r="G19" s="7">
        <v>687</v>
      </c>
      <c r="H19" s="10">
        <f t="shared" si="0"/>
        <v>6.4804844846611509</v>
      </c>
      <c r="I19" s="8">
        <f t="shared" si="1"/>
        <v>0.26374172723161754</v>
      </c>
      <c r="J19" s="7">
        <f t="shared" si="2"/>
        <v>644.15720524017468</v>
      </c>
      <c r="K19" s="7">
        <f t="shared" si="3"/>
        <v>99399.544395924313</v>
      </c>
    </row>
    <row r="20" spans="1:11" x14ac:dyDescent="0.2">
      <c r="A20" s="6" t="s">
        <v>222</v>
      </c>
      <c r="B20" s="7">
        <v>48347910</v>
      </c>
      <c r="C20" s="7">
        <v>305603</v>
      </c>
      <c r="D20" s="7">
        <v>197111</v>
      </c>
      <c r="E20" s="7">
        <v>71765</v>
      </c>
      <c r="F20" s="7">
        <v>36727</v>
      </c>
      <c r="G20" s="7">
        <v>497</v>
      </c>
      <c r="H20" s="10">
        <f t="shared" si="0"/>
        <v>6.3209143890604578</v>
      </c>
      <c r="I20" s="8">
        <f t="shared" si="1"/>
        <v>0.26690742200865825</v>
      </c>
      <c r="J20" s="7">
        <f t="shared" si="2"/>
        <v>614.89537223340039</v>
      </c>
      <c r="K20" s="7">
        <f t="shared" si="3"/>
        <v>97279.496981891352</v>
      </c>
    </row>
    <row r="21" spans="1:11" x14ac:dyDescent="0.2">
      <c r="A21" s="6" t="s">
        <v>223</v>
      </c>
      <c r="B21" s="7">
        <v>58993475</v>
      </c>
      <c r="C21" s="7">
        <v>94090</v>
      </c>
      <c r="D21" s="7">
        <v>64611</v>
      </c>
      <c r="E21" s="7">
        <v>20235</v>
      </c>
      <c r="F21" s="7">
        <v>9244</v>
      </c>
      <c r="G21" s="7">
        <v>270</v>
      </c>
      <c r="H21" s="10">
        <f t="shared" si="0"/>
        <v>1.5949221502886548</v>
      </c>
      <c r="I21" s="8">
        <f t="shared" si="1"/>
        <v>0.23849091294816491</v>
      </c>
      <c r="J21" s="7">
        <f t="shared" si="2"/>
        <v>348.48148148148147</v>
      </c>
      <c r="K21" s="7">
        <f t="shared" si="3"/>
        <v>218494.35185185185</v>
      </c>
    </row>
    <row r="22" spans="1:11" x14ac:dyDescent="0.2">
      <c r="A22" s="13" t="s">
        <v>224</v>
      </c>
      <c r="B22" s="14">
        <v>833390649</v>
      </c>
      <c r="C22" s="14">
        <v>4716230</v>
      </c>
      <c r="D22" s="14">
        <v>3225691</v>
      </c>
      <c r="E22" s="14">
        <v>1069196</v>
      </c>
      <c r="F22" s="14">
        <v>421343</v>
      </c>
      <c r="G22" s="14">
        <v>7939</v>
      </c>
      <c r="H22" s="25">
        <f t="shared" si="0"/>
        <v>5.6590867748025335</v>
      </c>
      <c r="I22" s="17">
        <f t="shared" si="1"/>
        <v>0.24894624701418222</v>
      </c>
      <c r="J22" s="7"/>
      <c r="K22" s="7"/>
    </row>
  </sheetData>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E19"/>
  <sheetViews>
    <sheetView workbookViewId="0"/>
  </sheetViews>
  <sheetFormatPr baseColWidth="10" defaultColWidth="8.83203125" defaultRowHeight="15" x14ac:dyDescent="0.2"/>
  <cols>
    <col min="1" max="1" width="7" customWidth="1"/>
    <col min="2" max="2" width="36" customWidth="1"/>
    <col min="3" max="3" width="14" customWidth="1"/>
    <col min="4" max="4" width="15" customWidth="1"/>
    <col min="5" max="5" width="13" customWidth="1"/>
  </cols>
  <sheetData>
    <row r="1" spans="1:5" ht="19" x14ac:dyDescent="0.25">
      <c r="A1" s="1" t="s">
        <v>225</v>
      </c>
    </row>
    <row r="2" spans="1:5" x14ac:dyDescent="0.2">
      <c r="A2" s="2" t="s">
        <v>226</v>
      </c>
    </row>
    <row r="4" spans="1:5" ht="30" customHeight="1" x14ac:dyDescent="0.2">
      <c r="A4" s="5" t="s">
        <v>227</v>
      </c>
      <c r="B4" s="5" t="s">
        <v>228</v>
      </c>
      <c r="C4" s="5" t="s">
        <v>229</v>
      </c>
      <c r="D4" s="5" t="s">
        <v>103</v>
      </c>
      <c r="E4" s="5" t="s">
        <v>104</v>
      </c>
    </row>
    <row r="5" spans="1:5" x14ac:dyDescent="0.2">
      <c r="A5" s="6">
        <v>1</v>
      </c>
      <c r="B5" s="6" t="s">
        <v>230</v>
      </c>
      <c r="C5" s="7">
        <v>8005050</v>
      </c>
      <c r="D5" s="7">
        <v>297843</v>
      </c>
      <c r="E5" s="9">
        <v>3.9E-2</v>
      </c>
    </row>
    <row r="6" spans="1:5" x14ac:dyDescent="0.2">
      <c r="A6" s="6">
        <v>2</v>
      </c>
      <c r="B6" s="6" t="s">
        <v>231</v>
      </c>
      <c r="C6" s="7">
        <v>5246046</v>
      </c>
      <c r="D6" s="7">
        <v>182474</v>
      </c>
      <c r="E6" s="9">
        <v>3.5999999999999997E-2</v>
      </c>
    </row>
    <row r="7" spans="1:5" x14ac:dyDescent="0.2">
      <c r="A7" s="6">
        <v>3</v>
      </c>
      <c r="B7" s="6" t="s">
        <v>232</v>
      </c>
      <c r="C7" s="7">
        <v>1518566</v>
      </c>
      <c r="D7" s="7">
        <v>27180</v>
      </c>
      <c r="E7" s="9">
        <v>1.7999999999999999E-2</v>
      </c>
    </row>
    <row r="8" spans="1:5" x14ac:dyDescent="0.2">
      <c r="A8" s="6">
        <v>4</v>
      </c>
      <c r="B8" s="6" t="s">
        <v>233</v>
      </c>
      <c r="C8" s="7">
        <v>1517087</v>
      </c>
      <c r="D8" s="7">
        <v>44776</v>
      </c>
      <c r="E8" s="9">
        <v>0.03</v>
      </c>
    </row>
    <row r="9" spans="1:5" x14ac:dyDescent="0.2">
      <c r="A9" s="6">
        <v>5</v>
      </c>
      <c r="B9" s="6" t="s">
        <v>234</v>
      </c>
      <c r="C9" s="7">
        <v>1349758</v>
      </c>
      <c r="D9" s="7">
        <v>11918</v>
      </c>
      <c r="E9" s="9">
        <v>9.0000000000000011E-3</v>
      </c>
    </row>
    <row r="10" spans="1:5" x14ac:dyDescent="0.2">
      <c r="A10" s="6">
        <v>6</v>
      </c>
      <c r="B10" s="6" t="s">
        <v>235</v>
      </c>
      <c r="C10" s="7">
        <v>804129</v>
      </c>
      <c r="D10" s="7">
        <v>11364</v>
      </c>
      <c r="E10" s="9">
        <v>1.4E-2</v>
      </c>
    </row>
    <row r="11" spans="1:5" x14ac:dyDescent="0.2">
      <c r="A11" s="6">
        <v>7</v>
      </c>
      <c r="B11" s="6" t="s">
        <v>236</v>
      </c>
      <c r="C11" s="7">
        <v>793149</v>
      </c>
      <c r="D11" s="7">
        <v>27781</v>
      </c>
      <c r="E11" s="9">
        <v>3.5999999999999997E-2</v>
      </c>
    </row>
    <row r="12" spans="1:5" x14ac:dyDescent="0.2">
      <c r="A12" s="21">
        <v>8</v>
      </c>
      <c r="B12" s="21" t="s">
        <v>237</v>
      </c>
      <c r="C12" s="22">
        <v>686708</v>
      </c>
      <c r="D12" s="22">
        <v>4582</v>
      </c>
      <c r="E12" s="26">
        <v>6.9999999999999993E-3</v>
      </c>
    </row>
    <row r="13" spans="1:5" x14ac:dyDescent="0.2">
      <c r="A13" s="6">
        <v>9</v>
      </c>
      <c r="B13" s="6" t="s">
        <v>238</v>
      </c>
      <c r="C13" s="7">
        <v>657994</v>
      </c>
      <c r="D13" s="7">
        <v>-4932</v>
      </c>
      <c r="E13" s="9">
        <v>-6.9999999999999993E-3</v>
      </c>
    </row>
    <row r="14" spans="1:5" x14ac:dyDescent="0.2">
      <c r="A14" s="6">
        <v>10</v>
      </c>
      <c r="B14" s="6" t="s">
        <v>239</v>
      </c>
      <c r="C14" s="7">
        <v>626161</v>
      </c>
      <c r="D14" s="7">
        <v>19844</v>
      </c>
      <c r="E14" s="9">
        <v>3.3000000000000002E-2</v>
      </c>
    </row>
    <row r="15" spans="1:5" x14ac:dyDescent="0.2">
      <c r="A15" s="6">
        <v>11</v>
      </c>
      <c r="B15" s="6" t="s">
        <v>240</v>
      </c>
      <c r="C15" s="7">
        <v>602724</v>
      </c>
      <c r="D15" s="7">
        <v>14286</v>
      </c>
      <c r="E15" s="9">
        <v>2.4E-2</v>
      </c>
    </row>
    <row r="16" spans="1:5" x14ac:dyDescent="0.2">
      <c r="A16" s="6">
        <v>12</v>
      </c>
      <c r="B16" s="6" t="s">
        <v>241</v>
      </c>
      <c r="C16" s="7">
        <v>542063</v>
      </c>
      <c r="D16" s="7">
        <v>14763</v>
      </c>
      <c r="E16" s="9">
        <v>2.8000000000000001E-2</v>
      </c>
    </row>
    <row r="17" spans="1:5" x14ac:dyDescent="0.2">
      <c r="A17" s="6">
        <v>13</v>
      </c>
      <c r="B17" s="6" t="s">
        <v>242</v>
      </c>
      <c r="C17" s="7">
        <v>518380</v>
      </c>
      <c r="D17" s="7">
        <v>3069</v>
      </c>
      <c r="E17" s="9">
        <v>6.0000000000000001E-3</v>
      </c>
    </row>
    <row r="18" spans="1:5" x14ac:dyDescent="0.2">
      <c r="A18" s="6">
        <v>14</v>
      </c>
      <c r="B18" s="6" t="s">
        <v>243</v>
      </c>
      <c r="C18" s="7">
        <v>512126</v>
      </c>
      <c r="D18" s="7">
        <v>-12215</v>
      </c>
      <c r="E18" s="9">
        <v>-2.3E-2</v>
      </c>
    </row>
    <row r="19" spans="1:5" x14ac:dyDescent="0.2">
      <c r="A19" s="6">
        <v>15</v>
      </c>
      <c r="B19" s="6" t="s">
        <v>244</v>
      </c>
      <c r="C19" s="7">
        <v>464148</v>
      </c>
      <c r="D19" s="7">
        <v>27800</v>
      </c>
      <c r="E19" s="9">
        <v>6.4000000000000001E-2</v>
      </c>
    </row>
  </sheetData>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D79"/>
  <sheetViews>
    <sheetView workbookViewId="0"/>
  </sheetViews>
  <sheetFormatPr baseColWidth="10" defaultColWidth="8.83203125" defaultRowHeight="15" x14ac:dyDescent="0.2"/>
  <cols>
    <col min="1" max="1" width="9" customWidth="1"/>
    <col min="2" max="2" width="12" customWidth="1"/>
    <col min="3" max="3" width="13" customWidth="1"/>
    <col min="4" max="4" width="16" customWidth="1"/>
  </cols>
  <sheetData>
    <row r="1" spans="1:4" ht="19" x14ac:dyDescent="0.25">
      <c r="A1" s="1" t="s">
        <v>245</v>
      </c>
    </row>
    <row r="2" spans="1:4" x14ac:dyDescent="0.2">
      <c r="A2" s="2" t="s">
        <v>246</v>
      </c>
    </row>
    <row r="4" spans="1:4" ht="30" customHeight="1" x14ac:dyDescent="0.2">
      <c r="A4" s="5" t="s">
        <v>98</v>
      </c>
      <c r="B4" s="5" t="s">
        <v>105</v>
      </c>
      <c r="C4" s="5" t="s">
        <v>99</v>
      </c>
      <c r="D4" s="5" t="s">
        <v>247</v>
      </c>
    </row>
    <row r="5" spans="1:4" x14ac:dyDescent="0.2">
      <c r="A5">
        <v>1951</v>
      </c>
      <c r="B5" s="15">
        <v>39</v>
      </c>
      <c r="C5" s="15">
        <v>2700</v>
      </c>
      <c r="D5" s="15">
        <f t="shared" ref="D5:D36" si="0">C5/B5</f>
        <v>69.230769230769226</v>
      </c>
    </row>
    <row r="6" spans="1:4" x14ac:dyDescent="0.2">
      <c r="A6">
        <v>1952</v>
      </c>
      <c r="B6" s="15">
        <v>38</v>
      </c>
      <c r="C6" s="15">
        <v>3400</v>
      </c>
      <c r="D6" s="15">
        <f t="shared" si="0"/>
        <v>89.473684210526315</v>
      </c>
    </row>
    <row r="7" spans="1:4" x14ac:dyDescent="0.2">
      <c r="A7">
        <v>1953</v>
      </c>
      <c r="B7" s="15">
        <v>41</v>
      </c>
      <c r="C7" s="15">
        <v>4000</v>
      </c>
      <c r="D7" s="15">
        <f t="shared" si="0"/>
        <v>97.560975609756099</v>
      </c>
    </row>
    <row r="8" spans="1:4" x14ac:dyDescent="0.2">
      <c r="A8">
        <v>1954</v>
      </c>
      <c r="B8" s="15">
        <v>41</v>
      </c>
      <c r="C8" s="15">
        <v>4100</v>
      </c>
      <c r="D8" s="15">
        <f t="shared" si="0"/>
        <v>100</v>
      </c>
    </row>
    <row r="9" spans="1:4" x14ac:dyDescent="0.2">
      <c r="A9">
        <v>1955</v>
      </c>
      <c r="B9" s="15">
        <v>57</v>
      </c>
      <c r="C9" s="15">
        <v>5000</v>
      </c>
      <c r="D9" s="15">
        <f t="shared" si="0"/>
        <v>87.719298245614041</v>
      </c>
    </row>
    <row r="10" spans="1:4" x14ac:dyDescent="0.2">
      <c r="A10">
        <v>1956</v>
      </c>
      <c r="B10" s="15">
        <v>50</v>
      </c>
      <c r="C10" s="15">
        <v>5500</v>
      </c>
      <c r="D10" s="15">
        <f t="shared" si="0"/>
        <v>110</v>
      </c>
    </row>
    <row r="11" spans="1:4" x14ac:dyDescent="0.2">
      <c r="A11">
        <v>1957</v>
      </c>
      <c r="B11" s="15">
        <v>51</v>
      </c>
      <c r="C11" s="15">
        <v>6300</v>
      </c>
      <c r="D11" s="15">
        <f t="shared" si="0"/>
        <v>123.52941176470588</v>
      </c>
    </row>
    <row r="12" spans="1:4" x14ac:dyDescent="0.2">
      <c r="A12">
        <v>1958</v>
      </c>
      <c r="B12" s="15">
        <v>54</v>
      </c>
      <c r="C12" s="15">
        <v>7000</v>
      </c>
      <c r="D12" s="15">
        <f t="shared" si="0"/>
        <v>129.62962962962962</v>
      </c>
    </row>
    <row r="13" spans="1:4" x14ac:dyDescent="0.2">
      <c r="A13">
        <v>1959</v>
      </c>
      <c r="B13" s="15">
        <v>58</v>
      </c>
      <c r="C13" s="15">
        <v>7800</v>
      </c>
      <c r="D13" s="15">
        <f t="shared" si="0"/>
        <v>134.48275862068965</v>
      </c>
    </row>
    <row r="14" spans="1:4" x14ac:dyDescent="0.2">
      <c r="A14">
        <v>1960</v>
      </c>
      <c r="B14" s="15">
        <v>62</v>
      </c>
      <c r="C14" s="15">
        <v>9200</v>
      </c>
      <c r="D14" s="15">
        <f t="shared" si="0"/>
        <v>148.38709677419354</v>
      </c>
    </row>
    <row r="15" spans="1:4" x14ac:dyDescent="0.2">
      <c r="A15">
        <v>1961</v>
      </c>
      <c r="B15" s="15">
        <v>65</v>
      </c>
      <c r="C15" s="15">
        <v>10400</v>
      </c>
      <c r="D15" s="15">
        <f t="shared" si="0"/>
        <v>160</v>
      </c>
    </row>
    <row r="16" spans="1:4" x14ac:dyDescent="0.2">
      <c r="A16">
        <v>1962</v>
      </c>
      <c r="B16" s="15">
        <v>73</v>
      </c>
      <c r="C16" s="15">
        <v>11200</v>
      </c>
      <c r="D16" s="15">
        <f t="shared" si="0"/>
        <v>153.42465753424656</v>
      </c>
    </row>
    <row r="17" spans="1:4" x14ac:dyDescent="0.2">
      <c r="A17">
        <v>1963</v>
      </c>
      <c r="B17" s="15">
        <v>74</v>
      </c>
      <c r="C17" s="15">
        <v>12400</v>
      </c>
      <c r="D17" s="15">
        <f t="shared" si="0"/>
        <v>167.56756756756758</v>
      </c>
    </row>
    <row r="18" spans="1:4" x14ac:dyDescent="0.2">
      <c r="A18">
        <v>1964</v>
      </c>
      <c r="B18" s="15">
        <v>77</v>
      </c>
      <c r="C18" s="15">
        <v>13500</v>
      </c>
      <c r="D18" s="15">
        <f t="shared" si="0"/>
        <v>175.32467532467533</v>
      </c>
    </row>
    <row r="19" spans="1:4" x14ac:dyDescent="0.2">
      <c r="A19">
        <v>1965</v>
      </c>
      <c r="B19" s="15">
        <v>84</v>
      </c>
      <c r="C19" s="15">
        <v>16200</v>
      </c>
      <c r="D19" s="15">
        <f t="shared" si="0"/>
        <v>192.85714285714286</v>
      </c>
    </row>
    <row r="20" spans="1:4" x14ac:dyDescent="0.2">
      <c r="A20">
        <v>1966</v>
      </c>
      <c r="B20" s="15">
        <v>88</v>
      </c>
      <c r="C20" s="15">
        <v>17300</v>
      </c>
      <c r="D20" s="15">
        <f t="shared" si="0"/>
        <v>196.59090909090909</v>
      </c>
    </row>
    <row r="21" spans="1:4" x14ac:dyDescent="0.2">
      <c r="A21">
        <v>1967</v>
      </c>
      <c r="B21" s="15">
        <v>88</v>
      </c>
      <c r="C21" s="15">
        <v>18400</v>
      </c>
      <c r="D21" s="15">
        <f t="shared" si="0"/>
        <v>209.09090909090909</v>
      </c>
    </row>
    <row r="22" spans="1:4" x14ac:dyDescent="0.2">
      <c r="A22">
        <v>1968</v>
      </c>
      <c r="B22" s="15">
        <v>89</v>
      </c>
      <c r="C22" s="15">
        <v>19200</v>
      </c>
      <c r="D22" s="15">
        <f t="shared" si="0"/>
        <v>215.73033707865167</v>
      </c>
    </row>
    <row r="23" spans="1:4" x14ac:dyDescent="0.2">
      <c r="A23">
        <v>1969</v>
      </c>
      <c r="B23" s="15">
        <v>97</v>
      </c>
      <c r="C23" s="15">
        <v>19400</v>
      </c>
      <c r="D23" s="15">
        <f t="shared" si="0"/>
        <v>200</v>
      </c>
    </row>
    <row r="24" spans="1:4" x14ac:dyDescent="0.2">
      <c r="A24">
        <v>1970</v>
      </c>
      <c r="B24" s="15">
        <v>100</v>
      </c>
      <c r="C24" s="15">
        <v>21000</v>
      </c>
      <c r="D24" s="15">
        <f t="shared" si="0"/>
        <v>210</v>
      </c>
    </row>
    <row r="25" spans="1:4" x14ac:dyDescent="0.2">
      <c r="A25">
        <v>1971</v>
      </c>
      <c r="B25" s="15">
        <v>107</v>
      </c>
      <c r="C25" s="15">
        <v>23300</v>
      </c>
      <c r="D25" s="15">
        <f t="shared" si="0"/>
        <v>217.75700934579439</v>
      </c>
    </row>
    <row r="26" spans="1:4" x14ac:dyDescent="0.2">
      <c r="A26">
        <v>1972</v>
      </c>
      <c r="B26" s="15">
        <v>111</v>
      </c>
      <c r="C26" s="15">
        <v>24700</v>
      </c>
      <c r="D26" s="15">
        <f t="shared" si="0"/>
        <v>222.52252252252254</v>
      </c>
    </row>
    <row r="27" spans="1:4" x14ac:dyDescent="0.2">
      <c r="A27">
        <v>1973</v>
      </c>
      <c r="B27" s="15">
        <v>123</v>
      </c>
      <c r="C27" s="15">
        <v>27100</v>
      </c>
      <c r="D27" s="15">
        <f t="shared" si="0"/>
        <v>220.32520325203251</v>
      </c>
    </row>
    <row r="28" spans="1:4" x14ac:dyDescent="0.2">
      <c r="A28">
        <v>1974</v>
      </c>
      <c r="B28" s="15">
        <v>130</v>
      </c>
      <c r="C28" s="15">
        <v>29300</v>
      </c>
      <c r="D28" s="15">
        <f t="shared" si="0"/>
        <v>225.38461538461539</v>
      </c>
    </row>
    <row r="29" spans="1:4" x14ac:dyDescent="0.2">
      <c r="A29">
        <v>1975</v>
      </c>
      <c r="B29" s="15">
        <v>137</v>
      </c>
      <c r="C29" s="15">
        <v>32500</v>
      </c>
      <c r="D29" s="15">
        <f t="shared" si="0"/>
        <v>237.22627737226279</v>
      </c>
    </row>
    <row r="30" spans="1:4" x14ac:dyDescent="0.2">
      <c r="A30">
        <v>1976</v>
      </c>
      <c r="B30" s="15">
        <v>142</v>
      </c>
      <c r="C30" s="15">
        <v>36382</v>
      </c>
      <c r="D30" s="15">
        <f t="shared" si="0"/>
        <v>256.21126760563379</v>
      </c>
    </row>
    <row r="31" spans="1:4" x14ac:dyDescent="0.2">
      <c r="A31">
        <v>1977</v>
      </c>
      <c r="B31" s="15">
        <v>148</v>
      </c>
      <c r="C31" s="15">
        <v>39172</v>
      </c>
      <c r="D31" s="15">
        <f t="shared" si="0"/>
        <v>264.67567567567568</v>
      </c>
    </row>
    <row r="32" spans="1:4" x14ac:dyDescent="0.2">
      <c r="A32">
        <v>1978</v>
      </c>
      <c r="B32" s="15">
        <v>153</v>
      </c>
      <c r="C32" s="15">
        <v>42301</v>
      </c>
      <c r="D32" s="15">
        <f t="shared" si="0"/>
        <v>276.47712418300654</v>
      </c>
    </row>
    <row r="33" spans="1:4" x14ac:dyDescent="0.2">
      <c r="A33">
        <v>1979</v>
      </c>
      <c r="B33" s="15">
        <v>155</v>
      </c>
      <c r="C33" s="15">
        <v>46161</v>
      </c>
      <c r="D33" s="15">
        <f t="shared" si="0"/>
        <v>297.81290322580645</v>
      </c>
    </row>
    <row r="34" spans="1:4" x14ac:dyDescent="0.2">
      <c r="A34">
        <v>1980</v>
      </c>
      <c r="B34" s="15">
        <v>160</v>
      </c>
      <c r="C34" s="15">
        <v>49211</v>
      </c>
      <c r="D34" s="15">
        <f t="shared" si="0"/>
        <v>307.56875000000002</v>
      </c>
    </row>
    <row r="35" spans="1:4" x14ac:dyDescent="0.2">
      <c r="A35">
        <v>1981</v>
      </c>
      <c r="B35" s="15">
        <v>167</v>
      </c>
      <c r="C35" s="15">
        <v>52222</v>
      </c>
      <c r="D35" s="15">
        <f t="shared" si="0"/>
        <v>312.70658682634729</v>
      </c>
    </row>
    <row r="36" spans="1:4" x14ac:dyDescent="0.2">
      <c r="A36">
        <v>1982</v>
      </c>
      <c r="B36" s="15">
        <v>180</v>
      </c>
      <c r="C36" s="15">
        <v>56889</v>
      </c>
      <c r="D36" s="15">
        <f t="shared" si="0"/>
        <v>316.05</v>
      </c>
    </row>
    <row r="37" spans="1:4" x14ac:dyDescent="0.2">
      <c r="A37">
        <v>1983</v>
      </c>
      <c r="B37" s="15">
        <v>197</v>
      </c>
      <c r="C37" s="15">
        <v>62917</v>
      </c>
      <c r="D37" s="15">
        <f t="shared" ref="D37:D68" si="1">C37/B37</f>
        <v>319.37563451776651</v>
      </c>
    </row>
    <row r="38" spans="1:4" x14ac:dyDescent="0.2">
      <c r="A38">
        <v>1984</v>
      </c>
      <c r="B38" s="15">
        <v>206</v>
      </c>
      <c r="C38" s="15">
        <v>67332</v>
      </c>
      <c r="D38" s="15">
        <f t="shared" si="1"/>
        <v>326.85436893203882</v>
      </c>
    </row>
    <row r="39" spans="1:4" x14ac:dyDescent="0.2">
      <c r="A39">
        <v>1985</v>
      </c>
      <c r="B39" s="15">
        <v>214</v>
      </c>
      <c r="C39" s="15">
        <v>71862</v>
      </c>
      <c r="D39" s="15">
        <f t="shared" si="1"/>
        <v>335.803738317757</v>
      </c>
    </row>
    <row r="40" spans="1:4" x14ac:dyDescent="0.2">
      <c r="A40">
        <v>1986</v>
      </c>
      <c r="B40" s="15">
        <v>229</v>
      </c>
      <c r="C40" s="15">
        <v>84824</v>
      </c>
      <c r="D40" s="15">
        <f t="shared" si="1"/>
        <v>370.41048034934499</v>
      </c>
    </row>
    <row r="41" spans="1:4" x14ac:dyDescent="0.2">
      <c r="A41">
        <v>1987</v>
      </c>
      <c r="B41" s="15">
        <v>238</v>
      </c>
      <c r="C41" s="15">
        <v>95863</v>
      </c>
      <c r="D41" s="15">
        <f t="shared" si="1"/>
        <v>402.78571428571428</v>
      </c>
    </row>
    <row r="42" spans="1:4" x14ac:dyDescent="0.2">
      <c r="A42">
        <v>1988</v>
      </c>
      <c r="B42" s="15">
        <v>260</v>
      </c>
      <c r="C42" s="15">
        <v>109207</v>
      </c>
      <c r="D42" s="15">
        <f t="shared" si="1"/>
        <v>420.02692307692308</v>
      </c>
    </row>
    <row r="43" spans="1:4" x14ac:dyDescent="0.2">
      <c r="A43">
        <v>1989</v>
      </c>
      <c r="B43" s="15">
        <v>293</v>
      </c>
      <c r="C43" s="15">
        <v>124209</v>
      </c>
      <c r="D43" s="15">
        <f t="shared" si="1"/>
        <v>423.92150170648466</v>
      </c>
    </row>
    <row r="44" spans="1:4" x14ac:dyDescent="0.2">
      <c r="A44">
        <v>1990</v>
      </c>
      <c r="B44" s="15">
        <v>313</v>
      </c>
      <c r="C44" s="15">
        <v>141885</v>
      </c>
      <c r="D44" s="15">
        <f t="shared" si="1"/>
        <v>453.3067092651757</v>
      </c>
    </row>
    <row r="45" spans="1:4" x14ac:dyDescent="0.2">
      <c r="A45">
        <v>1991</v>
      </c>
      <c r="B45" s="15">
        <v>336</v>
      </c>
      <c r="C45" s="15">
        <v>163130</v>
      </c>
      <c r="D45" s="15">
        <f t="shared" si="1"/>
        <v>485.50595238095241</v>
      </c>
    </row>
    <row r="46" spans="1:4" x14ac:dyDescent="0.2">
      <c r="A46">
        <v>1992</v>
      </c>
      <c r="B46" s="15">
        <v>380</v>
      </c>
      <c r="C46" s="15">
        <v>184713</v>
      </c>
      <c r="D46" s="15">
        <f t="shared" si="1"/>
        <v>486.08684210526314</v>
      </c>
    </row>
    <row r="47" spans="1:4" x14ac:dyDescent="0.2">
      <c r="A47">
        <v>1993</v>
      </c>
      <c r="B47" s="15">
        <v>407</v>
      </c>
      <c r="C47" s="15">
        <v>206546</v>
      </c>
      <c r="D47" s="15">
        <f t="shared" si="1"/>
        <v>507.48402948402946</v>
      </c>
    </row>
    <row r="48" spans="1:4" x14ac:dyDescent="0.2">
      <c r="A48">
        <v>1994</v>
      </c>
      <c r="B48" s="15">
        <v>437</v>
      </c>
      <c r="C48" s="15">
        <v>225001</v>
      </c>
      <c r="D48" s="15">
        <f t="shared" si="1"/>
        <v>514.87643020594965</v>
      </c>
    </row>
    <row r="49" spans="1:4" x14ac:dyDescent="0.2">
      <c r="A49">
        <v>1995</v>
      </c>
      <c r="B49" s="15">
        <v>472</v>
      </c>
      <c r="C49" s="15">
        <v>252559</v>
      </c>
      <c r="D49" s="15">
        <f t="shared" si="1"/>
        <v>535.08262711864404</v>
      </c>
    </row>
    <row r="50" spans="1:4" x14ac:dyDescent="0.2">
      <c r="A50">
        <v>1996</v>
      </c>
      <c r="B50" s="15">
        <v>504</v>
      </c>
      <c r="C50" s="15">
        <v>272830</v>
      </c>
      <c r="D50" s="15">
        <f t="shared" si="1"/>
        <v>541.32936507936506</v>
      </c>
    </row>
    <row r="51" spans="1:4" x14ac:dyDescent="0.2">
      <c r="A51">
        <v>1997</v>
      </c>
      <c r="B51" s="15">
        <v>546</v>
      </c>
      <c r="C51" s="15">
        <v>296370</v>
      </c>
      <c r="D51" s="15">
        <f t="shared" si="1"/>
        <v>542.80219780219784</v>
      </c>
    </row>
    <row r="52" spans="1:4" x14ac:dyDescent="0.2">
      <c r="A52">
        <v>1998</v>
      </c>
      <c r="B52" s="15">
        <v>575</v>
      </c>
      <c r="C52" s="15">
        <v>318284</v>
      </c>
      <c r="D52" s="15">
        <f t="shared" si="1"/>
        <v>553.53739130434781</v>
      </c>
    </row>
    <row r="53" spans="1:4" x14ac:dyDescent="0.2">
      <c r="A53">
        <v>1999</v>
      </c>
      <c r="B53" s="15">
        <v>601</v>
      </c>
      <c r="C53" s="15">
        <v>345206</v>
      </c>
      <c r="D53" s="15">
        <f t="shared" si="1"/>
        <v>574.38602329450919</v>
      </c>
    </row>
    <row r="54" spans="1:4" x14ac:dyDescent="0.2">
      <c r="A54">
        <v>2000</v>
      </c>
      <c r="B54" s="15">
        <v>621</v>
      </c>
      <c r="C54" s="15">
        <v>370490</v>
      </c>
      <c r="D54" s="15">
        <f t="shared" si="1"/>
        <v>596.60225442834144</v>
      </c>
    </row>
    <row r="55" spans="1:4" x14ac:dyDescent="0.2">
      <c r="A55">
        <v>2001</v>
      </c>
      <c r="B55" s="15">
        <v>642</v>
      </c>
      <c r="C55" s="15">
        <v>399016</v>
      </c>
      <c r="D55" s="15">
        <f t="shared" si="1"/>
        <v>621.5202492211838</v>
      </c>
    </row>
    <row r="56" spans="1:4" x14ac:dyDescent="0.2">
      <c r="A56">
        <v>2002</v>
      </c>
      <c r="B56" s="15">
        <v>653</v>
      </c>
      <c r="C56" s="15">
        <v>428076</v>
      </c>
      <c r="D56" s="15">
        <f t="shared" si="1"/>
        <v>655.55283307810112</v>
      </c>
    </row>
    <row r="57" spans="1:4" x14ac:dyDescent="0.2">
      <c r="A57">
        <v>2003</v>
      </c>
      <c r="B57" s="15">
        <v>670</v>
      </c>
      <c r="C57" s="15">
        <v>457237</v>
      </c>
      <c r="D57" s="15">
        <f t="shared" si="1"/>
        <v>682.44328358208952</v>
      </c>
    </row>
    <row r="58" spans="1:4" x14ac:dyDescent="0.2">
      <c r="A58">
        <v>2004</v>
      </c>
      <c r="B58" s="15">
        <v>692</v>
      </c>
      <c r="C58" s="15">
        <v>483172</v>
      </c>
      <c r="D58" s="15">
        <f t="shared" si="1"/>
        <v>698.22543352601156</v>
      </c>
    </row>
    <row r="59" spans="1:4" x14ac:dyDescent="0.2">
      <c r="A59">
        <v>2005</v>
      </c>
      <c r="B59" s="15">
        <v>712</v>
      </c>
      <c r="C59" s="15">
        <v>506746</v>
      </c>
      <c r="D59" s="15">
        <f t="shared" si="1"/>
        <v>711.72191011235952</v>
      </c>
    </row>
    <row r="60" spans="1:4" x14ac:dyDescent="0.2">
      <c r="A60">
        <v>2006</v>
      </c>
      <c r="B60" s="15">
        <v>736</v>
      </c>
      <c r="C60" s="15">
        <v>527427</v>
      </c>
      <c r="D60" s="15">
        <f t="shared" si="1"/>
        <v>716.61277173913038</v>
      </c>
    </row>
    <row r="61" spans="1:4" x14ac:dyDescent="0.2">
      <c r="A61">
        <v>2007</v>
      </c>
      <c r="B61" s="15">
        <v>748</v>
      </c>
      <c r="C61" s="15">
        <v>552388</v>
      </c>
      <c r="D61" s="15">
        <f t="shared" si="1"/>
        <v>738.48663101604279</v>
      </c>
    </row>
    <row r="62" spans="1:4" x14ac:dyDescent="0.2">
      <c r="A62">
        <v>2008</v>
      </c>
      <c r="B62" s="15">
        <v>769</v>
      </c>
      <c r="C62" s="15">
        <v>575176</v>
      </c>
      <c r="D62" s="15">
        <f t="shared" si="1"/>
        <v>747.95318595578669</v>
      </c>
    </row>
    <row r="63" spans="1:4" x14ac:dyDescent="0.2">
      <c r="A63">
        <v>2009</v>
      </c>
      <c r="B63" s="15">
        <v>782</v>
      </c>
      <c r="C63" s="15">
        <v>599328</v>
      </c>
      <c r="D63" s="15">
        <f t="shared" si="1"/>
        <v>766.40409207161122</v>
      </c>
    </row>
    <row r="64" spans="1:4" x14ac:dyDescent="0.2">
      <c r="A64">
        <v>2010</v>
      </c>
      <c r="B64" s="15">
        <v>788</v>
      </c>
      <c r="C64" s="15">
        <v>610104</v>
      </c>
      <c r="D64" s="15">
        <f t="shared" si="1"/>
        <v>774.24365482233497</v>
      </c>
    </row>
    <row r="65" spans="1:4" x14ac:dyDescent="0.2">
      <c r="A65">
        <v>2011</v>
      </c>
      <c r="B65" s="15">
        <v>801</v>
      </c>
      <c r="C65" s="15">
        <v>624569</v>
      </c>
      <c r="D65" s="15">
        <f t="shared" si="1"/>
        <v>779.73657927590511</v>
      </c>
    </row>
    <row r="66" spans="1:4" x14ac:dyDescent="0.2">
      <c r="A66">
        <v>2012</v>
      </c>
      <c r="B66" s="15">
        <v>811</v>
      </c>
      <c r="C66" s="15">
        <v>635097</v>
      </c>
      <c r="D66" s="15">
        <f t="shared" si="1"/>
        <v>783.10357583230575</v>
      </c>
    </row>
    <row r="67" spans="1:4" x14ac:dyDescent="0.2">
      <c r="A67">
        <v>2013</v>
      </c>
      <c r="B67" s="15">
        <v>824</v>
      </c>
      <c r="C67" s="15">
        <v>637735</v>
      </c>
      <c r="D67" s="15">
        <f t="shared" si="1"/>
        <v>773.95024271844659</v>
      </c>
    </row>
    <row r="68" spans="1:4" x14ac:dyDescent="0.2">
      <c r="A68">
        <v>2014</v>
      </c>
      <c r="B68" s="15">
        <v>831</v>
      </c>
      <c r="C68" s="15">
        <v>639137</v>
      </c>
      <c r="D68" s="15">
        <f t="shared" si="1"/>
        <v>769.11793020457276</v>
      </c>
    </row>
    <row r="69" spans="1:4" x14ac:dyDescent="0.2">
      <c r="A69">
        <v>2015</v>
      </c>
      <c r="B69" s="15">
        <v>834</v>
      </c>
      <c r="C69" s="15">
        <v>640181</v>
      </c>
      <c r="D69" s="15">
        <f t="shared" ref="D69:D79" si="2">C69/B69</f>
        <v>767.60311750599521</v>
      </c>
    </row>
    <row r="70" spans="1:4" x14ac:dyDescent="0.2">
      <c r="A70">
        <v>2016</v>
      </c>
      <c r="B70" s="15">
        <v>847</v>
      </c>
      <c r="C70" s="15">
        <v>643158</v>
      </c>
      <c r="D70" s="15">
        <f t="shared" si="2"/>
        <v>759.33648170011804</v>
      </c>
    </row>
    <row r="71" spans="1:4" x14ac:dyDescent="0.2">
      <c r="A71">
        <v>2017</v>
      </c>
      <c r="B71" s="15">
        <v>843</v>
      </c>
      <c r="C71" s="15">
        <v>644943</v>
      </c>
      <c r="D71" s="15">
        <f t="shared" si="2"/>
        <v>765.05693950177931</v>
      </c>
    </row>
    <row r="72" spans="1:4" x14ac:dyDescent="0.2">
      <c r="A72">
        <v>2018</v>
      </c>
      <c r="B72" s="15">
        <v>840</v>
      </c>
      <c r="C72" s="15">
        <v>642240</v>
      </c>
      <c r="D72" s="15">
        <f t="shared" si="2"/>
        <v>764.57142857142856</v>
      </c>
    </row>
    <row r="73" spans="1:4" x14ac:dyDescent="0.2">
      <c r="A73">
        <v>2019</v>
      </c>
      <c r="B73" s="15">
        <v>832</v>
      </c>
      <c r="C73" s="15">
        <v>642677</v>
      </c>
      <c r="D73" s="15">
        <f t="shared" si="2"/>
        <v>772.44831730769226</v>
      </c>
    </row>
    <row r="74" spans="1:4" x14ac:dyDescent="0.2">
      <c r="A74">
        <v>2020</v>
      </c>
      <c r="B74" s="15">
        <v>825</v>
      </c>
      <c r="C74" s="15">
        <v>651417</v>
      </c>
      <c r="D74" s="15">
        <f t="shared" si="2"/>
        <v>789.59636363636366</v>
      </c>
    </row>
    <row r="75" spans="1:4" x14ac:dyDescent="0.2">
      <c r="A75">
        <v>2021</v>
      </c>
      <c r="B75" s="15">
        <v>825</v>
      </c>
      <c r="C75" s="15">
        <v>673983</v>
      </c>
      <c r="D75" s="15">
        <f t="shared" si="2"/>
        <v>816.94909090909096</v>
      </c>
    </row>
    <row r="76" spans="1:4" x14ac:dyDescent="0.2">
      <c r="A76">
        <v>2022</v>
      </c>
      <c r="B76" s="15">
        <v>827</v>
      </c>
      <c r="C76" s="15">
        <v>682942</v>
      </c>
      <c r="D76" s="15">
        <f t="shared" si="2"/>
        <v>825.80652962515114</v>
      </c>
    </row>
    <row r="77" spans="1:4" x14ac:dyDescent="0.2">
      <c r="A77">
        <v>2023</v>
      </c>
      <c r="B77" s="15">
        <v>821</v>
      </c>
      <c r="C77" s="15">
        <v>682126</v>
      </c>
      <c r="D77" s="15">
        <f t="shared" si="2"/>
        <v>830.8477466504263</v>
      </c>
    </row>
    <row r="78" spans="1:4" x14ac:dyDescent="0.2">
      <c r="A78">
        <v>2024</v>
      </c>
      <c r="B78" s="15">
        <v>821</v>
      </c>
      <c r="C78" s="15">
        <v>686708</v>
      </c>
      <c r="D78" s="15">
        <f t="shared" si="2"/>
        <v>836.42874543239952</v>
      </c>
    </row>
    <row r="79" spans="1:4" x14ac:dyDescent="0.2">
      <c r="A79">
        <v>2025</v>
      </c>
      <c r="B79" s="15">
        <v>812</v>
      </c>
      <c r="C79" s="15">
        <v>695617</v>
      </c>
      <c r="D79" s="15">
        <f t="shared" si="2"/>
        <v>856.67118226600985</v>
      </c>
    </row>
  </sheetData>
  <pageMargins left="0.75" right="0.75" top="1" bottom="1" header="0.5" footer="0.5"/>
  <tableParts count="1">
    <tablePart r:id="rId1"/>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H65"/>
  <sheetViews>
    <sheetView topLeftCell="A31" workbookViewId="0">
      <selection activeCell="A21" sqref="A21"/>
    </sheetView>
  </sheetViews>
  <sheetFormatPr baseColWidth="10" defaultColWidth="8.83203125" defaultRowHeight="15" x14ac:dyDescent="0.2"/>
  <cols>
    <col min="1" max="1" width="38" customWidth="1"/>
    <col min="2" max="5" width="15" customWidth="1"/>
    <col min="6" max="6" width="17" customWidth="1"/>
    <col min="7" max="7" width="20" customWidth="1"/>
  </cols>
  <sheetData>
    <row r="1" spans="1:7" ht="19" x14ac:dyDescent="0.25">
      <c r="A1" s="1" t="s">
        <v>248</v>
      </c>
    </row>
    <row r="2" spans="1:7" x14ac:dyDescent="0.2">
      <c r="A2" s="2" t="s">
        <v>249</v>
      </c>
    </row>
    <row r="4" spans="1:7" x14ac:dyDescent="0.2">
      <c r="A4" s="19" t="s">
        <v>250</v>
      </c>
    </row>
    <row r="5" spans="1:7" ht="30" customHeight="1" x14ac:dyDescent="0.2">
      <c r="A5" s="5" t="s">
        <v>111</v>
      </c>
      <c r="B5" s="5" t="s">
        <v>251</v>
      </c>
      <c r="C5" s="5" t="s">
        <v>169</v>
      </c>
      <c r="D5" s="5" t="s">
        <v>103</v>
      </c>
      <c r="E5" s="5" t="s">
        <v>104</v>
      </c>
      <c r="F5" s="5" t="s">
        <v>252</v>
      </c>
      <c r="G5" s="5" t="s">
        <v>253</v>
      </c>
    </row>
    <row r="6" spans="1:7" x14ac:dyDescent="0.2">
      <c r="A6" s="6" t="s">
        <v>113</v>
      </c>
      <c r="B6" s="7">
        <f>'02_Age_Gender'!D6</f>
        <v>1873</v>
      </c>
      <c r="C6" s="7">
        <f>'02_Age_Gender'!AE6</f>
        <v>2171</v>
      </c>
      <c r="D6" s="7">
        <f t="shared" ref="D6:D16" si="0">C6-B6</f>
        <v>298</v>
      </c>
      <c r="E6" s="9">
        <f t="shared" ref="E6:E16" si="1">IFERROR(D6/B6,"")</f>
        <v>0.1591030432461292</v>
      </c>
      <c r="F6" s="8">
        <f t="shared" ref="F6:F16" si="2">C6/SUM($C$6:$C$16)</f>
        <v>3.1209703040609993E-3</v>
      </c>
      <c r="G6" s="8">
        <f t="shared" ref="G6:G16" si="3">D6/SUM($D$6:$D$16)</f>
        <v>5.680626775195867E-3</v>
      </c>
    </row>
    <row r="7" spans="1:7" x14ac:dyDescent="0.2">
      <c r="A7" s="6" t="s">
        <v>114</v>
      </c>
      <c r="B7" s="7">
        <f>'02_Age_Gender'!D7</f>
        <v>24316</v>
      </c>
      <c r="C7" s="7">
        <f>'02_Age_Gender'!AE7</f>
        <v>21740</v>
      </c>
      <c r="D7" s="7">
        <f t="shared" si="0"/>
        <v>-2576</v>
      </c>
      <c r="E7" s="9">
        <f t="shared" si="1"/>
        <v>-0.10593847672314526</v>
      </c>
      <c r="F7" s="8">
        <f t="shared" si="2"/>
        <v>3.1252830221228059E-2</v>
      </c>
      <c r="G7" s="8">
        <f t="shared" si="3"/>
        <v>-4.9105015345317297E-2</v>
      </c>
    </row>
    <row r="8" spans="1:7" x14ac:dyDescent="0.2">
      <c r="A8" s="6" t="s">
        <v>115</v>
      </c>
      <c r="B8" s="7">
        <f>'02_Age_Gender'!D8</f>
        <v>17764</v>
      </c>
      <c r="C8" s="7">
        <f>'02_Age_Gender'!AE8</f>
        <v>18887</v>
      </c>
      <c r="D8" s="7">
        <f t="shared" si="0"/>
        <v>1123</v>
      </c>
      <c r="E8" s="9">
        <f t="shared" si="1"/>
        <v>6.3217743751407346E-2</v>
      </c>
      <c r="F8" s="8">
        <f t="shared" si="2"/>
        <v>2.7151435344449602E-2</v>
      </c>
      <c r="G8" s="8">
        <f t="shared" si="3"/>
        <v>2.1407194189748183E-2</v>
      </c>
    </row>
    <row r="9" spans="1:7" x14ac:dyDescent="0.2">
      <c r="A9" s="6" t="s">
        <v>116</v>
      </c>
      <c r="B9" s="7">
        <f>'02_Age_Gender'!D9</f>
        <v>7377</v>
      </c>
      <c r="C9" s="7">
        <f>'02_Age_Gender'!AE9</f>
        <v>9522</v>
      </c>
      <c r="D9" s="7">
        <f t="shared" si="0"/>
        <v>2145</v>
      </c>
      <c r="E9" s="9">
        <f t="shared" si="1"/>
        <v>0.29076860512403419</v>
      </c>
      <c r="F9" s="8">
        <f t="shared" si="2"/>
        <v>1.3688567128175419E-2</v>
      </c>
      <c r="G9" s="8">
        <f t="shared" si="3"/>
        <v>4.0889075277836022E-2</v>
      </c>
    </row>
    <row r="10" spans="1:7" x14ac:dyDescent="0.2">
      <c r="A10" s="6" t="s">
        <v>117</v>
      </c>
      <c r="B10" s="7">
        <f>'02_Age_Gender'!D10</f>
        <v>20036</v>
      </c>
      <c r="C10" s="7">
        <f>'02_Age_Gender'!AE10</f>
        <v>32899</v>
      </c>
      <c r="D10" s="7">
        <f t="shared" si="0"/>
        <v>12863</v>
      </c>
      <c r="E10" s="9">
        <f t="shared" si="1"/>
        <v>0.64199441006188862</v>
      </c>
      <c r="F10" s="8">
        <f t="shared" si="2"/>
        <v>4.7294703838462834E-2</v>
      </c>
      <c r="G10" s="8">
        <f t="shared" si="3"/>
        <v>0.24520101412531692</v>
      </c>
    </row>
    <row r="11" spans="1:7" x14ac:dyDescent="0.2">
      <c r="A11" s="6" t="s">
        <v>118</v>
      </c>
      <c r="B11" s="7">
        <f>'02_Age_Gender'!D11</f>
        <v>34861</v>
      </c>
      <c r="C11" s="7">
        <f>'02_Age_Gender'!AE11</f>
        <v>51385</v>
      </c>
      <c r="D11" s="7">
        <f t="shared" si="0"/>
        <v>16524</v>
      </c>
      <c r="E11" s="9">
        <f t="shared" si="1"/>
        <v>0.47399672987005537</v>
      </c>
      <c r="F11" s="8">
        <f t="shared" si="2"/>
        <v>7.3869672535317565E-2</v>
      </c>
      <c r="G11" s="8">
        <f t="shared" si="3"/>
        <v>0.31498884843401515</v>
      </c>
    </row>
    <row r="12" spans="1:7" x14ac:dyDescent="0.2">
      <c r="A12" s="6" t="s">
        <v>119</v>
      </c>
      <c r="B12" s="7">
        <f>'02_Age_Gender'!D12</f>
        <v>28008</v>
      </c>
      <c r="C12" s="7">
        <f>'02_Age_Gender'!AE12</f>
        <v>28005</v>
      </c>
      <c r="D12" s="7">
        <f t="shared" si="0"/>
        <v>-3</v>
      </c>
      <c r="E12" s="9">
        <f t="shared" si="1"/>
        <v>-1.0711225364181663E-4</v>
      </c>
      <c r="F12" s="8">
        <f t="shared" si="2"/>
        <v>4.0259223106968348E-2</v>
      </c>
      <c r="G12" s="8">
        <f t="shared" si="3"/>
        <v>-5.7187517871099336E-5</v>
      </c>
    </row>
    <row r="13" spans="1:7" x14ac:dyDescent="0.2">
      <c r="A13" s="6" t="s">
        <v>120</v>
      </c>
      <c r="B13" s="7">
        <f>'02_Age_Gender'!D13</f>
        <v>109959</v>
      </c>
      <c r="C13" s="7">
        <f>'02_Age_Gender'!AE13</f>
        <v>70850</v>
      </c>
      <c r="D13" s="7">
        <f t="shared" si="0"/>
        <v>-39109</v>
      </c>
      <c r="E13" s="9">
        <f t="shared" si="1"/>
        <v>-0.35566893114706388</v>
      </c>
      <c r="F13" s="8">
        <f t="shared" si="2"/>
        <v>0.10185202489300865</v>
      </c>
      <c r="G13" s="8">
        <f t="shared" si="3"/>
        <v>-0.74551554547360799</v>
      </c>
    </row>
    <row r="14" spans="1:7" x14ac:dyDescent="0.2">
      <c r="A14" s="6" t="s">
        <v>121</v>
      </c>
      <c r="B14" s="7">
        <f>'02_Age_Gender'!D14</f>
        <v>78623</v>
      </c>
      <c r="C14" s="7">
        <f>'02_Age_Gender'!AE14</f>
        <v>60319</v>
      </c>
      <c r="D14" s="7">
        <f t="shared" si="0"/>
        <v>-18304</v>
      </c>
      <c r="E14" s="9">
        <f t="shared" si="1"/>
        <v>-0.23280719382369028</v>
      </c>
      <c r="F14" s="8">
        <f t="shared" si="2"/>
        <v>8.6712946923378817E-2</v>
      </c>
      <c r="G14" s="8">
        <f t="shared" si="3"/>
        <v>-0.34892010903753407</v>
      </c>
    </row>
    <row r="15" spans="1:7" x14ac:dyDescent="0.2">
      <c r="A15" s="6" t="s">
        <v>122</v>
      </c>
      <c r="B15" s="7">
        <f>'02_Age_Gender'!D15</f>
        <v>67694</v>
      </c>
      <c r="C15" s="7">
        <f>'02_Age_Gender'!AE15</f>
        <v>93686</v>
      </c>
      <c r="D15" s="7">
        <f t="shared" si="0"/>
        <v>25992</v>
      </c>
      <c r="E15" s="9">
        <f t="shared" si="1"/>
        <v>0.38396312819452239</v>
      </c>
      <c r="F15" s="8">
        <f t="shared" si="2"/>
        <v>0.13468043477948355</v>
      </c>
      <c r="G15" s="8">
        <f t="shared" si="3"/>
        <v>0.49547265483520464</v>
      </c>
    </row>
    <row r="16" spans="1:7" x14ac:dyDescent="0.2">
      <c r="A16" s="6" t="s">
        <v>123</v>
      </c>
      <c r="B16" s="7">
        <f>'02_Age_Gender'!D16</f>
        <v>252647</v>
      </c>
      <c r="C16" s="7">
        <f>'02_Age_Gender'!AE16</f>
        <v>306153</v>
      </c>
      <c r="D16" s="7">
        <f t="shared" si="0"/>
        <v>53506</v>
      </c>
      <c r="E16" s="9">
        <f t="shared" si="1"/>
        <v>0.21178165582809216</v>
      </c>
      <c r="F16" s="8">
        <f t="shared" si="2"/>
        <v>0.4401171909254662</v>
      </c>
      <c r="G16" s="8">
        <f t="shared" si="3"/>
        <v>1.0199584437370137</v>
      </c>
    </row>
    <row r="19" spans="1:8" x14ac:dyDescent="0.2">
      <c r="A19" s="19" t="s">
        <v>254</v>
      </c>
    </row>
    <row r="20" spans="1:8" ht="30" customHeight="1" x14ac:dyDescent="0.2">
      <c r="A20" s="5" t="s">
        <v>130</v>
      </c>
      <c r="B20" s="5" t="s">
        <v>131</v>
      </c>
      <c r="C20" s="5" t="s">
        <v>137</v>
      </c>
      <c r="D20" s="5" t="s">
        <v>138</v>
      </c>
      <c r="E20" s="5" t="s">
        <v>255</v>
      </c>
      <c r="F20" s="5" t="s">
        <v>102</v>
      </c>
      <c r="G20" s="5" t="s">
        <v>256</v>
      </c>
      <c r="H20" s="5" t="s">
        <v>257</v>
      </c>
    </row>
    <row r="21" spans="1:8" x14ac:dyDescent="0.2">
      <c r="A21" s="6" t="e" vm="12">
        <f>'04_States'!A16</f>
        <v>#VALUE!</v>
      </c>
      <c r="B21" s="7">
        <f>'04_States'!B16</f>
        <v>54471</v>
      </c>
      <c r="C21" s="7">
        <f>'04_States'!K16</f>
        <v>2959517</v>
      </c>
      <c r="D21" s="10">
        <f t="shared" ref="D21:D32" si="4">B21/C21*1000</f>
        <v>18.405368173252594</v>
      </c>
      <c r="E21" s="9">
        <f>'04_States'!E16</f>
        <v>0.12881566677028286</v>
      </c>
      <c r="F21" s="8">
        <f>'04_States'!H16</f>
        <v>0.35481265260413797</v>
      </c>
      <c r="G21" s="6">
        <f t="shared" ref="G21:G32" si="5">RANK(D21,$D$21:$D$32)</f>
        <v>1</v>
      </c>
      <c r="H21" s="27">
        <f>D21-'01_Timeseries'!$B$14/83577140*1000</f>
        <v>10.082314764150535</v>
      </c>
    </row>
    <row r="22" spans="1:8" x14ac:dyDescent="0.2">
      <c r="A22" s="6" t="e" vm="6">
        <f>'04_States'!A10</f>
        <v>#VALUE!</v>
      </c>
      <c r="B22" s="7">
        <f>'04_States'!B10</f>
        <v>18752</v>
      </c>
      <c r="C22" s="7">
        <f>'04_States'!K10</f>
        <v>1573597</v>
      </c>
      <c r="D22" s="10">
        <f t="shared" si="4"/>
        <v>11.916647019535498</v>
      </c>
      <c r="E22" s="9">
        <f>'04_States'!E10</f>
        <v>9.3283582089552244E-2</v>
      </c>
      <c r="F22" s="8">
        <f>'04_States'!H10</f>
        <v>0.34668302047781568</v>
      </c>
      <c r="G22" s="6">
        <f t="shared" si="5"/>
        <v>2</v>
      </c>
      <c r="H22" s="27">
        <f>D22-'01_Timeseries'!$B$14/83577140*1000</f>
        <v>3.5935936104334392</v>
      </c>
    </row>
    <row r="23" spans="1:8" x14ac:dyDescent="0.2">
      <c r="A23" s="6" t="e" vm="4">
        <f>'04_States'!A8</f>
        <v>#VALUE!</v>
      </c>
      <c r="B23" s="7">
        <f>'04_States'!B8</f>
        <v>22099</v>
      </c>
      <c r="C23" s="7">
        <f>'04_States'!K8</f>
        <v>1862565</v>
      </c>
      <c r="D23" s="10">
        <f t="shared" si="4"/>
        <v>11.864820825045031</v>
      </c>
      <c r="E23" s="9">
        <f>'04_States'!E8</f>
        <v>2.2391857506361322E-2</v>
      </c>
      <c r="F23" s="8">
        <f>'04_States'!H8</f>
        <v>0.36938323001040774</v>
      </c>
      <c r="G23" s="6">
        <f t="shared" si="5"/>
        <v>3</v>
      </c>
      <c r="H23" s="27">
        <f>D23-'01_Timeseries'!$B$14/83577140*1000</f>
        <v>3.5417674159429726</v>
      </c>
    </row>
    <row r="24" spans="1:8" x14ac:dyDescent="0.2">
      <c r="A24" s="6" t="e" vm="2">
        <f>'04_States'!A6</f>
        <v>#VALUE!</v>
      </c>
      <c r="B24" s="7">
        <f>'04_States'!B6</f>
        <v>144501</v>
      </c>
      <c r="C24" s="7">
        <f>'04_States'!K6</f>
        <v>13248928</v>
      </c>
      <c r="D24" s="10">
        <f t="shared" si="4"/>
        <v>10.906618256209105</v>
      </c>
      <c r="E24" s="9">
        <f>'04_States'!E6</f>
        <v>4.0796041401067441E-2</v>
      </c>
      <c r="F24" s="8">
        <f>'04_States'!H6</f>
        <v>0.35996290683109461</v>
      </c>
      <c r="G24" s="6">
        <f t="shared" si="5"/>
        <v>4</v>
      </c>
      <c r="H24" s="27">
        <f>D24-'01_Timeseries'!$B$14/83577140*1000</f>
        <v>2.5835648471070467</v>
      </c>
    </row>
    <row r="25" spans="1:8" x14ac:dyDescent="0.2">
      <c r="A25" s="6" t="e" vm="7">
        <f>'04_States'!A11</f>
        <v>#VALUE!</v>
      </c>
      <c r="B25" s="7">
        <f>'04_States'!B11</f>
        <v>78772</v>
      </c>
      <c r="C25" s="7">
        <f>'04_States'!K11</f>
        <v>8709370</v>
      </c>
      <c r="D25" s="10">
        <f t="shared" si="4"/>
        <v>9.044511830362012</v>
      </c>
      <c r="E25" s="9">
        <f>'04_States'!E11</f>
        <v>8.8266581932221658E-2</v>
      </c>
      <c r="F25" s="8">
        <f>'04_States'!H11</f>
        <v>0.33753110242218048</v>
      </c>
      <c r="G25" s="6">
        <f t="shared" si="5"/>
        <v>5</v>
      </c>
      <c r="H25" s="27">
        <f>D25-'01_Timeseries'!$B$14/83577140*1000</f>
        <v>0.7214584212599533</v>
      </c>
    </row>
    <row r="26" spans="1:8" x14ac:dyDescent="0.2">
      <c r="A26" s="6" t="e" vm="8">
        <f>'04_States'!A12</f>
        <v>#VALUE!</v>
      </c>
      <c r="B26" s="7">
        <f>'04_States'!B12</f>
        <v>144750</v>
      </c>
      <c r="C26" s="7">
        <f>'04_States'!K12</f>
        <v>18034454</v>
      </c>
      <c r="D26" s="10">
        <f t="shared" si="4"/>
        <v>8.0263034300899836</v>
      </c>
      <c r="E26" s="9">
        <f>'04_States'!E12</f>
        <v>7.5113081842287044E-2</v>
      </c>
      <c r="F26" s="8">
        <f>'04_States'!H12</f>
        <v>0.34482210708117444</v>
      </c>
      <c r="G26" s="6">
        <f t="shared" si="5"/>
        <v>6</v>
      </c>
      <c r="H26" s="27">
        <f>D26-'01_Timeseries'!$B$14/83577140*1000</f>
        <v>-0.29674997901207512</v>
      </c>
    </row>
    <row r="27" spans="1:8" x14ac:dyDescent="0.2">
      <c r="A27" s="6" t="e" vm="5">
        <f>'04_States'!A9</f>
        <v>#VALUE!</v>
      </c>
      <c r="B27" s="7">
        <f>'04_States'!B9</f>
        <v>49741</v>
      </c>
      <c r="C27" s="7">
        <f>'04_States'!K9</f>
        <v>6280793</v>
      </c>
      <c r="D27" s="10">
        <f t="shared" si="4"/>
        <v>7.9195413700149011</v>
      </c>
      <c r="E27" s="9">
        <f>'04_States'!E9</f>
        <v>3.0175627537072321E-2</v>
      </c>
      <c r="F27" s="8">
        <f>'04_States'!H9</f>
        <v>0.35131983675438772</v>
      </c>
      <c r="G27" s="6">
        <f t="shared" si="5"/>
        <v>7</v>
      </c>
      <c r="H27" s="27">
        <f>D27-'01_Timeseries'!$B$14/83577140*1000</f>
        <v>-0.4035120390871576</v>
      </c>
    </row>
    <row r="28" spans="1:8" x14ac:dyDescent="0.2">
      <c r="A28" s="6" t="e" vm="1">
        <f>'04_States'!A5</f>
        <v>#VALUE!</v>
      </c>
      <c r="B28" s="7">
        <f>'04_States'!B5</f>
        <v>76079</v>
      </c>
      <c r="C28" s="7">
        <f>'04_States'!K5</f>
        <v>11245898</v>
      </c>
      <c r="D28" s="10">
        <f t="shared" si="4"/>
        <v>6.7650444633234272</v>
      </c>
      <c r="E28" s="9">
        <f>'04_States'!E5</f>
        <v>3.3148646079469837E-2</v>
      </c>
      <c r="F28" s="8">
        <f>'04_States'!H5</f>
        <v>0.35977076459995533</v>
      </c>
      <c r="G28" s="6">
        <f t="shared" si="5"/>
        <v>8</v>
      </c>
      <c r="H28" s="27">
        <f>D28-'01_Timeseries'!$B$14/83577140*1000</f>
        <v>-1.5580089457786315</v>
      </c>
    </row>
    <row r="29" spans="1:8" x14ac:dyDescent="0.2">
      <c r="A29" s="6" t="e" vm="9">
        <f>'04_States'!A13</f>
        <v>#VALUE!</v>
      </c>
      <c r="B29" s="7">
        <f>'04_States'!B13</f>
        <v>30113</v>
      </c>
      <c r="C29" s="7">
        <f>'04_States'!K13</f>
        <v>5141710</v>
      </c>
      <c r="D29" s="10">
        <f t="shared" si="4"/>
        <v>5.8566119053777825</v>
      </c>
      <c r="E29" s="9">
        <f>'04_States'!E13</f>
        <v>6.4138808396353095E-2</v>
      </c>
      <c r="F29" s="8">
        <f>'04_States'!H13</f>
        <v>0.34237704645834027</v>
      </c>
      <c r="G29" s="6">
        <f t="shared" si="5"/>
        <v>9</v>
      </c>
      <c r="H29" s="27">
        <f>D29-'01_Timeseries'!$B$14/83577140*1000</f>
        <v>-2.4664415037242762</v>
      </c>
    </row>
    <row r="30" spans="1:8" x14ac:dyDescent="0.2">
      <c r="A30" s="6" t="e" vm="3">
        <f>'04_States'!A7</f>
        <v>#VALUE!</v>
      </c>
      <c r="B30" s="7">
        <f>'04_States'!B7</f>
        <v>27777</v>
      </c>
      <c r="C30" s="7">
        <f>'04_States'!K7</f>
        <v>6242012</v>
      </c>
      <c r="D30" s="10">
        <f t="shared" si="4"/>
        <v>4.4500074655415593</v>
      </c>
      <c r="E30" s="9">
        <f>'04_States'!E7</f>
        <v>0.1563150445425027</v>
      </c>
      <c r="F30" s="8">
        <f>'04_States'!H7</f>
        <v>0.32408107427007954</v>
      </c>
      <c r="G30" s="6">
        <f t="shared" si="5"/>
        <v>10</v>
      </c>
      <c r="H30" s="27">
        <f>D30-'01_Timeseries'!$B$14/83577140*1000</f>
        <v>-3.8730459435604994</v>
      </c>
    </row>
    <row r="31" spans="1:8" x14ac:dyDescent="0.2">
      <c r="A31" s="6" t="e" vm="11">
        <f>'04_States'!A15</f>
        <v>#VALUE!</v>
      </c>
      <c r="B31" s="7">
        <f>'04_States'!B15</f>
        <v>13696</v>
      </c>
      <c r="C31" s="7">
        <f>'04_States'!K15</f>
        <v>6142699</v>
      </c>
      <c r="D31" s="10">
        <f t="shared" si="4"/>
        <v>2.2296387955848074</v>
      </c>
      <c r="E31" s="9">
        <f>'04_States'!E15</f>
        <v>0.16790312953014411</v>
      </c>
      <c r="F31" s="8">
        <f>'04_States'!H15</f>
        <v>0.32666471962616822</v>
      </c>
      <c r="G31" s="6">
        <f t="shared" si="5"/>
        <v>11</v>
      </c>
      <c r="H31" s="27">
        <f>D31-'01_Timeseries'!$B$14/83577140*1000</f>
        <v>-6.0934146135172513</v>
      </c>
    </row>
    <row r="32" spans="1:8" x14ac:dyDescent="0.2">
      <c r="A32" s="6" t="e" vm="10">
        <f>'04_States'!A14</f>
        <v>#VALUE!</v>
      </c>
      <c r="B32" s="7">
        <f>'04_States'!B14</f>
        <v>2168</v>
      </c>
      <c r="C32" s="7">
        <f>'04_States'!K14</f>
        <v>2135597</v>
      </c>
      <c r="D32" s="10">
        <f t="shared" si="4"/>
        <v>1.0151728064798742</v>
      </c>
      <c r="E32" s="9">
        <f>'04_States'!E14</f>
        <v>0.35415365396627108</v>
      </c>
      <c r="F32" s="8">
        <f>'04_States'!H14</f>
        <v>0.48662361623616235</v>
      </c>
      <c r="G32" s="6">
        <f t="shared" si="5"/>
        <v>12</v>
      </c>
      <c r="H32" s="27">
        <f>D32-'01_Timeseries'!$B$14/83577140*1000</f>
        <v>-7.3078806026221841</v>
      </c>
    </row>
    <row r="35" spans="1:2" x14ac:dyDescent="0.2">
      <c r="A35" s="19" t="s">
        <v>258</v>
      </c>
    </row>
    <row r="36" spans="1:2" x14ac:dyDescent="0.2">
      <c r="A36" s="2" t="s">
        <v>259</v>
      </c>
    </row>
    <row r="37" spans="1:2" ht="18" customHeight="1" x14ac:dyDescent="0.2">
      <c r="A37" s="5" t="s">
        <v>111</v>
      </c>
      <c r="B37" s="5" t="s">
        <v>260</v>
      </c>
    </row>
    <row r="38" spans="1:2" x14ac:dyDescent="0.2">
      <c r="A38" s="6" t="s">
        <v>113</v>
      </c>
      <c r="B38" s="28">
        <f t="shared" ref="B38:B48" si="6">D6</f>
        <v>298</v>
      </c>
    </row>
    <row r="39" spans="1:2" x14ac:dyDescent="0.2">
      <c r="A39" s="6" t="s">
        <v>114</v>
      </c>
      <c r="B39" s="28">
        <f t="shared" si="6"/>
        <v>-2576</v>
      </c>
    </row>
    <row r="40" spans="1:2" x14ac:dyDescent="0.2">
      <c r="A40" s="6" t="s">
        <v>115</v>
      </c>
      <c r="B40" s="28">
        <f t="shared" si="6"/>
        <v>1123</v>
      </c>
    </row>
    <row r="41" spans="1:2" x14ac:dyDescent="0.2">
      <c r="A41" s="6" t="s">
        <v>116</v>
      </c>
      <c r="B41" s="28">
        <f t="shared" si="6"/>
        <v>2145</v>
      </c>
    </row>
    <row r="42" spans="1:2" x14ac:dyDescent="0.2">
      <c r="A42" s="6" t="s">
        <v>117</v>
      </c>
      <c r="B42" s="28">
        <f t="shared" si="6"/>
        <v>12863</v>
      </c>
    </row>
    <row r="43" spans="1:2" x14ac:dyDescent="0.2">
      <c r="A43" s="6" t="s">
        <v>118</v>
      </c>
      <c r="B43" s="28">
        <f t="shared" si="6"/>
        <v>16524</v>
      </c>
    </row>
    <row r="44" spans="1:2" x14ac:dyDescent="0.2">
      <c r="A44" s="6" t="s">
        <v>119</v>
      </c>
      <c r="B44" s="28">
        <f t="shared" si="6"/>
        <v>-3</v>
      </c>
    </row>
    <row r="45" spans="1:2" x14ac:dyDescent="0.2">
      <c r="A45" s="6" t="s">
        <v>120</v>
      </c>
      <c r="B45" s="28">
        <f t="shared" si="6"/>
        <v>-39109</v>
      </c>
    </row>
    <row r="46" spans="1:2" x14ac:dyDescent="0.2">
      <c r="A46" s="6" t="s">
        <v>121</v>
      </c>
      <c r="B46" s="28">
        <f t="shared" si="6"/>
        <v>-18304</v>
      </c>
    </row>
    <row r="47" spans="1:2" x14ac:dyDescent="0.2">
      <c r="A47" s="6" t="s">
        <v>122</v>
      </c>
      <c r="B47" s="28">
        <f t="shared" si="6"/>
        <v>25992</v>
      </c>
    </row>
    <row r="48" spans="1:2" x14ac:dyDescent="0.2">
      <c r="A48" s="6" t="s">
        <v>123</v>
      </c>
      <c r="B48" s="28">
        <f t="shared" si="6"/>
        <v>53506</v>
      </c>
    </row>
    <row r="49" spans="1:2" x14ac:dyDescent="0.2">
      <c r="A49" s="13" t="s">
        <v>112</v>
      </c>
      <c r="B49" s="29">
        <f>SUM(B38:B48)</f>
        <v>52459</v>
      </c>
    </row>
    <row r="51" spans="1:2" x14ac:dyDescent="0.2">
      <c r="A51" s="19" t="s">
        <v>261</v>
      </c>
    </row>
    <row r="52" spans="1:2" x14ac:dyDescent="0.2">
      <c r="A52" s="12" t="s">
        <v>131</v>
      </c>
      <c r="B52" s="14">
        <f>'01_Timeseries'!B14</f>
        <v>695617</v>
      </c>
    </row>
    <row r="53" spans="1:2" x14ac:dyDescent="0.2">
      <c r="A53" s="12" t="s">
        <v>262</v>
      </c>
      <c r="B53" s="29">
        <f>'01_Timeseries'!F14</f>
        <v>8909</v>
      </c>
    </row>
    <row r="54" spans="1:2" x14ac:dyDescent="0.2">
      <c r="A54" s="12" t="s">
        <v>263</v>
      </c>
      <c r="B54" s="16">
        <f>'01_Timeseries'!G14</f>
        <v>1.297349091608078E-2</v>
      </c>
    </row>
    <row r="55" spans="1:2" x14ac:dyDescent="0.2">
      <c r="A55" s="12" t="s">
        <v>264</v>
      </c>
      <c r="B55" s="16">
        <f>'01_Timeseries'!B14/'01_Timeseries'!B5-1</f>
        <v>8.1564716601519427E-2</v>
      </c>
    </row>
    <row r="56" spans="1:2" x14ac:dyDescent="0.2">
      <c r="A56" s="12" t="s">
        <v>265</v>
      </c>
      <c r="B56" s="17">
        <f>'01_Timeseries'!E14</f>
        <v>0.34725287047326331</v>
      </c>
    </row>
    <row r="57" spans="1:2" x14ac:dyDescent="0.2">
      <c r="A57" s="12" t="s">
        <v>266</v>
      </c>
      <c r="B57" s="30">
        <f>('01_Timeseries'!E14-'01_Timeseries'!E5)*100</f>
        <v>-2.0630293539312117</v>
      </c>
    </row>
    <row r="58" spans="1:2" x14ac:dyDescent="0.2">
      <c r="A58" s="12" t="s">
        <v>267</v>
      </c>
      <c r="B58" s="17">
        <f>'02_Age_Gender'!AE16/'01_Timeseries'!B14</f>
        <v>0.4401171909254662</v>
      </c>
    </row>
    <row r="59" spans="1:2" x14ac:dyDescent="0.2">
      <c r="A59" s="12" t="s">
        <v>268</v>
      </c>
      <c r="B59" s="17">
        <f>'06_Juniors'!J15/'01_Timeseries'!B14</f>
        <v>6.1525235869738661E-2</v>
      </c>
    </row>
    <row r="60" spans="1:2" x14ac:dyDescent="0.2">
      <c r="A60" s="12" t="s">
        <v>269</v>
      </c>
      <c r="B60" s="16">
        <f>'06_Juniors'!J15/'06_Juniors'!J6-1</f>
        <v>-2.6278069756330624E-2</v>
      </c>
    </row>
    <row r="61" spans="1:2" x14ac:dyDescent="0.2">
      <c r="A61" s="12" t="s">
        <v>270</v>
      </c>
      <c r="B61" s="14">
        <f>'01_Timeseries'!I14</f>
        <v>721</v>
      </c>
    </row>
    <row r="62" spans="1:2" x14ac:dyDescent="0.2">
      <c r="A62" s="12" t="s">
        <v>271</v>
      </c>
      <c r="B62" s="25">
        <f>'01_Timeseries'!B14/83577140*1000</f>
        <v>8.3230534091020587</v>
      </c>
    </row>
    <row r="63" spans="1:2" x14ac:dyDescent="0.2">
      <c r="A63" s="12" t="s">
        <v>272</v>
      </c>
      <c r="B63" s="25">
        <f>'07_Funnel'!B15</f>
        <v>9.8706896551724146</v>
      </c>
    </row>
    <row r="64" spans="1:2" x14ac:dyDescent="0.2">
      <c r="A64" s="12" t="s">
        <v>273</v>
      </c>
      <c r="B64" s="20">
        <f>'07_Funnel'!B19</f>
        <v>3.49</v>
      </c>
    </row>
    <row r="65" spans="1:2" x14ac:dyDescent="0.2">
      <c r="A65" s="12" t="s">
        <v>274</v>
      </c>
      <c r="B65" s="25">
        <f>'08_Europe'!H6</f>
        <v>53.307071937218645</v>
      </c>
    </row>
  </sheetData>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F31"/>
  <sheetViews>
    <sheetView workbookViewId="0">
      <selection activeCell="H24" sqref="H24"/>
    </sheetView>
  </sheetViews>
  <sheetFormatPr baseColWidth="10" defaultColWidth="8.83203125" defaultRowHeight="15" x14ac:dyDescent="0.2"/>
  <cols>
    <col min="1" max="1" width="22" customWidth="1"/>
    <col min="2" max="2" width="62" customWidth="1"/>
    <col min="3" max="3" width="26" customWidth="1"/>
    <col min="4" max="5" width="13" customWidth="1"/>
    <col min="6" max="6" width="46" customWidth="1"/>
  </cols>
  <sheetData>
    <row r="1" spans="1:6" ht="19" x14ac:dyDescent="0.25">
      <c r="A1" s="1" t="s">
        <v>275</v>
      </c>
    </row>
    <row r="2" spans="1:6" x14ac:dyDescent="0.2">
      <c r="A2" s="2" t="s">
        <v>276</v>
      </c>
    </row>
    <row r="4" spans="1:6" ht="30" customHeight="1" x14ac:dyDescent="0.2">
      <c r="A4" s="5" t="s">
        <v>277</v>
      </c>
      <c r="B4" s="5" t="s">
        <v>278</v>
      </c>
      <c r="C4" s="5" t="s">
        <v>279</v>
      </c>
      <c r="D4" s="5" t="s">
        <v>280</v>
      </c>
      <c r="E4" s="5" t="s">
        <v>281</v>
      </c>
      <c r="F4" s="5" t="s">
        <v>282</v>
      </c>
    </row>
    <row r="5" spans="1:6" ht="16" x14ac:dyDescent="0.2">
      <c r="A5" s="6" t="s">
        <v>283</v>
      </c>
      <c r="B5" s="31" t="s">
        <v>284</v>
      </c>
      <c r="C5" s="31" t="s">
        <v>284</v>
      </c>
      <c r="D5" s="32"/>
      <c r="E5" s="32"/>
      <c r="F5" s="12" t="s">
        <v>285</v>
      </c>
    </row>
    <row r="6" spans="1:6" ht="16" x14ac:dyDescent="0.2">
      <c r="A6" s="6" t="s">
        <v>286</v>
      </c>
      <c r="B6" s="31" t="s">
        <v>284</v>
      </c>
      <c r="C6" s="31" t="s">
        <v>284</v>
      </c>
      <c r="D6" s="32"/>
      <c r="E6" s="32"/>
      <c r="F6" s="12" t="s">
        <v>287</v>
      </c>
    </row>
    <row r="7" spans="1:6" ht="16" x14ac:dyDescent="0.2">
      <c r="A7" s="6" t="s">
        <v>288</v>
      </c>
      <c r="B7" s="31" t="s">
        <v>284</v>
      </c>
      <c r="C7" s="32"/>
      <c r="D7" s="32"/>
      <c r="E7" s="32"/>
      <c r="F7" s="12" t="s">
        <v>289</v>
      </c>
    </row>
    <row r="8" spans="1:6" ht="16" x14ac:dyDescent="0.2">
      <c r="A8" s="6" t="s">
        <v>290</v>
      </c>
      <c r="B8" s="31" t="s">
        <v>284</v>
      </c>
      <c r="C8" s="32"/>
      <c r="D8" s="32"/>
      <c r="E8" s="32"/>
      <c r="F8" s="12" t="s">
        <v>291</v>
      </c>
    </row>
    <row r="9" spans="1:6" ht="16" x14ac:dyDescent="0.2">
      <c r="A9" s="6" t="s">
        <v>292</v>
      </c>
      <c r="B9" s="31" t="s">
        <v>284</v>
      </c>
      <c r="C9" s="31" t="s">
        <v>284</v>
      </c>
      <c r="D9" s="31" t="s">
        <v>284</v>
      </c>
      <c r="E9" s="31" t="s">
        <v>284</v>
      </c>
      <c r="F9" s="12" t="s">
        <v>293</v>
      </c>
    </row>
    <row r="10" spans="1:6" ht="16" x14ac:dyDescent="0.2">
      <c r="A10" s="6" t="s">
        <v>294</v>
      </c>
      <c r="B10" s="31" t="s">
        <v>284</v>
      </c>
      <c r="C10" s="31" t="s">
        <v>284</v>
      </c>
      <c r="D10" s="31" t="s">
        <v>284</v>
      </c>
      <c r="E10" s="31" t="s">
        <v>284</v>
      </c>
      <c r="F10" s="12" t="s">
        <v>295</v>
      </c>
    </row>
    <row r="11" spans="1:6" ht="16" x14ac:dyDescent="0.2">
      <c r="A11" s="6" t="s">
        <v>296</v>
      </c>
      <c r="B11" s="31" t="s">
        <v>284</v>
      </c>
      <c r="C11" s="32"/>
      <c r="D11" s="32"/>
      <c r="E11" s="32"/>
      <c r="F11" s="12" t="s">
        <v>297</v>
      </c>
    </row>
    <row r="12" spans="1:6" ht="16" x14ac:dyDescent="0.2">
      <c r="A12" s="6" t="s">
        <v>298</v>
      </c>
      <c r="B12" s="32"/>
      <c r="C12" s="31" t="s">
        <v>284</v>
      </c>
      <c r="D12" s="32"/>
      <c r="E12" s="32"/>
      <c r="F12" s="12" t="s">
        <v>299</v>
      </c>
    </row>
    <row r="13" spans="1:6" ht="16" x14ac:dyDescent="0.2">
      <c r="A13" s="6" t="s">
        <v>300</v>
      </c>
      <c r="B13" s="32"/>
      <c r="C13" s="32"/>
      <c r="D13" s="31" t="s">
        <v>284</v>
      </c>
      <c r="E13" s="31" t="s">
        <v>284</v>
      </c>
      <c r="F13" s="12" t="s">
        <v>301</v>
      </c>
    </row>
    <row r="14" spans="1:6" ht="16" x14ac:dyDescent="0.2">
      <c r="A14" s="6" t="s">
        <v>302</v>
      </c>
      <c r="B14" s="32"/>
      <c r="C14" s="32"/>
      <c r="D14" s="31" t="s">
        <v>284</v>
      </c>
      <c r="E14" s="31" t="s">
        <v>284</v>
      </c>
      <c r="F14" s="12" t="s">
        <v>303</v>
      </c>
    </row>
    <row r="15" spans="1:6" ht="16" x14ac:dyDescent="0.2">
      <c r="A15" s="6" t="s">
        <v>304</v>
      </c>
      <c r="B15" s="32"/>
      <c r="C15" s="32"/>
      <c r="D15" s="31" t="s">
        <v>284</v>
      </c>
      <c r="E15" s="32"/>
      <c r="F15" s="12" t="s">
        <v>305</v>
      </c>
    </row>
    <row r="16" spans="1:6" ht="16" x14ac:dyDescent="0.2">
      <c r="A16" s="6" t="s">
        <v>306</v>
      </c>
      <c r="B16" s="32"/>
      <c r="C16" s="32"/>
      <c r="D16" s="31" t="s">
        <v>284</v>
      </c>
      <c r="E16" s="32"/>
      <c r="F16" s="12" t="s">
        <v>307</v>
      </c>
    </row>
    <row r="17" spans="1:6" ht="16" x14ac:dyDescent="0.2">
      <c r="A17" s="6" t="s">
        <v>308</v>
      </c>
      <c r="B17" s="32"/>
      <c r="C17" s="32"/>
      <c r="D17" s="31" t="s">
        <v>284</v>
      </c>
      <c r="E17" s="32"/>
      <c r="F17" s="12" t="s">
        <v>309</v>
      </c>
    </row>
    <row r="18" spans="1:6" ht="16" x14ac:dyDescent="0.2">
      <c r="A18" s="6" t="s">
        <v>310</v>
      </c>
      <c r="B18" s="32"/>
      <c r="C18" s="31" t="s">
        <v>284</v>
      </c>
      <c r="D18" s="32"/>
      <c r="E18" s="32"/>
      <c r="F18" s="12" t="s">
        <v>311</v>
      </c>
    </row>
    <row r="19" spans="1:6" ht="16" x14ac:dyDescent="0.2">
      <c r="A19" s="6" t="s">
        <v>312</v>
      </c>
      <c r="B19" s="32"/>
      <c r="C19" s="31" t="s">
        <v>284</v>
      </c>
      <c r="D19" s="32"/>
      <c r="E19" s="32"/>
      <c r="F19" s="12" t="s">
        <v>313</v>
      </c>
    </row>
    <row r="20" spans="1:6" ht="16" x14ac:dyDescent="0.2">
      <c r="A20" s="6" t="s">
        <v>314</v>
      </c>
      <c r="B20" s="31" t="s">
        <v>284</v>
      </c>
      <c r="C20" s="32"/>
      <c r="D20" s="32"/>
      <c r="E20" s="31" t="s">
        <v>284</v>
      </c>
      <c r="F20" s="12" t="s">
        <v>315</v>
      </c>
    </row>
    <row r="21" spans="1:6" x14ac:dyDescent="0.2">
      <c r="A21" s="6" t="s">
        <v>316</v>
      </c>
      <c r="B21" s="32"/>
      <c r="C21" s="32"/>
      <c r="D21" s="32"/>
      <c r="E21" s="32"/>
      <c r="F21" s="12" t="s">
        <v>317</v>
      </c>
    </row>
    <row r="23" spans="1:6" x14ac:dyDescent="0.2">
      <c r="A23" s="19" t="s">
        <v>318</v>
      </c>
    </row>
    <row r="24" spans="1:6" ht="30" customHeight="1" x14ac:dyDescent="0.2">
      <c r="A24" s="5" t="s">
        <v>319</v>
      </c>
      <c r="B24" s="5" t="s">
        <v>320</v>
      </c>
      <c r="C24" s="5" t="s">
        <v>321</v>
      </c>
    </row>
    <row r="25" spans="1:6" x14ac:dyDescent="0.2">
      <c r="A25" s="33" t="s">
        <v>322</v>
      </c>
      <c r="B25" s="12" t="s">
        <v>323</v>
      </c>
      <c r="C25" s="12" t="s">
        <v>324</v>
      </c>
    </row>
    <row r="26" spans="1:6" x14ac:dyDescent="0.2">
      <c r="A26" s="33" t="s">
        <v>325</v>
      </c>
      <c r="B26" s="12" t="s">
        <v>326</v>
      </c>
      <c r="C26" s="12" t="s">
        <v>327</v>
      </c>
    </row>
    <row r="27" spans="1:6" x14ac:dyDescent="0.2">
      <c r="A27" s="33" t="s">
        <v>328</v>
      </c>
      <c r="B27" s="12" t="s">
        <v>329</v>
      </c>
      <c r="C27" s="12" t="s">
        <v>330</v>
      </c>
    </row>
    <row r="28" spans="1:6" x14ac:dyDescent="0.2">
      <c r="A28" s="33" t="s">
        <v>331</v>
      </c>
      <c r="B28" s="12" t="s">
        <v>332</v>
      </c>
      <c r="C28" s="12" t="s">
        <v>333</v>
      </c>
    </row>
    <row r="29" spans="1:6" x14ac:dyDescent="0.2">
      <c r="A29" s="33" t="s">
        <v>334</v>
      </c>
      <c r="B29" s="12" t="s">
        <v>335</v>
      </c>
      <c r="C29" s="12" t="s">
        <v>336</v>
      </c>
    </row>
    <row r="31" spans="1:6" x14ac:dyDescent="0.2">
      <c r="A31" s="2" t="s">
        <v>337</v>
      </c>
    </row>
  </sheetData>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E40"/>
  <sheetViews>
    <sheetView workbookViewId="0"/>
  </sheetViews>
  <sheetFormatPr baseColWidth="10" defaultColWidth="8.83203125" defaultRowHeight="15" x14ac:dyDescent="0.2"/>
  <cols>
    <col min="1" max="1" width="6" customWidth="1"/>
    <col min="2" max="2" width="34" customWidth="1"/>
    <col min="3" max="3" width="17" customWidth="1"/>
    <col min="4" max="4" width="15" customWidth="1"/>
    <col min="5" max="5" width="60" customWidth="1"/>
  </cols>
  <sheetData>
    <row r="1" spans="1:5" ht="19" x14ac:dyDescent="0.25">
      <c r="A1" s="1" t="s">
        <v>338</v>
      </c>
    </row>
    <row r="2" spans="1:5" x14ac:dyDescent="0.2">
      <c r="A2" s="2" t="s">
        <v>339</v>
      </c>
    </row>
    <row r="4" spans="1:5" x14ac:dyDescent="0.2">
      <c r="A4" s="19" t="s">
        <v>340</v>
      </c>
    </row>
    <row r="5" spans="1:5" ht="30" customHeight="1" x14ac:dyDescent="0.2">
      <c r="A5" s="5" t="s">
        <v>341</v>
      </c>
      <c r="B5" s="5" t="s">
        <v>342</v>
      </c>
      <c r="C5" s="5" t="s">
        <v>343</v>
      </c>
      <c r="D5" s="5" t="s">
        <v>344</v>
      </c>
      <c r="E5" s="5" t="s">
        <v>345</v>
      </c>
    </row>
    <row r="6" spans="1:5" ht="46" customHeight="1" x14ac:dyDescent="0.2">
      <c r="A6" s="32">
        <v>1</v>
      </c>
      <c r="B6" s="12" t="s">
        <v>346</v>
      </c>
      <c r="C6" s="12" t="s">
        <v>347</v>
      </c>
      <c r="D6" s="12" t="s">
        <v>348</v>
      </c>
      <c r="E6" s="34" t="s">
        <v>349</v>
      </c>
    </row>
    <row r="7" spans="1:5" ht="46" customHeight="1" x14ac:dyDescent="0.2">
      <c r="A7" s="32">
        <v>2</v>
      </c>
      <c r="B7" s="12" t="s">
        <v>350</v>
      </c>
      <c r="C7" s="12" t="s">
        <v>280</v>
      </c>
      <c r="D7" s="12" t="s">
        <v>351</v>
      </c>
      <c r="E7" s="34" t="s">
        <v>352</v>
      </c>
    </row>
    <row r="8" spans="1:5" ht="46" customHeight="1" x14ac:dyDescent="0.2">
      <c r="A8" s="32">
        <v>3</v>
      </c>
      <c r="B8" s="12" t="s">
        <v>353</v>
      </c>
      <c r="C8" s="12" t="s">
        <v>280</v>
      </c>
      <c r="D8" s="12" t="s">
        <v>354</v>
      </c>
      <c r="E8" s="34" t="s">
        <v>355</v>
      </c>
    </row>
    <row r="9" spans="1:5" ht="46" customHeight="1" x14ac:dyDescent="0.2">
      <c r="A9" s="32">
        <v>4</v>
      </c>
      <c r="B9" s="12" t="s">
        <v>356</v>
      </c>
      <c r="C9" s="12" t="s">
        <v>357</v>
      </c>
      <c r="D9" s="12" t="s">
        <v>358</v>
      </c>
      <c r="E9" s="34" t="s">
        <v>359</v>
      </c>
    </row>
    <row r="10" spans="1:5" ht="46" customHeight="1" x14ac:dyDescent="0.2">
      <c r="A10" s="32">
        <v>5</v>
      </c>
      <c r="B10" s="12" t="s">
        <v>360</v>
      </c>
      <c r="C10" s="12" t="s">
        <v>281</v>
      </c>
      <c r="D10" s="12" t="s">
        <v>361</v>
      </c>
      <c r="E10" s="34" t="s">
        <v>362</v>
      </c>
    </row>
    <row r="11" spans="1:5" ht="46" customHeight="1" x14ac:dyDescent="0.2">
      <c r="A11" s="32">
        <v>6</v>
      </c>
      <c r="B11" s="12" t="s">
        <v>363</v>
      </c>
      <c r="C11" s="12" t="s">
        <v>281</v>
      </c>
      <c r="D11" s="12" t="s">
        <v>361</v>
      </c>
      <c r="E11" s="34" t="s">
        <v>364</v>
      </c>
    </row>
    <row r="13" spans="1:5" x14ac:dyDescent="0.2">
      <c r="A13" s="19" t="s">
        <v>365</v>
      </c>
    </row>
    <row r="14" spans="1:5" ht="30" customHeight="1" x14ac:dyDescent="0.2">
      <c r="A14" s="5"/>
      <c r="B14" s="5" t="s">
        <v>366</v>
      </c>
      <c r="C14" s="5" t="s">
        <v>367</v>
      </c>
      <c r="D14" s="5"/>
      <c r="E14" s="5" t="s">
        <v>368</v>
      </c>
    </row>
    <row r="15" spans="1:5" ht="34" customHeight="1" x14ac:dyDescent="0.2">
      <c r="B15" s="33" t="s">
        <v>369</v>
      </c>
      <c r="C15" s="35" t="s">
        <v>370</v>
      </c>
      <c r="D15" s="6"/>
      <c r="E15" s="34" t="s">
        <v>371</v>
      </c>
    </row>
    <row r="16" spans="1:5" ht="34" customHeight="1" x14ac:dyDescent="0.2">
      <c r="B16" s="33" t="s">
        <v>372</v>
      </c>
      <c r="C16" s="35" t="s">
        <v>370</v>
      </c>
      <c r="D16" s="6"/>
      <c r="E16" s="34" t="s">
        <v>373</v>
      </c>
    </row>
    <row r="17" spans="2:5" ht="34" customHeight="1" x14ac:dyDescent="0.2">
      <c r="B17" s="33" t="s">
        <v>374</v>
      </c>
      <c r="C17" s="35" t="s">
        <v>370</v>
      </c>
      <c r="D17" s="6"/>
      <c r="E17" s="34" t="s">
        <v>375</v>
      </c>
    </row>
    <row r="18" spans="2:5" ht="34" customHeight="1" x14ac:dyDescent="0.2">
      <c r="B18" s="33" t="s">
        <v>376</v>
      </c>
      <c r="C18" s="35" t="s">
        <v>370</v>
      </c>
      <c r="D18" s="6"/>
      <c r="E18" s="34" t="s">
        <v>377</v>
      </c>
    </row>
    <row r="19" spans="2:5" ht="34" customHeight="1" x14ac:dyDescent="0.2">
      <c r="B19" s="33" t="s">
        <v>378</v>
      </c>
      <c r="C19" s="35" t="s">
        <v>370</v>
      </c>
      <c r="D19" s="6"/>
      <c r="E19" s="34" t="s">
        <v>379</v>
      </c>
    </row>
    <row r="20" spans="2:5" ht="34" customHeight="1" x14ac:dyDescent="0.2">
      <c r="B20" s="33" t="s">
        <v>380</v>
      </c>
      <c r="C20" s="35" t="s">
        <v>370</v>
      </c>
      <c r="D20" s="6"/>
      <c r="E20" s="34" t="s">
        <v>381</v>
      </c>
    </row>
    <row r="21" spans="2:5" ht="34" customHeight="1" x14ac:dyDescent="0.2">
      <c r="B21" s="33" t="s">
        <v>382</v>
      </c>
      <c r="C21" s="35" t="s">
        <v>370</v>
      </c>
      <c r="D21" s="6"/>
      <c r="E21" s="34" t="s">
        <v>383</v>
      </c>
    </row>
    <row r="22" spans="2:5" ht="34" customHeight="1" x14ac:dyDescent="0.2">
      <c r="B22" s="33" t="s">
        <v>384</v>
      </c>
      <c r="C22" s="35" t="s">
        <v>370</v>
      </c>
      <c r="D22" s="6"/>
      <c r="E22" s="34" t="s">
        <v>385</v>
      </c>
    </row>
    <row r="23" spans="2:5" ht="34" customHeight="1" x14ac:dyDescent="0.2">
      <c r="B23" s="33" t="s">
        <v>386</v>
      </c>
      <c r="C23" s="35" t="s">
        <v>370</v>
      </c>
      <c r="D23" s="6"/>
      <c r="E23" s="34" t="s">
        <v>387</v>
      </c>
    </row>
    <row r="24" spans="2:5" ht="34" customHeight="1" x14ac:dyDescent="0.2">
      <c r="B24" s="33" t="s">
        <v>388</v>
      </c>
      <c r="C24" s="35" t="s">
        <v>370</v>
      </c>
      <c r="D24" s="6"/>
      <c r="E24" s="34" t="s">
        <v>389</v>
      </c>
    </row>
    <row r="25" spans="2:5" ht="34" customHeight="1" x14ac:dyDescent="0.2">
      <c r="B25" s="33" t="s">
        <v>390</v>
      </c>
      <c r="C25" s="35" t="s">
        <v>370</v>
      </c>
      <c r="D25" s="6"/>
      <c r="E25" s="34" t="s">
        <v>391</v>
      </c>
    </row>
    <row r="26" spans="2:5" ht="34" customHeight="1" x14ac:dyDescent="0.2">
      <c r="B26" s="33" t="s">
        <v>392</v>
      </c>
      <c r="C26" s="35" t="s">
        <v>393</v>
      </c>
      <c r="D26" s="6"/>
      <c r="E26" s="34" t="s">
        <v>394</v>
      </c>
    </row>
    <row r="27" spans="2:5" ht="34" customHeight="1" x14ac:dyDescent="0.2">
      <c r="B27" s="33" t="s">
        <v>395</v>
      </c>
      <c r="C27" s="35" t="s">
        <v>393</v>
      </c>
      <c r="D27" s="6"/>
      <c r="E27" s="34" t="s">
        <v>396</v>
      </c>
    </row>
    <row r="28" spans="2:5" ht="34" customHeight="1" x14ac:dyDescent="0.2">
      <c r="B28" s="33" t="s">
        <v>397</v>
      </c>
      <c r="C28" s="35" t="s">
        <v>393</v>
      </c>
      <c r="D28" s="6"/>
      <c r="E28" s="34" t="s">
        <v>398</v>
      </c>
    </row>
    <row r="29" spans="2:5" ht="34" customHeight="1" x14ac:dyDescent="0.2">
      <c r="B29" s="33" t="s">
        <v>399</v>
      </c>
      <c r="C29" s="35" t="s">
        <v>393</v>
      </c>
      <c r="D29" s="6"/>
      <c r="E29" s="34" t="s">
        <v>400</v>
      </c>
    </row>
    <row r="30" spans="2:5" ht="34" customHeight="1" x14ac:dyDescent="0.2">
      <c r="B30" s="33" t="s">
        <v>401</v>
      </c>
      <c r="C30" s="35" t="s">
        <v>393</v>
      </c>
      <c r="D30" s="6"/>
      <c r="E30" s="34" t="s">
        <v>402</v>
      </c>
    </row>
    <row r="31" spans="2:5" ht="34" customHeight="1" x14ac:dyDescent="0.2">
      <c r="B31" s="33" t="s">
        <v>403</v>
      </c>
      <c r="C31" s="35" t="s">
        <v>393</v>
      </c>
      <c r="D31" s="6"/>
      <c r="E31" s="34" t="s">
        <v>404</v>
      </c>
    </row>
    <row r="33" spans="1:5" x14ac:dyDescent="0.2">
      <c r="A33" s="19" t="s">
        <v>405</v>
      </c>
    </row>
    <row r="34" spans="1:5" ht="34" customHeight="1" x14ac:dyDescent="0.2">
      <c r="B34" s="33" t="s">
        <v>406</v>
      </c>
      <c r="C34" s="6"/>
      <c r="D34" s="6"/>
      <c r="E34" s="34" t="s">
        <v>407</v>
      </c>
    </row>
    <row r="35" spans="1:5" ht="34" customHeight="1" x14ac:dyDescent="0.2">
      <c r="B35" s="33" t="s">
        <v>408</v>
      </c>
      <c r="C35" s="6"/>
      <c r="D35" s="6"/>
      <c r="E35" s="34" t="s">
        <v>409</v>
      </c>
    </row>
    <row r="36" spans="1:5" ht="34" customHeight="1" x14ac:dyDescent="0.2">
      <c r="B36" s="33" t="s">
        <v>410</v>
      </c>
      <c r="C36" s="6"/>
      <c r="D36" s="6"/>
      <c r="E36" s="34" t="s">
        <v>411</v>
      </c>
    </row>
    <row r="37" spans="1:5" ht="34" customHeight="1" x14ac:dyDescent="0.2">
      <c r="B37" s="33" t="s">
        <v>412</v>
      </c>
      <c r="C37" s="6"/>
      <c r="D37" s="6"/>
      <c r="E37" s="34" t="s">
        <v>413</v>
      </c>
    </row>
    <row r="38" spans="1:5" ht="34" customHeight="1" x14ac:dyDescent="0.2">
      <c r="B38" s="33" t="s">
        <v>414</v>
      </c>
      <c r="C38" s="6"/>
      <c r="D38" s="6"/>
      <c r="E38" s="34" t="s">
        <v>415</v>
      </c>
    </row>
    <row r="39" spans="1:5" ht="34" customHeight="1" x14ac:dyDescent="0.2">
      <c r="B39" s="33" t="s">
        <v>416</v>
      </c>
      <c r="C39" s="6"/>
      <c r="D39" s="6"/>
      <c r="E39" s="34" t="s">
        <v>417</v>
      </c>
    </row>
    <row r="40" spans="1:5" ht="34" customHeight="1" x14ac:dyDescent="0.2">
      <c r="B40" s="33" t="s">
        <v>418</v>
      </c>
      <c r="C40" s="6"/>
      <c r="D40" s="6"/>
      <c r="E40" s="34" t="s">
        <v>419</v>
      </c>
    </row>
  </sheetData>
  <pageMargins left="0.75" right="0.75" top="1" bottom="1"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B2:M67"/>
  <sheetViews>
    <sheetView showGridLines="0" tabSelected="1" topLeftCell="A3" zoomScale="116" workbookViewId="0">
      <selection activeCell="G16" sqref="G16"/>
    </sheetView>
  </sheetViews>
  <sheetFormatPr baseColWidth="10" defaultColWidth="8.83203125" defaultRowHeight="15" x14ac:dyDescent="0.2"/>
  <cols>
    <col min="1" max="1" width="2" customWidth="1"/>
    <col min="2" max="12" width="17" customWidth="1"/>
    <col min="13" max="13" width="2" customWidth="1"/>
  </cols>
  <sheetData>
    <row r="2" spans="2:13" x14ac:dyDescent="0.2">
      <c r="B2" s="39" t="s">
        <v>0</v>
      </c>
      <c r="C2" s="40"/>
      <c r="D2" s="40"/>
      <c r="E2" s="40"/>
      <c r="F2" s="40"/>
      <c r="G2" s="40"/>
      <c r="H2" s="40"/>
      <c r="I2" s="40"/>
      <c r="J2" s="40"/>
      <c r="K2" s="40"/>
      <c r="L2" s="40"/>
    </row>
    <row r="3" spans="2:13" x14ac:dyDescent="0.2">
      <c r="B3" s="40"/>
      <c r="C3" s="40"/>
      <c r="D3" s="40"/>
      <c r="E3" s="40"/>
      <c r="F3" s="40"/>
      <c r="G3" s="40"/>
      <c r="H3" s="40"/>
      <c r="I3" s="40"/>
      <c r="J3" s="40"/>
      <c r="K3" s="40"/>
      <c r="L3" s="40"/>
    </row>
    <row r="4" spans="2:13" x14ac:dyDescent="0.2">
      <c r="B4" s="49" t="s">
        <v>1</v>
      </c>
      <c r="C4" s="38"/>
      <c r="D4" s="38"/>
      <c r="E4" s="38"/>
      <c r="F4" s="38"/>
      <c r="G4" s="38"/>
      <c r="H4" s="38"/>
      <c r="I4" s="38"/>
      <c r="J4" s="38"/>
      <c r="K4" s="38"/>
      <c r="L4" s="38"/>
    </row>
    <row r="6" spans="2:13" ht="16" customHeight="1" x14ac:dyDescent="0.2">
      <c r="B6" s="50" t="s">
        <v>2</v>
      </c>
      <c r="C6" s="40"/>
      <c r="D6" s="50" t="s">
        <v>3</v>
      </c>
      <c r="E6" s="40"/>
      <c r="F6" s="41" t="s">
        <v>4</v>
      </c>
      <c r="G6" s="42"/>
      <c r="H6" s="41" t="s">
        <v>5</v>
      </c>
      <c r="I6" s="42"/>
      <c r="J6" s="41" t="s">
        <v>6</v>
      </c>
      <c r="K6" s="42"/>
      <c r="L6" s="51" t="s">
        <v>7</v>
      </c>
      <c r="M6" s="52"/>
    </row>
    <row r="7" spans="2:13" ht="22" customHeight="1" x14ac:dyDescent="0.2">
      <c r="B7" s="45">
        <f>'11_Metrics'!B52</f>
        <v>695617</v>
      </c>
      <c r="C7" s="44"/>
      <c r="D7" s="43">
        <f>'11_Metrics'!B55</f>
        <v>8.1564716601519427E-2</v>
      </c>
      <c r="E7" s="44"/>
      <c r="F7" s="48">
        <f>'11_Metrics'!B56</f>
        <v>0.34725287047326331</v>
      </c>
      <c r="G7" s="44"/>
      <c r="H7" s="48">
        <f>'11_Metrics'!B58</f>
        <v>0.4401171909254662</v>
      </c>
      <c r="I7" s="44"/>
      <c r="J7" s="43">
        <f>'11_Metrics'!B60</f>
        <v>-2.6278069756330624E-2</v>
      </c>
      <c r="K7" s="44"/>
      <c r="L7" s="46">
        <f>'11_Metrics'!B63</f>
        <v>9.8706896551724146</v>
      </c>
      <c r="M7" s="44"/>
    </row>
    <row r="8" spans="2:13" ht="22" customHeight="1" x14ac:dyDescent="0.2">
      <c r="B8" s="38"/>
      <c r="C8" s="38"/>
      <c r="D8" s="38"/>
      <c r="E8" s="38"/>
      <c r="F8" s="38"/>
      <c r="G8" s="38"/>
      <c r="H8" s="38"/>
      <c r="I8" s="38"/>
      <c r="J8" s="38"/>
      <c r="K8" s="38"/>
      <c r="L8" s="38"/>
      <c r="M8" s="38"/>
    </row>
    <row r="10" spans="2:13" x14ac:dyDescent="0.2">
      <c r="B10" s="36" t="s">
        <v>420</v>
      </c>
      <c r="H10" s="36" t="s">
        <v>8</v>
      </c>
    </row>
    <row r="28" spans="2:8" x14ac:dyDescent="0.2">
      <c r="B28" s="36" t="s">
        <v>9</v>
      </c>
      <c r="H28" s="36" t="s">
        <v>10</v>
      </c>
    </row>
    <row r="46" spans="2:8" x14ac:dyDescent="0.2">
      <c r="B46" s="36" t="s">
        <v>11</v>
      </c>
      <c r="H46" s="36" t="s">
        <v>12</v>
      </c>
    </row>
    <row r="66" spans="2:12" x14ac:dyDescent="0.2">
      <c r="B66" s="47" t="s">
        <v>13</v>
      </c>
      <c r="C66" s="38"/>
      <c r="D66" s="38"/>
      <c r="E66" s="38"/>
      <c r="F66" s="38"/>
      <c r="G66" s="38"/>
      <c r="H66" s="38"/>
      <c r="I66" s="38"/>
      <c r="J66" s="38"/>
      <c r="K66" s="38"/>
      <c r="L66" s="38"/>
    </row>
    <row r="67" spans="2:12" x14ac:dyDescent="0.2">
      <c r="B67" s="38"/>
      <c r="C67" s="38"/>
      <c r="D67" s="38"/>
      <c r="E67" s="38"/>
      <c r="F67" s="38"/>
      <c r="G67" s="38"/>
      <c r="H67" s="38"/>
      <c r="I67" s="38"/>
      <c r="J67" s="38"/>
      <c r="K67" s="38"/>
      <c r="L67" s="38"/>
    </row>
  </sheetData>
  <mergeCells count="15">
    <mergeCell ref="B66:L67"/>
    <mergeCell ref="H7:I8"/>
    <mergeCell ref="F7:G8"/>
    <mergeCell ref="J7:K8"/>
    <mergeCell ref="B4:L4"/>
    <mergeCell ref="B6:C6"/>
    <mergeCell ref="D6:E6"/>
    <mergeCell ref="H6:I6"/>
    <mergeCell ref="L6:M6"/>
    <mergeCell ref="B2:L3"/>
    <mergeCell ref="F6:G6"/>
    <mergeCell ref="D7:E8"/>
    <mergeCell ref="B7:C8"/>
    <mergeCell ref="J6:K6"/>
    <mergeCell ref="L7:M8"/>
  </mergeCells>
  <pageMargins left="0.75" right="0.75" top="1" bottom="1" header="0.5" footer="0.5"/>
  <drawing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15</vt:i4>
      </vt:variant>
    </vt:vector>
  </HeadingPairs>
  <TitlesOfParts>
    <vt:vector size="15" baseType="lpstr">
      <vt:lpstr>00_README</vt:lpstr>
      <vt:lpstr>01_Timeseries</vt:lpstr>
      <vt:lpstr>02_Age_Gender</vt:lpstr>
      <vt:lpstr>03_Age_Long</vt:lpstr>
      <vt:lpstr>04_States</vt:lpstr>
      <vt:lpstr>05_States_Long</vt:lpstr>
      <vt:lpstr>06_Juniors</vt:lpstr>
      <vt:lpstr>07_Funnel</vt:lpstr>
      <vt:lpstr>08_Europe</vt:lpstr>
      <vt:lpstr>09_Federations</vt:lpstr>
      <vt:lpstr>10_History</vt:lpstr>
      <vt:lpstr>11_Metrics</vt:lpstr>
      <vt:lpstr>12_Chart_Selection</vt:lpstr>
      <vt:lpstr>13_Design_Rationale</vt:lpstr>
      <vt:lpstr>20_Dashboard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Adam Heier</cp:lastModifiedBy>
  <dcterms:created xsi:type="dcterms:W3CDTF">2026-09-24T00:14:30Z</dcterms:created>
  <dcterms:modified xsi:type="dcterms:W3CDTF">2026-09-24T00:40:02Z</dcterms:modified>
</cp:coreProperties>
</file>