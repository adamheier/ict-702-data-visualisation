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27C3A5B8-ADED-ED46-AF2D-501661D4A79B}"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2.10" hidden="1">'04_Funnel'!$H$5:$H$10</definedName>
    <definedName name="_xlchart.v2.8" hidden="1">'04_Funnel'!$A$5:$A$10</definedName>
    <definedName name="_xlchart.v2.9" hidden="1">'04_Funnel'!$H$4</definedName>
    <definedName name="_xlchart.v6.0" hidden="1">'03_States'!$A$31:$A$46</definedName>
    <definedName name="_xlchart.v6.1" hidden="1">'03_States'!$E$30</definedName>
    <definedName name="_xlchart.v6.11" hidden="1">'03_States'!$A$31:$A$46</definedName>
    <definedName name="_xlchart.v6.12" hidden="1">'03_States'!$E$30</definedName>
    <definedName name="_xlchart.v6.13" hidden="1">'03_States'!$E$31:$E$46</definedName>
    <definedName name="_xlchart.v6.14" hidden="1">'06_Metrics'!$A$20</definedName>
    <definedName name="_xlchart.v6.2" hidden="1">'03_States'!$E$31:$E$46</definedName>
    <definedName name="_xlchart.v6.3" hidden="1">'06_Metrics'!$A$20</definedName>
    <definedName name="_xlchart.v6.4" hidden="1">'03_States'!$A$31:$A$46</definedName>
    <definedName name="_xlchart.v6.5" hidden="1">'03_States'!$E$30</definedName>
    <definedName name="_xlchart.v6.6" hidden="1">'03_States'!$E$31:$E$46</definedName>
    <definedName name="_xlchart.v6.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12" l="1"/>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B9" i="15"/>
  <c r="L7" i="15"/>
  <c r="J7" i="15"/>
  <c r="H7" i="15"/>
  <c r="F7" i="15"/>
  <c r="D7" i="15"/>
  <c r="B7" i="15"/>
  <c r="J6" i="15"/>
  <c r="D6" i="1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<sst xmlns="http://schemas.openxmlformats.org/spreadsheetml/2006/main" count="369" uniqueCount="280">
  <si>
    <t>GROWING GOLF IN GERMANY   —   Participation Dashboard 2016–2025</t>
  </si>
  <si>
    <t>Audience: German Golf Federation (DGV), state associations and facility operators   |   Players as at 30 Sep 2025, facilities 31 Dec 2025   |   Sources: DGV; Allensbach/AWA; The R&amp;A; Destatis</t>
  </si>
  <si>
    <t>PLAYERS 2025</t>
  </si>
  <si>
    <t>FEMALE SHARE</t>
  </si>
  <si>
    <t>AGED 61+</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</si>
  <si>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</si>
  <si>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</si>
  <si>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</si>
  <si>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</si>
  <si>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</si>
  <si>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</si>
  <si>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</si>
  <si>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</si>
  <si>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</si>
  <si>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</si>
  <si>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</si>
  <si>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</si>
  <si>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</si>
  <si>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</si>
  <si>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</si>
  <si>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</si>
  <si>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</si>
  <si>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</si>
  <si>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</si>
  <si>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</si>
  <si>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</si>
  <si>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</si>
  <si>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</si>
  <si>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</si>
  <si>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</si>
  <si>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</si>
  <si>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</si>
  <si>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</si>
  <si>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</si>
  <si>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</si>
  <si>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</si>
  <si>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</si>
  <si>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</si>
  <si>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</si>
  <si>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</si>
  <si>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</si>
  <si>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</si>
  <si>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</si>
  <si>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</si>
  <si>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</si>
  <si>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</si>
  <si>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</si>
  <si>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</si>
  <si>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</si>
  <si>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</si>
  <si>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</si>
  <si>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</si>
  <si>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</si>
  <si>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</si>
  <si>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</si>
  <si>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</si>
  <si>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</si>
  <si>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</si>
  <si>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</si>
  <si>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</si>
  <si>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</si>
  <si>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</si>
  <si>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</si>
  <si>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</si>
  <si>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</si>
  <si>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</si>
  <si>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</si>
  <si>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</si>
  <si>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</si>
  <si>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</si>
  <si>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</si>
  <si>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</si>
  <si>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</si>
  <si>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</si>
  <si>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</si>
  <si>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</si>
  <si>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</si>
  <si>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</si>
  <si>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</si>
  <si>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</si>
  <si>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</si>
  <si>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</si>
  <si>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</si>
  <si>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</si>
  <si>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</si>
  <si>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</si>
  <si>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</si>
  <si>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</si>
  <si>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</si>
  <si>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</si>
  <si>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</si>
  <si>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</si>
  <si>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</si>
  <si>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</si>
  <si>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</si>
  <si>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</si>
  <si>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</si>
  <si>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</si>
  <si>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</si>
  <si>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</si>
  <si>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</si>
  <si>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</si>
  <si>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</si>
  <si>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</si>
  <si>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</si>
  <si>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</si>
  <si>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</si>
  <si>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</si>
  <si>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</si>
  <si>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</si>
  <si>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</si>
  <si>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</si>
  <si>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</si>
  <si>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</si>
  <si>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</si>
  <si>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</si>
  <si>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</si>
  <si>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</si>
  <si>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</si>
  <si>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</si>
  <si>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</si>
  <si>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</si>
  <si>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</si>
  <si>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</si>
  <si>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</si>
  <si>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</si>
  <si>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</si>
  <si>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</si>
  <si>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</si>
  <si>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</si>
  <si>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</si>
  <si>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</si>
  <si>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</si>
  <si>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</si>
  <si>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</si>
  <si>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</si>
  <si>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</si>
  <si>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</si>
  <si>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</si>
  <si>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</si>
  <si>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</si>
  <si>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</si>
  <si>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</si>
  <si>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</si>
  <si>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</si>
  <si>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</si>
  <si>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</si>
  <si>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</si>
  <si>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</si>
  <si>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</si>
  <si>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</si>
  <si>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</si>
  <si>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</si>
  <si>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</si>
  <si>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</si>
  <si>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</si>
  <si>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</si>
  <si>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</si>
  <si>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</si>
  <si>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</si>
  <si>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</si>
  <si>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</si>
  <si>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</si>
  <si>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</si>
  <si>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</si>
  <si>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</si>
  <si>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</si>
  <si>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</si>
  <si>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</si>
  <si>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</si>
  <si>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</si>
  <si>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</si>
  <si>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</si>
  <si>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</si>
  <si>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</si>
  <si>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</si>
  <si>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</si>
  <si>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</si>
  <si>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</si>
  <si>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</si>
  <si>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</si>
  <si>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</si>
  <si>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</si>
  <si>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</si>
  <si>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</si>
  <si>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</si>
  <si>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</si>
  <si>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</si>
  <si>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</si>
  <si>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</si>
  <si>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</si>
  <si>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</si>
  <si>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</si>
  <si>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</si>
  <si>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</si>
  <si>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</si>
  <si>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</si>
  <si>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</si>
  <si>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</si>
  <si>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</si>
  <si>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</si>
  <si>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</si>
  <si>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</si>
  <si>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</si>
  <si>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</si>
  <si>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</si>
  <si>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</si>
  <si>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</si>
  <si>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</si>
  <si>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</si>
  <si>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</si>
  <si>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</si>
  <si>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</si>
  <si>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</si>
  <si>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</si>
  <si>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</si>
  <si>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</si>
  <si>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</si>
  <si>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</si>
  <si>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</si>
  <si>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</si>
  <si>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</si>
  <si>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</si>
  <si>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</si>
  <si>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</si>
  <si>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</si>
  <si>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</si>
  <si>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</si>
  <si>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</si>
  <si>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</si>
  <si>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</si>
  <si>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</si>
  <si>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</si>
  <si>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</si>
  <si>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</si>
  <si>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</si>
  <si>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</si>
  <si>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</si>
  <si>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</si>
  <si>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</si>
  <si>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</si>
  <si>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</si>
  <si>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</si>
  <si>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</si>
  <si>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</si>
  <si>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</si>
  <si>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</si>
  <si>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</si>
  <si>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</si>
  <si>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</si>
  <si>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</si>
  <si>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</si>
  <si>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</si>
  <si>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</si>
  <si>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</si>
  <si>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</si>
  <si>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</si>
  <si>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</si>
  <si>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</si>
  <si>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</si>
  <si>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</si>
  <si>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</si>
  <si>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</si>
  <si>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</si>
  <si>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</si>
  <si>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</si>
  <si>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</si>
  <si>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</si>
  <si>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</si>
  <si>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</si>
  <si>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</si>
  <si>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</si>
  <si>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</si>
  <si>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</si>
  <si>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</si>
  <si>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</si>
  <si>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Indexed development, 2019 = 100</t>
  </si>
  <si>
    <t>Select A35:H38, then Insert &gt; Line with Markers. Grey = context, orange = the leak, blue = membership.</t>
  </si>
  <si>
    <t>Stage</t>
  </si>
  <si>
    <t>Play grew 17.0% between 2019 and 2025 while DGV membership grew 8.2%. People playing without a membership rose from 2.25m to 2.68m — an increase of 437,000 in six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</si>
</sst>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0" fontId="0" fillId="0" borderId="0" xfId="0"/>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10" fillId="7" borderId="0" xfId="0" applyFont="1" applyFill="1" applyAlignment="1">
      <alignment horizontal="center" vertical="center"/>
    </xf>
    <xf numFmtId="0" fontId="0" fillId="7" borderId="0" xfId="0" applyFill="1"/>
    <xf numFmtId="0" fontId="2" fillId="0" borderId="0" xfId="0" applyFont="1"/>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From awareness to membership, 2025 (millions)</cx:v>
        </cx:txData>
      </cx:tx>
      <cx:txPr>
        <a:bodyPr rot="0" spcFirstLastPara="1" vertOverflow="ellipsis" vert="horz" wrap="square" lIns="38100" tIns="19050" rIns="38100" bIns="19050" anchor="ctr" anchorCtr="1" compatLnSpc="0"/>
        <a:lstStyle/>
        <a:p>
          <a:pPr algn="ctr" rtl="0">
            <a:defRPr sz="1000" b="1" i="0" u="none" strike="noStrike" kern="1200" baseline="0">
              <a:solidFill>
                <a:sysClr val="windowText" lastClr="000000"/>
              </a:solidFill>
              <a:latin typeface="+mn-lt"/>
              <a:ea typeface="+mn-ea"/>
              <a:cs typeface="+mn-cs"/>
            </a:defRPr>
          </a:pPr>
          <a:r>
            <a:rPr kumimoji="0" lang="en-GB" sz="1000" b="1" i="0" u="none" strike="noStrike" kern="1200" cap="none" spc="0" normalizeH="0" baseline="0" noProof="0">
              <a:ln>
                <a:noFill/>
              </a:ln>
              <a:solidFill>
                <a:sysClr val="windowText" lastClr="000000"/>
              </a:solidFill>
              <a:effectLst/>
              <a:uLnTx/>
              <a:uFillTx/>
              <a:latin typeface="Calibri"/>
            </a:rPr>
            <a:t>From awareness to membership, 2025 (millions)</a:t>
          </a:r>
        </a:p>
      </cx:txPr>
    </cx:title>
    <cx:plotArea>
      <cx:plotAreaRegion>
        <cx:series layoutId="funnel" uniqueId="{0E9DE880-CC39-A243-A639-3B741B005283}">
          <cx:tx>
            <cx:txData>
              <cx:f>_xlchart.v2.9</cx:f>
              <cx:v>2025</cx:v>
            </cx:txData>
          </cx:tx>
          <cx:dataPt idx="0"/>
          <cx:dataPt idx="1"/>
          <cx:dataId val="0"/>
        </cx:series>
      </cx:plotAreaRegion>
      <cx:axis id="0">
        <cx:cat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24800" y="2413000"/>
              <a:ext cx="5544000" cy="295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4239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16"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7">
        <v>2016</v>
      </c>
      <c r="C4" s="37"/>
      <c r="D4" s="37"/>
      <c r="E4" s="47">
        <v>2017</v>
      </c>
      <c r="F4" s="37"/>
      <c r="G4" s="37"/>
      <c r="H4" s="47">
        <v>2018</v>
      </c>
      <c r="I4" s="37"/>
      <c r="J4" s="37"/>
      <c r="K4" s="47">
        <v>2019</v>
      </c>
      <c r="L4" s="37"/>
      <c r="M4" s="37"/>
      <c r="N4" s="47">
        <v>2020</v>
      </c>
      <c r="O4" s="37"/>
      <c r="P4" s="37"/>
      <c r="Q4" s="47">
        <v>2021</v>
      </c>
      <c r="R4" s="37"/>
      <c r="S4" s="37"/>
      <c r="T4" s="47">
        <v>2022</v>
      </c>
      <c r="U4" s="37"/>
      <c r="V4" s="37"/>
      <c r="W4" s="47">
        <v>2023</v>
      </c>
      <c r="X4" s="37"/>
      <c r="Y4" s="37"/>
      <c r="Z4" s="47">
        <v>2024</v>
      </c>
      <c r="AA4" s="37"/>
      <c r="AB4" s="37"/>
      <c r="AC4" s="47">
        <v>2025</v>
      </c>
      <c r="AD4" s="37"/>
      <c r="AE4" s="37"/>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workbookViewId="0">
      <selection activeCell="F19" sqref="F19"/>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B6/$B$6*100</f>
        <v>100</v>
      </c>
      <c r="C36" s="12">
        <f t="shared" si="1"/>
        <v>97.910447761194021</v>
      </c>
      <c r="D36" s="12">
        <f t="shared" si="1"/>
        <v>91.194029850746276</v>
      </c>
      <c r="E36" s="12">
        <f t="shared" si="1"/>
        <v>89.701492537313428</v>
      </c>
      <c r="F36" s="12">
        <f t="shared" si="1"/>
        <v>91.940298507462686</v>
      </c>
      <c r="G36" s="12">
        <f t="shared" si="1"/>
        <v>96.268656716417908</v>
      </c>
      <c r="H36" s="12">
        <f t="shared" si="1"/>
        <v>102.53731343283583</v>
      </c>
    </row>
    <row r="37" spans="1:8" x14ac:dyDescent="0.2">
      <c r="A37" s="6" t="s">
        <v>181</v>
      </c>
      <c r="B37" s="12">
        <f t="shared" ref="B37:H37" si="2">B8/$B$8*100</f>
        <v>100</v>
      </c>
      <c r="C37" s="12">
        <f t="shared" si="2"/>
        <v>105.19031141868511</v>
      </c>
      <c r="D37" s="12">
        <f t="shared" si="2"/>
        <v>108.65051903114187</v>
      </c>
      <c r="E37" s="12">
        <f t="shared" si="2"/>
        <v>107.9584775086505</v>
      </c>
      <c r="F37" s="12">
        <f t="shared" si="2"/>
        <v>113.14878892733564</v>
      </c>
      <c r="G37" s="12">
        <f t="shared" si="2"/>
        <v>119.03114186851211</v>
      </c>
      <c r="H37" s="12">
        <f t="shared" si="2"/>
        <v>116.95501730103805</v>
      </c>
    </row>
    <row r="38" spans="1:8" x14ac:dyDescent="0.2">
      <c r="A38" s="6" t="s">
        <v>165</v>
      </c>
      <c r="B38" s="12">
        <f t="shared" ref="B38:H38" si="3">B10/$B$10*100</f>
        <v>100</v>
      </c>
      <c r="C38" s="12">
        <f t="shared" si="3"/>
        <v>101.24416796267496</v>
      </c>
      <c r="D38" s="12">
        <f t="shared" si="3"/>
        <v>104.82115085536547</v>
      </c>
      <c r="E38" s="12">
        <f t="shared" si="3"/>
        <v>106.22083981337479</v>
      </c>
      <c r="F38" s="12">
        <f t="shared" si="3"/>
        <v>106.06531881804044</v>
      </c>
      <c r="G38" s="12">
        <f t="shared" si="3"/>
        <v>106.84292379471229</v>
      </c>
      <c r="H38" s="12">
        <f t="shared" si="3"/>
        <v>108.2426127527216</v>
      </c>
    </row>
    <row r="40" spans="1:8" x14ac:dyDescent="0.2">
      <c r="A40" s="2" t="s">
        <v>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5" zoomScale="108" zoomScaleNormal="183" workbookViewId="0">
      <selection activeCell="J83" sqref="J83"/>
    </sheetView>
  </sheetViews>
  <sheetFormatPr baseColWidth="10" defaultColWidth="8.83203125" defaultRowHeight="15" x14ac:dyDescent="0.2"/>
  <cols>
    <col min="1" max="1" width="2" customWidth="1"/>
    <col min="2" max="12" width="17" customWidth="1"/>
    <col min="13" max="13" width="2" customWidth="1"/>
  </cols>
  <sheetData>
    <row r="2" spans="2:13" x14ac:dyDescent="0.2">
      <c r="B2" s="31" t="s">
        <v>0</v>
      </c>
      <c r="C2" s="32"/>
      <c r="D2" s="32"/>
      <c r="E2" s="32"/>
      <c r="F2" s="32"/>
      <c r="G2" s="32"/>
      <c r="H2" s="32"/>
      <c r="I2" s="32"/>
      <c r="J2" s="32"/>
      <c r="K2" s="32"/>
      <c r="L2" s="32"/>
    </row>
    <row r="3" spans="2:13" x14ac:dyDescent="0.2">
      <c r="B3" s="32"/>
      <c r="C3" s="32"/>
      <c r="D3" s="32"/>
      <c r="E3" s="32"/>
      <c r="F3" s="32"/>
      <c r="G3" s="32"/>
      <c r="H3" s="32"/>
      <c r="I3" s="32"/>
      <c r="J3" s="32"/>
      <c r="K3" s="32"/>
      <c r="L3" s="32"/>
    </row>
    <row r="4" spans="2:13" x14ac:dyDescent="0.2">
      <c r="B4" s="42" t="s">
        <v>1</v>
      </c>
      <c r="C4" s="37"/>
      <c r="D4" s="37"/>
      <c r="E4" s="37"/>
      <c r="F4" s="37"/>
      <c r="G4" s="37"/>
      <c r="H4" s="37"/>
      <c r="I4" s="37"/>
      <c r="J4" s="37"/>
      <c r="K4" s="37"/>
      <c r="L4" s="37"/>
    </row>
    <row r="5" spans="2:13" ht="25" x14ac:dyDescent="0.2">
      <c r="B5" s="16" t="s">
        <v>263</v>
      </c>
      <c r="D5" s="30">
        <v>2021</v>
      </c>
      <c r="F5" s="2" t="s">
        <v>264</v>
      </c>
    </row>
    <row r="6" spans="2:13" ht="16" customHeight="1" x14ac:dyDescent="0.2">
      <c r="B6" s="43" t="s">
        <v>2</v>
      </c>
      <c r="C6" s="32"/>
      <c r="D6" s="43" t="str">
        <f>"GROWTH vs "&amp;'06_Metrics'!B68</f>
        <v>GROWTH vs 2021</v>
      </c>
      <c r="E6" s="32"/>
      <c r="F6" s="33" t="s">
        <v>3</v>
      </c>
      <c r="G6" s="34"/>
      <c r="H6" s="33" t="s">
        <v>4</v>
      </c>
      <c r="I6" s="34"/>
      <c r="J6" s="33" t="str">
        <f>"UNDER 19 vs "&amp;'06_Metrics'!B68</f>
        <v>UNDER 19 vs 2021</v>
      </c>
      <c r="K6" s="34"/>
      <c r="L6" s="44" t="s">
        <v>5</v>
      </c>
      <c r="M6" s="45"/>
    </row>
    <row r="7" spans="2:13" ht="22" customHeight="1" x14ac:dyDescent="0.2">
      <c r="B7" s="38">
        <f>'06_Metrics'!B52</f>
        <v>695617</v>
      </c>
      <c r="C7" s="36"/>
      <c r="D7" s="35">
        <f>'06_Metrics'!B74</f>
        <v>3.2098732460611012E-2</v>
      </c>
      <c r="E7" s="36"/>
      <c r="F7" s="41">
        <f>'06_Metrics'!B56</f>
        <v>0.34725287047326331</v>
      </c>
      <c r="G7" s="36"/>
      <c r="H7" s="41">
        <f>'06_Metrics'!B58</f>
        <v>0.4401171909254662</v>
      </c>
      <c r="I7" s="36"/>
      <c r="J7" s="41">
        <f>'06_Metrics'!B77</f>
        <v>-2.550207204335353E-2</v>
      </c>
      <c r="K7" s="36"/>
      <c r="L7" s="39">
        <f>'06_Metrics'!B63</f>
        <v>9.8706896551724146</v>
      </c>
      <c r="M7" s="36"/>
    </row>
    <row r="8" spans="2:13" ht="22" customHeight="1" x14ac:dyDescent="0.2">
      <c r="B8" s="37"/>
      <c r="C8" s="37"/>
      <c r="D8" s="37"/>
      <c r="E8" s="37"/>
      <c r="F8" s="37"/>
      <c r="G8" s="37"/>
      <c r="H8" s="37"/>
      <c r="I8" s="37"/>
      <c r="J8" s="37"/>
      <c r="K8" s="37"/>
      <c r="L8" s="37"/>
      <c r="M8" s="37"/>
    </row>
    <row r="9" spans="2:13" x14ac:dyDescent="0.2">
      <c r="B9" s="46"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7"/>
      <c r="D9" s="37"/>
      <c r="E9" s="37"/>
      <c r="F9" s="37"/>
      <c r="G9" s="37"/>
      <c r="H9" s="37"/>
      <c r="I9" s="37"/>
      <c r="J9" s="37"/>
      <c r="K9" s="37"/>
      <c r="L9" s="37"/>
      <c r="M9" s="37"/>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40" t="s">
        <v>11</v>
      </c>
      <c r="C67" s="37"/>
      <c r="D67" s="37"/>
      <c r="E67" s="37"/>
      <c r="F67" s="37"/>
      <c r="G67" s="37"/>
      <c r="H67" s="37"/>
      <c r="I67" s="37"/>
      <c r="J67" s="37"/>
      <c r="K67" s="37"/>
      <c r="L67" s="37"/>
    </row>
    <row r="68" spans="2:12" x14ac:dyDescent="0.2">
      <c r="B68" s="37"/>
      <c r="C68" s="37"/>
      <c r="D68" s="37"/>
      <c r="E68" s="37"/>
      <c r="F68" s="37"/>
      <c r="G68" s="37"/>
      <c r="H68" s="37"/>
      <c r="I68" s="37"/>
      <c r="J68" s="37"/>
      <c r="K68" s="37"/>
      <c r="L68" s="37"/>
    </row>
  </sheetData>
  <mergeCells count="16">
    <mergeCell ref="B67:L68"/>
    <mergeCell ref="H7:I8"/>
    <mergeCell ref="F7:G8"/>
    <mergeCell ref="J7:K8"/>
    <mergeCell ref="B4:L4"/>
    <mergeCell ref="B6:C6"/>
    <mergeCell ref="D6:E6"/>
    <mergeCell ref="H6:I6"/>
    <mergeCell ref="L6:M6"/>
    <mergeCell ref="B9:M9"/>
    <mergeCell ref="B2:L3"/>
    <mergeCell ref="F6:G6"/>
    <mergeCell ref="D7:E8"/>
    <mergeCell ref="B7:C8"/>
    <mergeCell ref="J6:K6"/>
    <mergeCell ref="L7:M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2026-09-24T14:29:09Z</dcterms:modified>
</cp:coreProperties>
</file>