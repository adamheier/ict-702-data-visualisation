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WebImage.xml" ContentType="application/vnd.ms-excel.rdrichvaluewebimage+xml"/>
  <Override PartName="/xl/richData/rdrichvalue.xml" ContentType="application/vnd.ms-excel.rdrichvalue+xml"/>
  <Override PartName="/xl/richData/rdrichvaluestructure.xml" ContentType="application/vnd.ms-excel.rdrichvaluestructure+xml"/>
  <Override PartName="/xl/richData/rdarray.xml" ContentType="application/vnd.ms-excel.rdarray+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charts/chart1.xml" ContentType="application/vnd.openxmlformats-officedocument.drawingml.chart+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Ex2.xml" ContentType="application/vnd.ms-office.chartex+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adamheier/Documents/Auslandssemester/Kurse/ict-702-data-visualisation/task_2/"/>
    </mc:Choice>
  </mc:AlternateContent>
  <xr:revisionPtr revIDLastSave="0" documentId="13_ncr:1_{EE7C86B7-CF96-9D40-A744-5887205F70A1}" xr6:coauthVersionLast="47" xr6:coauthVersionMax="47" xr10:uidLastSave="{00000000-0000-0000-0000-000000000000}"/>
  <bookViews>
    <workbookView xWindow="0" yWindow="660" windowWidth="29400" windowHeight="17180" activeTab="7" xr2:uid="{00000000-000D-0000-FFFF-FFFF00000000}"/>
  </bookViews>
  <sheets>
    <sheet name="00_README" sheetId="1" r:id="rId1"/>
    <sheet name="01_Timeseries" sheetId="2" r:id="rId2"/>
    <sheet name="02_Age_Gender" sheetId="3" r:id="rId3"/>
    <sheet name="03_States" sheetId="5" r:id="rId4"/>
    <sheet name="04_Funnel" sheetId="8" r:id="rId5"/>
    <sheet name="05_Europe" sheetId="9" r:id="rId6"/>
    <sheet name="06_Metrics" sheetId="12" r:id="rId7"/>
    <sheet name="20_Dashboard" sheetId="15" r:id="rId8"/>
  </sheets>
  <definedNames>
    <definedName name="_xlchart.v1.0" hidden="1">'04_Funnel'!$A$5:$A$10</definedName>
    <definedName name="_xlchart.v1.1" hidden="1">'04_Funnel'!$H$4</definedName>
    <definedName name="_xlchart.v1.16" hidden="1">'04_Funnel'!$A$5:$A$10</definedName>
    <definedName name="_xlchart.v1.17" hidden="1">'04_Funnel'!$H$4</definedName>
    <definedName name="_xlchart.v1.18" hidden="1">'04_Funnel'!$H$5:$H$10</definedName>
    <definedName name="_xlchart.v1.2" hidden="1">'04_Funnel'!$H$5:$H$10</definedName>
    <definedName name="_xlchart.v1.22" hidden="1">'04_Funnel'!$A$5:$A$10</definedName>
    <definedName name="_xlchart.v1.23" hidden="1">'04_Funnel'!$H$4</definedName>
    <definedName name="_xlchart.v1.24" hidden="1">'04_Funnel'!$H$5:$H$10</definedName>
    <definedName name="_xlchart.v1.3" hidden="1">'04_Funnel'!$A$5:$A$10</definedName>
    <definedName name="_xlchart.v1.4" hidden="1">'04_Funnel'!$H$4</definedName>
    <definedName name="_xlchart.v1.5" hidden="1">'04_Funnel'!$H$5:$H$10</definedName>
    <definedName name="_xlchart.v1.6" hidden="1">'04_Funnel'!$A$5:$A$10</definedName>
    <definedName name="_xlchart.v1.7" hidden="1">'04_Funnel'!$H$4</definedName>
    <definedName name="_xlchart.v1.8" hidden="1">'04_Funnel'!$H$5:$H$10</definedName>
    <definedName name="_xlchart.v2.13" hidden="1">'04_Funnel'!$A$5:$A$10</definedName>
    <definedName name="_xlchart.v2.14" hidden="1">'04_Funnel'!$H$4</definedName>
    <definedName name="_xlchart.v2.15" hidden="1">'04_Funnel'!$H$5:$H$10</definedName>
    <definedName name="_xlchart.v2.19" hidden="1">'04_Funnel'!$A$5:$A$10</definedName>
    <definedName name="_xlchart.v2.20" hidden="1">'04_Funnel'!$H$4</definedName>
    <definedName name="_xlchart.v2.21" hidden="1">'04_Funnel'!$H$5:$H$10</definedName>
    <definedName name="_xlchart.v2.25" hidden="1">'04_Funnel'!$A$5:$A$10</definedName>
    <definedName name="_xlchart.v2.26" hidden="1">'04_Funnel'!$H$4</definedName>
    <definedName name="_xlchart.v2.27" hidden="1">'04_Funnel'!$H$5:$H$10</definedName>
    <definedName name="_xlchart.v2.28" hidden="1">'04_Funnel'!$A$5:$A$10</definedName>
    <definedName name="_xlchart.v2.29" hidden="1">'04_Funnel'!$H$4</definedName>
    <definedName name="_xlchart.v2.30" hidden="1">'04_Funnel'!$H$5:$H$10</definedName>
    <definedName name="_xlchart.v2.31" hidden="1">'04_Funnel'!$A$5:$A$10</definedName>
    <definedName name="_xlchart.v2.32" hidden="1">'04_Funnel'!$H$4</definedName>
    <definedName name="_xlchart.v2.33" hidden="1">'04_Funnel'!$H$5:$H$10</definedName>
    <definedName name="_xlchart.v2.34" hidden="1">'04_Funnel'!$A$5:$A$10</definedName>
    <definedName name="_xlchart.v2.35" hidden="1">'04_Funnel'!$H$4</definedName>
    <definedName name="_xlchart.v2.36" hidden="1">'04_Funnel'!$H$5:$H$10</definedName>
    <definedName name="_xlchart.v6.10" hidden="1">'03_States'!$E$30</definedName>
    <definedName name="_xlchart.v6.11" hidden="1">'03_States'!$E$31:$E$46</definedName>
    <definedName name="_xlchart.v6.12" hidden="1">'06_Metrics'!$A$20</definedName>
    <definedName name="_xlchart.v6.9" hidden="1">'03_States'!$A$31:$A$46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5" i="8" l="1"/>
  <c r="B27" i="8"/>
  <c r="B68" i="12"/>
  <c r="J6" i="15" s="1"/>
  <c r="B65" i="12"/>
  <c r="B64" i="12"/>
  <c r="B63" i="12"/>
  <c r="B62" i="12"/>
  <c r="B61" i="12"/>
  <c r="B60" i="12"/>
  <c r="B59" i="12"/>
  <c r="B58" i="12"/>
  <c r="B57" i="12"/>
  <c r="B56" i="12"/>
  <c r="B55" i="12"/>
  <c r="B54" i="12"/>
  <c r="B53" i="12"/>
  <c r="B52" i="12"/>
  <c r="B49" i="12"/>
  <c r="B48" i="12"/>
  <c r="B47" i="12"/>
  <c r="B46" i="12"/>
  <c r="B45" i="12"/>
  <c r="B44" i="12"/>
  <c r="B43" i="12"/>
  <c r="B42" i="12"/>
  <c r="B41" i="12"/>
  <c r="B40" i="12"/>
  <c r="B39" i="12"/>
  <c r="B38" i="12"/>
  <c r="H32" i="12"/>
  <c r="G32" i="12"/>
  <c r="F32" i="12"/>
  <c r="E32" i="12"/>
  <c r="D32" i="12"/>
  <c r="C32" i="12"/>
  <c r="B32" i="12"/>
  <c r="A32" i="12"/>
  <c r="H31" i="12"/>
  <c r="G31" i="12"/>
  <c r="F31" i="12"/>
  <c r="E31" i="12"/>
  <c r="D31" i="12"/>
  <c r="C31" i="12"/>
  <c r="B31" i="12"/>
  <c r="A31" i="12"/>
  <c r="H30" i="12"/>
  <c r="G30" i="12"/>
  <c r="F30" i="12"/>
  <c r="E30" i="12"/>
  <c r="D30" i="12"/>
  <c r="C30" i="12"/>
  <c r="B30" i="12"/>
  <c r="A30" i="12"/>
  <c r="H29" i="12"/>
  <c r="G29" i="12"/>
  <c r="F29" i="12"/>
  <c r="E29" i="12"/>
  <c r="D29" i="12"/>
  <c r="C29" i="12"/>
  <c r="B29" i="12"/>
  <c r="A29" i="12"/>
  <c r="H28" i="12"/>
  <c r="G28" i="12"/>
  <c r="F28" i="12"/>
  <c r="E28" i="12"/>
  <c r="D28" i="12"/>
  <c r="C28" i="12"/>
  <c r="B28" i="12"/>
  <c r="A28" i="12"/>
  <c r="H27" i="12"/>
  <c r="G27" i="12"/>
  <c r="F27" i="12"/>
  <c r="E27" i="12"/>
  <c r="D27" i="12"/>
  <c r="C27" i="12"/>
  <c r="B27" i="12"/>
  <c r="A27" i="12"/>
  <c r="H26" i="12"/>
  <c r="G26" i="12"/>
  <c r="F26" i="12"/>
  <c r="E26" i="12"/>
  <c r="D26" i="12"/>
  <c r="C26" i="12"/>
  <c r="B26" i="12"/>
  <c r="A26" i="12"/>
  <c r="H25" i="12"/>
  <c r="G25" i="12"/>
  <c r="F25" i="12"/>
  <c r="E25" i="12"/>
  <c r="D25" i="12"/>
  <c r="C25" i="12"/>
  <c r="B25" i="12"/>
  <c r="A25" i="12"/>
  <c r="H24" i="12"/>
  <c r="G24" i="12"/>
  <c r="F24" i="12"/>
  <c r="E24" i="12"/>
  <c r="D24" i="12"/>
  <c r="C24" i="12"/>
  <c r="B24" i="12"/>
  <c r="A24" i="12"/>
  <c r="H23" i="12"/>
  <c r="G23" i="12"/>
  <c r="F23" i="12"/>
  <c r="E23" i="12"/>
  <c r="D23" i="12"/>
  <c r="C23" i="12"/>
  <c r="B23" i="12"/>
  <c r="A23" i="12"/>
  <c r="H22" i="12"/>
  <c r="G22" i="12"/>
  <c r="F22" i="12"/>
  <c r="E22" i="12"/>
  <c r="D22" i="12"/>
  <c r="C22" i="12"/>
  <c r="B22" i="12"/>
  <c r="A22" i="12"/>
  <c r="H21" i="12"/>
  <c r="G21" i="12"/>
  <c r="F21" i="12"/>
  <c r="E21" i="12"/>
  <c r="D21" i="12"/>
  <c r="C21" i="12"/>
  <c r="B21" i="12"/>
  <c r="A21" i="12"/>
  <c r="G16" i="12"/>
  <c r="F16" i="12"/>
  <c r="E16" i="12"/>
  <c r="D16" i="12"/>
  <c r="C16" i="12"/>
  <c r="B16" i="12"/>
  <c r="G15" i="12"/>
  <c r="F15" i="12"/>
  <c r="E15" i="12"/>
  <c r="D15" i="12"/>
  <c r="C15" i="12"/>
  <c r="B15" i="12"/>
  <c r="G14" i="12"/>
  <c r="F14" i="12"/>
  <c r="E14" i="12"/>
  <c r="D14" i="12"/>
  <c r="C14" i="12"/>
  <c r="B14" i="12"/>
  <c r="G13" i="12"/>
  <c r="F13" i="12"/>
  <c r="E13" i="12"/>
  <c r="D13" i="12"/>
  <c r="C13" i="12"/>
  <c r="B13" i="12"/>
  <c r="G12" i="12"/>
  <c r="F12" i="12"/>
  <c r="E12" i="12"/>
  <c r="D12" i="12"/>
  <c r="C12" i="12"/>
  <c r="B12" i="12"/>
  <c r="G11" i="12"/>
  <c r="F11" i="12"/>
  <c r="E11" i="12"/>
  <c r="D11" i="12"/>
  <c r="C11" i="12"/>
  <c r="B11" i="12"/>
  <c r="G10" i="12"/>
  <c r="F10" i="12"/>
  <c r="E10" i="12"/>
  <c r="D10" i="12"/>
  <c r="C10" i="12"/>
  <c r="B10" i="12"/>
  <c r="G9" i="12"/>
  <c r="F9" i="12"/>
  <c r="E9" i="12"/>
  <c r="D9" i="12"/>
  <c r="C9" i="12"/>
  <c r="B9" i="12"/>
  <c r="G8" i="12"/>
  <c r="F8" i="12"/>
  <c r="E8" i="12"/>
  <c r="D8" i="12"/>
  <c r="C8" i="12"/>
  <c r="B8" i="12"/>
  <c r="G7" i="12"/>
  <c r="F7" i="12"/>
  <c r="E7" i="12"/>
  <c r="D7" i="12"/>
  <c r="C7" i="12"/>
  <c r="B7" i="12"/>
  <c r="G6" i="12"/>
  <c r="F6" i="12"/>
  <c r="E6" i="12"/>
  <c r="D6" i="12"/>
  <c r="C6" i="12"/>
  <c r="B6" i="12"/>
  <c r="I22" i="9"/>
  <c r="H22" i="9"/>
  <c r="K21" i="9"/>
  <c r="J21" i="9"/>
  <c r="I21" i="9"/>
  <c r="H21" i="9"/>
  <c r="K20" i="9"/>
  <c r="J20" i="9"/>
  <c r="I20" i="9"/>
  <c r="H20" i="9"/>
  <c r="K19" i="9"/>
  <c r="J19" i="9"/>
  <c r="I19" i="9"/>
  <c r="H19" i="9"/>
  <c r="K18" i="9"/>
  <c r="J18" i="9"/>
  <c r="I18" i="9"/>
  <c r="H18" i="9"/>
  <c r="K17" i="9"/>
  <c r="J17" i="9"/>
  <c r="I17" i="9"/>
  <c r="H17" i="9"/>
  <c r="K16" i="9"/>
  <c r="J16" i="9"/>
  <c r="I16" i="9"/>
  <c r="H16" i="9"/>
  <c r="K15" i="9"/>
  <c r="J15" i="9"/>
  <c r="I15" i="9"/>
  <c r="H15" i="9"/>
  <c r="K14" i="9"/>
  <c r="J14" i="9"/>
  <c r="I14" i="9"/>
  <c r="H14" i="9"/>
  <c r="K13" i="9"/>
  <c r="J13" i="9"/>
  <c r="I13" i="9"/>
  <c r="H13" i="9"/>
  <c r="K12" i="9"/>
  <c r="J12" i="9"/>
  <c r="I12" i="9"/>
  <c r="H12" i="9"/>
  <c r="K11" i="9"/>
  <c r="J11" i="9"/>
  <c r="I11" i="9"/>
  <c r="H11" i="9"/>
  <c r="K10" i="9"/>
  <c r="J10" i="9"/>
  <c r="I10" i="9"/>
  <c r="H10" i="9"/>
  <c r="K9" i="9"/>
  <c r="J9" i="9"/>
  <c r="I9" i="9"/>
  <c r="H9" i="9"/>
  <c r="K8" i="9"/>
  <c r="J8" i="9"/>
  <c r="I8" i="9"/>
  <c r="H8" i="9"/>
  <c r="K7" i="9"/>
  <c r="J7" i="9"/>
  <c r="I7" i="9"/>
  <c r="H7" i="9"/>
  <c r="K6" i="9"/>
  <c r="J6" i="9"/>
  <c r="I6" i="9"/>
  <c r="H6" i="9"/>
  <c r="K5" i="9"/>
  <c r="J5" i="9"/>
  <c r="I5" i="9"/>
  <c r="H5" i="9"/>
  <c r="B31" i="8"/>
  <c r="B30" i="8"/>
  <c r="B29" i="8"/>
  <c r="B28" i="8"/>
  <c r="B20" i="8"/>
  <c r="B19" i="8"/>
  <c r="B18" i="8"/>
  <c r="B17" i="8"/>
  <c r="B16" i="8"/>
  <c r="I10" i="8"/>
  <c r="I9" i="8"/>
  <c r="I8" i="8"/>
  <c r="I7" i="8"/>
  <c r="I6" i="8"/>
  <c r="I5" i="8"/>
  <c r="E46" i="5"/>
  <c r="D46" i="5"/>
  <c r="C46" i="5"/>
  <c r="E45" i="5"/>
  <c r="D45" i="5"/>
  <c r="C45" i="5"/>
  <c r="E44" i="5"/>
  <c r="D44" i="5"/>
  <c r="C44" i="5"/>
  <c r="E43" i="5"/>
  <c r="D43" i="5"/>
  <c r="C43" i="5"/>
  <c r="E42" i="5"/>
  <c r="D42" i="5"/>
  <c r="C42" i="5"/>
  <c r="E41" i="5"/>
  <c r="D41" i="5"/>
  <c r="C41" i="5"/>
  <c r="E40" i="5"/>
  <c r="D40" i="5"/>
  <c r="C40" i="5"/>
  <c r="E39" i="5"/>
  <c r="D39" i="5"/>
  <c r="C39" i="5"/>
  <c r="E38" i="5"/>
  <c r="D38" i="5"/>
  <c r="C38" i="5"/>
  <c r="E37" i="5"/>
  <c r="D37" i="5"/>
  <c r="C37" i="5"/>
  <c r="E36" i="5"/>
  <c r="D36" i="5"/>
  <c r="C36" i="5"/>
  <c r="E35" i="5"/>
  <c r="D35" i="5"/>
  <c r="C35" i="5"/>
  <c r="E34" i="5"/>
  <c r="D34" i="5"/>
  <c r="C34" i="5"/>
  <c r="E33" i="5"/>
  <c r="D33" i="5"/>
  <c r="C33" i="5"/>
  <c r="E32" i="5"/>
  <c r="D32" i="5"/>
  <c r="C32" i="5"/>
  <c r="E31" i="5"/>
  <c r="D31" i="5"/>
  <c r="C31" i="5"/>
  <c r="J18" i="5"/>
  <c r="I18" i="5"/>
  <c r="H18" i="5"/>
  <c r="G18" i="5"/>
  <c r="F18" i="5"/>
  <c r="E18" i="5"/>
  <c r="D18" i="5"/>
  <c r="C18" i="5"/>
  <c r="B18" i="5"/>
  <c r="H17" i="5"/>
  <c r="E17" i="5"/>
  <c r="D17" i="5"/>
  <c r="M16" i="5"/>
  <c r="L16" i="5"/>
  <c r="H16" i="5"/>
  <c r="E16" i="5"/>
  <c r="D16" i="5"/>
  <c r="M15" i="5"/>
  <c r="L15" i="5"/>
  <c r="H15" i="5"/>
  <c r="E15" i="5"/>
  <c r="D15" i="5"/>
  <c r="M14" i="5"/>
  <c r="L14" i="5"/>
  <c r="H14" i="5"/>
  <c r="E14" i="5"/>
  <c r="D14" i="5"/>
  <c r="M13" i="5"/>
  <c r="L13" i="5"/>
  <c r="H13" i="5"/>
  <c r="E13" i="5"/>
  <c r="D13" i="5"/>
  <c r="M12" i="5"/>
  <c r="L12" i="5"/>
  <c r="H12" i="5"/>
  <c r="E12" i="5"/>
  <c r="D12" i="5"/>
  <c r="M11" i="5"/>
  <c r="L11" i="5"/>
  <c r="H11" i="5"/>
  <c r="E11" i="5"/>
  <c r="D11" i="5"/>
  <c r="M10" i="5"/>
  <c r="L10" i="5"/>
  <c r="H10" i="5"/>
  <c r="E10" i="5"/>
  <c r="D10" i="5"/>
  <c r="M9" i="5"/>
  <c r="L9" i="5"/>
  <c r="H9" i="5"/>
  <c r="E9" i="5"/>
  <c r="D9" i="5"/>
  <c r="M8" i="5"/>
  <c r="L8" i="5"/>
  <c r="H8" i="5"/>
  <c r="E8" i="5"/>
  <c r="D8" i="5"/>
  <c r="M7" i="5"/>
  <c r="L7" i="5"/>
  <c r="H7" i="5"/>
  <c r="E7" i="5"/>
  <c r="D7" i="5"/>
  <c r="M6" i="5"/>
  <c r="L6" i="5"/>
  <c r="H6" i="5"/>
  <c r="E6" i="5"/>
  <c r="D6" i="5"/>
  <c r="M5" i="5"/>
  <c r="L5" i="5"/>
  <c r="H5" i="5"/>
  <c r="E5" i="5"/>
  <c r="D5" i="5"/>
  <c r="AE17" i="3"/>
  <c r="AD17" i="3"/>
  <c r="AC17" i="3"/>
  <c r="AB17" i="3"/>
  <c r="AA17" i="3"/>
  <c r="Z17" i="3"/>
  <c r="Y17" i="3"/>
  <c r="X17" i="3"/>
  <c r="W17" i="3"/>
  <c r="V17" i="3"/>
  <c r="U17" i="3"/>
  <c r="T17" i="3"/>
  <c r="S17" i="3"/>
  <c r="R17" i="3"/>
  <c r="Q17" i="3"/>
  <c r="P17" i="3"/>
  <c r="O17" i="3"/>
  <c r="N17" i="3"/>
  <c r="M17" i="3"/>
  <c r="L17" i="3"/>
  <c r="K17" i="3"/>
  <c r="J17" i="3"/>
  <c r="I17" i="3"/>
  <c r="H17" i="3"/>
  <c r="G17" i="3"/>
  <c r="F17" i="3"/>
  <c r="E17" i="3"/>
  <c r="D17" i="3"/>
  <c r="C17" i="3"/>
  <c r="B17" i="3"/>
  <c r="AE16" i="3"/>
  <c r="AB16" i="3"/>
  <c r="Y16" i="3"/>
  <c r="V16" i="3"/>
  <c r="S16" i="3"/>
  <c r="P16" i="3"/>
  <c r="M16" i="3"/>
  <c r="J16" i="3"/>
  <c r="G16" i="3"/>
  <c r="D16" i="3"/>
  <c r="AE15" i="3"/>
  <c r="AB15" i="3"/>
  <c r="Y15" i="3"/>
  <c r="V15" i="3"/>
  <c r="S15" i="3"/>
  <c r="P15" i="3"/>
  <c r="M15" i="3"/>
  <c r="J15" i="3"/>
  <c r="G15" i="3"/>
  <c r="D15" i="3"/>
  <c r="AE14" i="3"/>
  <c r="AB14" i="3"/>
  <c r="Y14" i="3"/>
  <c r="V14" i="3"/>
  <c r="S14" i="3"/>
  <c r="P14" i="3"/>
  <c r="M14" i="3"/>
  <c r="J14" i="3"/>
  <c r="G14" i="3"/>
  <c r="D14" i="3"/>
  <c r="AE13" i="3"/>
  <c r="AB13" i="3"/>
  <c r="Y13" i="3"/>
  <c r="V13" i="3"/>
  <c r="S13" i="3"/>
  <c r="P13" i="3"/>
  <c r="M13" i="3"/>
  <c r="J13" i="3"/>
  <c r="G13" i="3"/>
  <c r="D13" i="3"/>
  <c r="AE12" i="3"/>
  <c r="AB12" i="3"/>
  <c r="Y12" i="3"/>
  <c r="V12" i="3"/>
  <c r="S12" i="3"/>
  <c r="P12" i="3"/>
  <c r="M12" i="3"/>
  <c r="J12" i="3"/>
  <c r="G12" i="3"/>
  <c r="D12" i="3"/>
  <c r="AE11" i="3"/>
  <c r="AB11" i="3"/>
  <c r="Y11" i="3"/>
  <c r="V11" i="3"/>
  <c r="S11" i="3"/>
  <c r="P11" i="3"/>
  <c r="M11" i="3"/>
  <c r="J11" i="3"/>
  <c r="G11" i="3"/>
  <c r="D11" i="3"/>
  <c r="AE10" i="3"/>
  <c r="AB10" i="3"/>
  <c r="Y10" i="3"/>
  <c r="V10" i="3"/>
  <c r="S10" i="3"/>
  <c r="P10" i="3"/>
  <c r="M10" i="3"/>
  <c r="J10" i="3"/>
  <c r="G10" i="3"/>
  <c r="D10" i="3"/>
  <c r="AE9" i="3"/>
  <c r="AB9" i="3"/>
  <c r="Y9" i="3"/>
  <c r="V9" i="3"/>
  <c r="S9" i="3"/>
  <c r="P9" i="3"/>
  <c r="M9" i="3"/>
  <c r="J9" i="3"/>
  <c r="G9" i="3"/>
  <c r="D9" i="3"/>
  <c r="AE8" i="3"/>
  <c r="AB8" i="3"/>
  <c r="Y8" i="3"/>
  <c r="V8" i="3"/>
  <c r="S8" i="3"/>
  <c r="P8" i="3"/>
  <c r="M8" i="3"/>
  <c r="J8" i="3"/>
  <c r="G8" i="3"/>
  <c r="D8" i="3"/>
  <c r="AE7" i="3"/>
  <c r="AB7" i="3"/>
  <c r="Y7" i="3"/>
  <c r="V7" i="3"/>
  <c r="S7" i="3"/>
  <c r="P7" i="3"/>
  <c r="M7" i="3"/>
  <c r="J7" i="3"/>
  <c r="G7" i="3"/>
  <c r="D7" i="3"/>
  <c r="AE6" i="3"/>
  <c r="AB6" i="3"/>
  <c r="Y6" i="3"/>
  <c r="V6" i="3"/>
  <c r="S6" i="3"/>
  <c r="P6" i="3"/>
  <c r="M6" i="3"/>
  <c r="J6" i="3"/>
  <c r="G6" i="3"/>
  <c r="D6" i="3"/>
  <c r="K14" i="2"/>
  <c r="J14" i="2"/>
  <c r="G14" i="2"/>
  <c r="F14" i="2"/>
  <c r="E14" i="2"/>
  <c r="K13" i="2"/>
  <c r="J13" i="2"/>
  <c r="G13" i="2"/>
  <c r="F13" i="2"/>
  <c r="E13" i="2"/>
  <c r="K12" i="2"/>
  <c r="J12" i="2"/>
  <c r="G12" i="2"/>
  <c r="F12" i="2"/>
  <c r="E12" i="2"/>
  <c r="K11" i="2"/>
  <c r="J11" i="2"/>
  <c r="G11" i="2"/>
  <c r="F11" i="2"/>
  <c r="E11" i="2"/>
  <c r="K10" i="2"/>
  <c r="J10" i="2"/>
  <c r="G10" i="2"/>
  <c r="F10" i="2"/>
  <c r="E10" i="2"/>
  <c r="K9" i="2"/>
  <c r="J9" i="2"/>
  <c r="G9" i="2"/>
  <c r="F9" i="2"/>
  <c r="E9" i="2"/>
  <c r="K8" i="2"/>
  <c r="J8" i="2"/>
  <c r="G8" i="2"/>
  <c r="F8" i="2"/>
  <c r="E8" i="2"/>
  <c r="K7" i="2"/>
  <c r="J7" i="2"/>
  <c r="G7" i="2"/>
  <c r="F7" i="2"/>
  <c r="E7" i="2"/>
  <c r="K6" i="2"/>
  <c r="J6" i="2"/>
  <c r="G6" i="2"/>
  <c r="F6" i="2"/>
  <c r="E6" i="2"/>
  <c r="K5" i="2"/>
  <c r="J5" i="2"/>
  <c r="E5" i="2"/>
  <c r="L7" i="15"/>
  <c r="H7" i="15"/>
  <c r="F7" i="15"/>
  <c r="B7" i="15"/>
  <c r="B69" i="12" l="1"/>
  <c r="B72" i="12" s="1"/>
  <c r="B76" i="12" s="1"/>
  <c r="B70" i="12"/>
  <c r="B75" i="12" s="1"/>
  <c r="B71" i="12"/>
  <c r="B77" i="12" s="1"/>
  <c r="J7" i="15" s="1"/>
  <c r="D6" i="15"/>
  <c r="B73" i="12" l="1"/>
  <c r="B74" i="12"/>
  <c r="D7" i="15" s="1"/>
  <c r="B9" i="15" l="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5">
    <bk>
      <extLst>
        <ext uri="{3e2802c4-a4d2-4d8b-9148-e3be6c30e623}">
          <xlrd:rvb i="0"/>
        </ext>
      </extLst>
    </bk>
    <bk>
      <extLst>
        <ext uri="{3e2802c4-a4d2-4d8b-9148-e3be6c30e623}">
          <xlrd:rvb i="11"/>
        </ext>
      </extLst>
    </bk>
    <bk>
      <extLst>
        <ext uri="{3e2802c4-a4d2-4d8b-9148-e3be6c30e623}">
          <xlrd:rvb i="24"/>
        </ext>
      </extLst>
    </bk>
    <bk>
      <extLst>
        <ext uri="{3e2802c4-a4d2-4d8b-9148-e3be6c30e623}">
          <xlrd:rvb i="37"/>
        </ext>
      </extLst>
    </bk>
    <bk>
      <extLst>
        <ext uri="{3e2802c4-a4d2-4d8b-9148-e3be6c30e623}">
          <xlrd:rvb i="49"/>
        </ext>
      </extLst>
    </bk>
    <bk>
      <extLst>
        <ext uri="{3e2802c4-a4d2-4d8b-9148-e3be6c30e623}">
          <xlrd:rvb i="59"/>
        </ext>
      </extLst>
    </bk>
    <bk>
      <extLst>
        <ext uri="{3e2802c4-a4d2-4d8b-9148-e3be6c30e623}">
          <xlrd:rvb i="71"/>
        </ext>
      </extLst>
    </bk>
    <bk>
      <extLst>
        <ext uri="{3e2802c4-a4d2-4d8b-9148-e3be6c30e623}">
          <xlrd:rvb i="82"/>
        </ext>
      </extLst>
    </bk>
    <bk>
      <extLst>
        <ext uri="{3e2802c4-a4d2-4d8b-9148-e3be6c30e623}">
          <xlrd:rvb i="92"/>
        </ext>
      </extLst>
    </bk>
    <bk>
      <extLst>
        <ext uri="{3e2802c4-a4d2-4d8b-9148-e3be6c30e623}">
          <xlrd:rvb i="103"/>
        </ext>
      </extLst>
    </bk>
    <bk>
      <extLst>
        <ext uri="{3e2802c4-a4d2-4d8b-9148-e3be6c30e623}">
          <xlrd:rvb i="114"/>
        </ext>
      </extLst>
    </bk>
    <bk>
      <extLst>
        <ext uri="{3e2802c4-a4d2-4d8b-9148-e3be6c30e623}">
          <xlrd:rvb i="126"/>
        </ext>
      </extLst>
    </bk>
    <bk>
      <extLst>
        <ext uri="{3e2802c4-a4d2-4d8b-9148-e3be6c30e623}">
          <xlrd:rvb i="136"/>
        </ext>
      </extLst>
    </bk>
    <bk>
      <extLst>
        <ext uri="{3e2802c4-a4d2-4d8b-9148-e3be6c30e623}">
          <xlrd:rvb i="147"/>
        </ext>
      </extLst>
    </bk>
    <bk>
      <extLst>
        <ext uri="{3e2802c4-a4d2-4d8b-9148-e3be6c30e623}">
          <xlrd:rvb i="158"/>
        </ext>
      </extLst>
    </bk>
  </futureMetadata>
  <valueMetadata count="15">
    <bk>
      <rc t="1" v="0"/>
    </bk>
    <bk>
      <rc t="1" v="1"/>
    </bk>
    <bk>
      <rc t="1" v="2"/>
    </bk>
    <bk>
      <rc t="1" v="3"/>
    </bk>
    <bk>
      <rc t="1" v="4"/>
    </bk>
    <bk>
      <rc t="1" v="5"/>
    </bk>
    <bk>
      <rc t="1" v="6"/>
    </bk>
    <bk>
      <rc t="1" v="7"/>
    </bk>
    <bk>
      <rc t="1" v="8"/>
    </bk>
    <bk>
      <rc t="1" v="9"/>
    </bk>
    <bk>
      <rc t="1" v="10"/>
    </bk>
    <bk>
      <rc t="1" v="11"/>
    </bk>
    <bk>
      <rc t="1" v="12"/>
    </bk>
    <bk>
      <rc t="1" v="13"/>
    </bk>
    <bk>
      <rc t="1" v="14"/>
    </bk>
  </valueMetadata>
</metadata>
</file>

<file path=xl/sharedStrings.xml><?xml version="1.0" encoding="utf-8"?>
<sst xmlns="http://schemas.openxmlformats.org/spreadsheetml/2006/main" count="362" uniqueCount="276">
  <si>
    <t>GROWING GOLF IN GERMANY   —   Participation Dashboard 2016–2025</t>
  </si>
  <si>
    <t>Audience: German Golf Federation (DGV), state associations and facility operators   |   Players as at 30 Sep 2025, facilities 31 Dec 2025   |   Sources: DGV; Allensbach/AWA; The R&amp;A; Destatis</t>
  </si>
  <si>
    <t>PLAYERS 2025</t>
  </si>
  <si>
    <t>FEMALE SHARE</t>
  </si>
  <si>
    <t>AGED 61+</t>
  </si>
  <si>
    <t>INTERESTED / MEMBER</t>
  </si>
  <si>
    <t>2   The participation gap: 6.9m interested, 0.7m registered</t>
  </si>
  <si>
    <t>3   Where growth comes from and where it leaks (orange = net loss)</t>
  </si>
  <si>
    <t>4   The female share keeps sliding while male membership grows</t>
  </si>
  <si>
    <t>5   Domestic headroom: penetration varies eighteenfold (red line = national average, 8.3)</t>
  </si>
  <si>
    <t>6   European ceiling: Germany sits far below the northern markets</t>
  </si>
  <si>
    <t>Colour encoding: blue #0072B2 = male members and volume measures, orange #E69F00 = female members and the opportunity measure. Palette after Okabe and Ito (2008), distinguishable under all common forms of colour vision deficiency.   |   Sources: Deutscher Golf Verband (2017–2026); Institut für Demoskopie Allensbach / AWA 2025 via Statista; The R&amp;A (2025); Statistisches Bundesamt (2025). Full source list and caveats on sheet 00_README.</t>
  </si>
  <si>
    <t>ICT702 Task 2 — Growing Golf in Germany  (v2, full source set)</t>
  </si>
  <si>
    <t>Data sources, definitions, reconciliation and workbook structure</t>
  </si>
  <si>
    <t>PURPOSE</t>
  </si>
  <si>
    <t>Data basis for an Excel dashboard supporting the German Golf Federation (DGV), the state golf associations and facility operators in decisions aimed at increasing participation in golf.</t>
  </si>
  <si>
    <t>AUDIENCE</t>
  </si>
  <si>
    <t>DGV executive board, state golf associations, golf facility operators.</t>
  </si>
  <si>
    <t>PERIOD</t>
  </si>
  <si>
    <t>2016–2025 for the core analysis; longer series where the sources allow.</t>
  </si>
  <si>
    <t>CENSUS DATES</t>
  </si>
  <si>
    <t>Players: 30 September. Facilities and member clubs: 31 December.</t>
  </si>
  <si>
    <t>SOURCES</t>
  </si>
  <si>
    <t>S1</t>
  </si>
  <si>
    <t>Deutscher Golf Verband. (2017–2026). DGV-Statistiken 2016–2025 [Annual statistics, ten editions]. Wiesbaden: DGV. Files: statistiken/2016_… to statistiken/2025_…</t>
  </si>
  <si>
    <t>S2</t>
  </si>
  <si>
    <t>Deutscher Golf Verband. (2026). Golf in Deutschland erreicht neue Höchstwerte [Press release, 21 January 2026].</t>
  </si>
  <si>
    <t>S3</t>
  </si>
  <si>
    <t>Institut für Demoskopie Allensbach. (2025). Allensbacher Markt- und Werbeträgeranalyse (AWA 2025), via Statista [IDs 171038, 171039, 171147]. Base: German-speaking population aged 14+.</t>
  </si>
  <si>
    <t>S4</t>
  </si>
  <si>
    <t>Deutscher Golf Verband, via Statista [IDs 5148, 6888, 6892, 6894, 6899, 6900, 6904, 214654].</t>
  </si>
  <si>
    <t>S5</t>
  </si>
  <si>
    <t>The R&amp;A. (2025). Global Golf Participation 2024 [Report, June 2025, excluding the USA and Mexico].</t>
  </si>
  <si>
    <t>S6</t>
  </si>
  <si>
    <t>Statistisches Bundesamt. (2025). Bundesländer mit Hauptstädten nach Fläche, Bevölkerung und Bevölkerungsdichte am 31.12.2024 [2022 Census basis].</t>
  </si>
  <si>
    <t>S7</t>
  </si>
  <si>
    <t>Statistisches Bundesamt. (2025). By 2035, one quarter of Germany's population will be aged 67 or over [Press release No. 446, 11 December 2025].</t>
  </si>
  <si>
    <t>S8</t>
  </si>
  <si>
    <t>Huth, C., &amp; Billion, F. (2022). Impacts of the COVID-19 pandemic on German golf – a comparison between club-owned and commercial golf clubs. Quality in Sport, 8(1), 21–27. https://doi.org/10.12775/QS.2022.08.01.002</t>
  </si>
  <si>
    <t>S9</t>
  </si>
  <si>
    <t>The R&amp;A. (2021). Women in Golf Charter — Impact studies [March 2021].</t>
  </si>
  <si>
    <t>S10</t>
  </si>
  <si>
    <t>Deutscher Olympischer Sportbund. Bestandserhebung (as at 1 January 2025), cited in S1.</t>
  </si>
  <si>
    <t>S11</t>
  </si>
  <si>
    <t>Okabe, M., &amp; Ito, K. (2008). Color Universal Design (CUD). https://jfly.uni-koeln.de/color/</t>
  </si>
  <si>
    <t>S12</t>
  </si>
  <si>
    <t>Camm, J. D., Cochran, J. J., Fry, M. J., &amp; Ohlmann, J. W. (2021). Data visualization: Exploring and explaining with data (1st ed.). Cengage. [Course text underpinning ICT702 Modules 2–8]</t>
  </si>
  <si>
    <t>RECONCILIATION</t>
  </si>
  <si>
    <t>All ten DGV yearbooks were parsed and cross-checked. For every year 2016–2025 four independent figures agree exactly: the sum of the age-by-gender table, the sum of the 13 state association rows, the published national player series (S4), and the sum of the state facility counts against the national facility series (S4).</t>
  </si>
  <si>
    <t>R&amp;A RECONCILIATION</t>
  </si>
  <si>
    <t>The R&amp;A reports German adults by gender plus juniors separately: 417,194 + 227,267 + 42,247 = 686,708, which matches the DGV total for 2024 exactly. Adult female share is therefore 35.3%, while the all-ages female share is 35.1%.</t>
  </si>
  <si>
    <t>COLOUR PALETTE</t>
  </si>
  <si>
    <t>Blue #0072B2 / Orange #E69F00 — Okabe-Ito pair, distinguishable under deuteranopia, protanopia and tritanopia (S11). Grey #999999 for context series.</t>
  </si>
  <si>
    <t>SHEET GUIDE</t>
  </si>
  <si>
    <t>01_Timeseries</t>
  </si>
  <si>
    <t>Players, gender split, clubs and facilities 2016–2025</t>
  </si>
  <si>
    <t>02_Age_Gender</t>
  </si>
  <si>
    <t>Eleven age bands by gender, 2016–2025 (wide, as published)</t>
  </si>
  <si>
    <t/>
  </si>
  <si>
    <t/>
  </si>
  <si>
    <t>04_States</t>
  </si>
  <si>
    <t>State associations 2016 vs 2025, facilities, population, penetration</t>
  </si>
  <si>
    <t/>
  </si>
  <si>
    <t/>
  </si>
  <si>
    <t/>
  </si>
  <si>
    <t/>
  </si>
  <si>
    <t>07_Funnel</t>
  </si>
  <si>
    <t>Allensbach awareness / interest / play funnel 2019–2025 (S3)</t>
  </si>
  <si>
    <t>08_Europe</t>
  </si>
  <si>
    <t>R&amp;A European benchmark: penetration, female share, courses (S5)</t>
  </si>
  <si>
    <t>09_Federations</t>
  </si>
  <si>
    <t/>
  </si>
  <si>
    <t>10_History</t>
  </si>
  <si>
    <t/>
  </si>
  <si>
    <t>11_Metrics</t>
  </si>
  <si>
    <t>Derived metrics as live formulas, plus a waterfall-ready data block</t>
  </si>
  <si>
    <t>12_Chart_Selection</t>
  </si>
  <si>
    <t/>
  </si>
  <si>
    <t>13_Design_Rationale</t>
  </si>
  <si>
    <t/>
  </si>
  <si>
    <t>20_Dashboard</t>
  </si>
  <si>
    <t>Dashboard with six visualisations</t>
  </si>
  <si>
    <t>CAVEAT — VcG</t>
  </si>
  <si>
    <t>The 'Vereinigung clubfreier Golfspieler' is a nationwide membership category, not a region. It is listed separately and excluded from all penetration metrics.</t>
  </si>
  <si>
    <t>CAVEAT — AWA BASE</t>
  </si>
  <si>
    <t>Allensbach surveys the German-speaking population aged 14 and over in private households; DGV membership covers all ages. The funnel therefore compares a survey population with an administrative count and indicates magnitude, not an exact rate.</t>
  </si>
  <si>
    <t>CAVEAT — 60+</t>
  </si>
  <si>
    <t>The five-year senior bands (325,743) overlap the '61 and over' band (306,153). Do not add them.</t>
  </si>
  <si>
    <t>CAVEAT — FACILITIES</t>
  </si>
  <si>
    <t>Some year-on-year changes reflect reclassification in the DGV's records (e.g. merging a 9-hole and an 18-hole course into one 27-hole facility).</t>
  </si>
  <si>
    <t>CAVEAT — TERMS</t>
  </si>
  <si>
    <t>'Registered membership' is not the same as 'person who plays golf'. Multiple memberships and casual play without club affiliation are not captured.</t>
  </si>
  <si>
    <t>AI DECLARATION</t>
  </si>
  <si>
    <t>Acknowledge any use of AI tools in the report, per UniSC requirements.</t>
  </si>
  <si>
    <t>Players, gender split, clubs and facilities, 2016–2025</t>
  </si>
  <si>
    <t>Sources: S1, S4</t>
  </si>
  <si>
    <t>Year</t>
  </si>
  <si>
    <t>Players</t>
  </si>
  <si>
    <t>Male</t>
  </si>
  <si>
    <t>Female</t>
  </si>
  <si>
    <t>Female share</t>
  </si>
  <si>
    <t>Change (abs.)</t>
  </si>
  <si>
    <t>Change (%)</t>
  </si>
  <si>
    <t>Clubs</t>
  </si>
  <si>
    <t>Facilities</t>
  </si>
  <si>
    <t>Players per facility</t>
  </si>
  <si>
    <t>Index (2016=100)</t>
  </si>
  <si>
    <t>Players by age band and gender, 2016–2025</t>
  </si>
  <si>
    <t>Source: S1 (ten DGV yearbooks)</t>
  </si>
  <si>
    <t>Age band</t>
  </si>
  <si>
    <t>Total</t>
  </si>
  <si>
    <t>Up to 6</t>
  </si>
  <si>
    <t>7 to 14</t>
  </si>
  <si>
    <t>15 to 18</t>
  </si>
  <si>
    <t>19 to 20</t>
  </si>
  <si>
    <t>21 to 26</t>
  </si>
  <si>
    <t>27 to 35</t>
  </si>
  <si>
    <t>36 to 40</t>
  </si>
  <si>
    <t>41 to 50</t>
  </si>
  <si>
    <t>51 to 55</t>
  </si>
  <si>
    <t>56 to 60</t>
  </si>
  <si>
    <t>61 and over</t>
  </si>
  <si>
    <t>State golf associations: participation, growth and market penetration</t>
  </si>
  <si>
    <t>Players 30 Sep; facilities 31 Dec 2025; population Destatis 31 Dec 2024. Sources: S1, S6</t>
  </si>
  <si>
    <t>State golf association</t>
  </si>
  <si>
    <t>Players 2025</t>
  </si>
  <si>
    <t>Players 2016</t>
  </si>
  <si>
    <t>Male 2025</t>
  </si>
  <si>
    <t>Female 2025</t>
  </si>
  <si>
    <t>Under 19</t>
  </si>
  <si>
    <t>Aged 61+</t>
  </si>
  <si>
    <t>Population</t>
  </si>
  <si>
    <t>Players per 1,000 pop.</t>
  </si>
  <si>
    <t>Facilities 2025</t>
  </si>
  <si>
    <t>Baden-Württemberg</t>
  </si>
  <si>
    <t>Bayern</t>
  </si>
  <si>
    <t>Berlin/Brandenburg</t>
  </si>
  <si>
    <t>Hamburg</t>
  </si>
  <si>
    <t>Hessen</t>
  </si>
  <si>
    <t>Mecklenburg-Vorpommern</t>
  </si>
  <si>
    <t>Niedersachsen/Bremen</t>
  </si>
  <si>
    <t>Nordrhein-Westfalen</t>
  </si>
  <si>
    <t>Rheinland-Pfalz/Saarland</t>
  </si>
  <si>
    <t>Sachsen-Anhalt</t>
  </si>
  <si>
    <t>Sachsen/Thüringen</t>
  </si>
  <si>
    <t>Schleswig-Holstein</t>
  </si>
  <si>
    <t>VcG (non-club members, nationwide)</t>
  </si>
  <si>
    <t>n/a</t>
  </si>
  <si>
    <t>VcG is a nationwide membership category, not a region; it is excluded from all penetration metrics.</t>
  </si>
  <si>
    <t>From awareness to membership: the participation funnel, 2019–2025</t>
  </si>
  <si>
    <t>Allensbach AWA via Statista, in millions, base German-speaking population aged 14+ (S3); DGV membership from S1</t>
  </si>
  <si>
    <t>Stage (millions of people)</t>
  </si>
  <si>
    <t>2019</t>
  </si>
  <si>
    <t>2020</t>
  </si>
  <si>
    <t>2021</t>
  </si>
  <si>
    <t>2022</t>
  </si>
  <si>
    <t>2023</t>
  </si>
  <si>
    <t>2024</t>
  </si>
  <si>
    <t>2025</t>
  </si>
  <si>
    <t>Change 2019–25</t>
  </si>
  <si>
    <t>Aware of golf</t>
  </si>
  <si>
    <t>Interested (strongly or somewhat)</t>
  </si>
  <si>
    <t xml:space="preserve">   of which strongly interested</t>
  </si>
  <si>
    <t>Play golf (often or occasionally)</t>
  </si>
  <si>
    <t xml:space="preserve">   of which play often</t>
  </si>
  <si>
    <t>DGV-registered members</t>
  </si>
  <si>
    <t>Conversion ratios, 2025</t>
  </si>
  <si>
    <t>Ratio</t>
  </si>
  <si>
    <t>Value</t>
  </si>
  <si>
    <t>Interested people per registered member</t>
  </si>
  <si>
    <t>Occasional or frequent players per registered member</t>
  </si>
  <si>
    <t>Registered members as a share of interested people</t>
  </si>
  <si>
    <t>Registered members as a share of people who play</t>
  </si>
  <si>
    <t>Interested but not playing (millions)</t>
  </si>
  <si>
    <t>Playing but not registered (millions)</t>
  </si>
  <si>
    <t>Note: the Allensbach survey base (population aged 14+) and the DGV administrative count are not identical populations. The ratios indicate magnitude, not exact rates.</t>
  </si>
  <si>
    <t>Ready for Excel's native Funnel chart</t>
  </si>
  <si>
    <t>Select A26:B31, then Insert &gt; Insert Waterfall, Funnel, Stock, Surface or Radar Chart &gt; Funnel.</t>
  </si>
  <si>
    <t>Funnel stage</t>
  </si>
  <si>
    <t>People (millions)</t>
  </si>
  <si>
    <t>Interested in golf</t>
  </si>
  <si>
    <t>Play golf at all</t>
  </si>
  <si>
    <t>Play golf often</t>
  </si>
  <si>
    <t>DGV-registered member</t>
  </si>
  <si>
    <t>European benchmark: registered golfers, penetration and female share, 2024</t>
  </si>
  <si>
    <t>The R&amp;A, Global Golf Participation 2024 (S5). Adults are split by gender; juniors counted separately.</t>
  </si>
  <si>
    <t>Country</t>
  </si>
  <si>
    <t>Registered golfers</t>
  </si>
  <si>
    <t>Adult male</t>
  </si>
  <si>
    <t>Adult female</t>
  </si>
  <si>
    <t>Juniors</t>
  </si>
  <si>
    <t>Courses</t>
  </si>
  <si>
    <t>Per 1,000 population</t>
  </si>
  <si>
    <t>Adult female share</t>
  </si>
  <si>
    <t>Golfers per course</t>
  </si>
  <si>
    <t>Population per course</t>
  </si>
  <si>
    <t>Iceland</t>
  </si>
  <si>
    <t>Sweden</t>
  </si>
  <si>
    <t>Scotland</t>
  </si>
  <si>
    <t>Ireland</t>
  </si>
  <si>
    <t>Finland</t>
  </si>
  <si>
    <t>Denmark</t>
  </si>
  <si>
    <t>Norway</t>
  </si>
  <si>
    <t>Netherlands</t>
  </si>
  <si>
    <t>Wales</t>
  </si>
  <si>
    <t>England</t>
  </si>
  <si>
    <t>Switzerland</t>
  </si>
  <si>
    <t>Austria</t>
  </si>
  <si>
    <t>Germany</t>
  </si>
  <si>
    <t>Belgium</t>
  </si>
  <si>
    <t>France</t>
  </si>
  <si>
    <t>Spain</t>
  </si>
  <si>
    <t>Italy</t>
  </si>
  <si>
    <t>Europe total</t>
  </si>
  <si>
    <t>Derived metrics</t>
  </si>
  <si>
    <t>Live formulas into the data sheets — edit the raw data and these follow</t>
  </si>
  <si>
    <t>A)  Growth by age band, 2016 to 2025</t>
  </si>
  <si>
    <t>2016</t>
  </si>
  <si>
    <t>Share of total 2025</t>
  </si>
  <si>
    <t>Contribution to net growth</t>
  </si>
  <si>
    <t>B)  Market penetration by state association (VcG excluded)</t>
  </si>
  <si>
    <t>Change (%) 2016–25</t>
  </si>
  <si>
    <t>Density rank</t>
  </si>
  <si>
    <t>vs national average</t>
  </si>
  <si>
    <t>C)  Ready for Excel's native Waterfall chart — net change by age band, 2016 to 2025</t>
  </si>
  <si>
    <t>Select A38:B49, then Insert &gt; Insert Waterfall, Funnel, Stock, Surface or Radar Chart &gt; Waterfall. Right-click the Total bar &gt; Set as Total.</t>
  </si>
  <si>
    <t>Net change 2016–2025</t>
  </si>
  <si>
    <t>D)  Headline figures for the KPI tiles</t>
  </si>
  <si>
    <t>Change vs 2024 (abs.)</t>
  </si>
  <si>
    <t>Change vs 2024 (%)</t>
  </si>
  <si>
    <t>Change 2016–2025 (%)</t>
  </si>
  <si>
    <t>Female share 2025</t>
  </si>
  <si>
    <t>Change in female share since 2016 (pp)</t>
  </si>
  <si>
    <t>Share aged 61 and over 2025</t>
  </si>
  <si>
    <t>Share aged under 19 2025</t>
  </si>
  <si>
    <t>Under-19 members vs 2016 (%)</t>
  </si>
  <si>
    <t>Golf facilities 2025</t>
  </si>
  <si>
    <t>National penetration (per 1,000 pop.)</t>
  </si>
  <si>
    <t>Interested people per member (2025)</t>
  </si>
  <si>
    <t>People interested but not playing (m)</t>
  </si>
  <si>
    <t>Sweden penetration (per 1,000 pop.)</t>
  </si>
  <si>
    <t>1   Golf memberships 2016–2025: a record total built on a narrow base</t>
  </si>
  <si>
    <t>CAVEAT — MAP LABELS</t>
  </si>
  <si>
    <t>Column A of 04_States uses Excel Geography data types so that a regional map can be drawn. Three associations that span two federal states resolve to the larger state only: Lower Saxony also covers Bremen, Rhineland-Palatinate also covers Saarland, and Saxony also covers Thüringen.</t>
  </si>
  <si>
    <t>All figures and population denominators cover the full combined territory, so the rates are correct for the association; only the map label is narrower. Membership is not published below association level in any source. State this in the report's limitations section.</t>
  </si>
  <si>
    <t>Geographic labelling note — map labels are narrower than the reporting units.</t>
  </si>
  <si>
    <t>Column A was converted to Excel Geography data types to drive the regional map. Excel resolves each label to a single federal state, but three associations that span two federal states resolve to the larger state only:</t>
  </si>
  <si>
    <t>Lower Saxony = Niedersachsen AND Bremen   ·   Rhineland-Palatinate = Rheinland-Pfalz AND Saarland   ·   Saxony = Sachsen AND Thüringen.</t>
  </si>
  <si>
    <t>All figures and population denominators in those rows cover the full combined territory — the Lower Saxony row uses 8,709,370 residents (Niedersachsen 8,004,489 + Bremen 704,881). Membership is not published below association level in any source, so no finer split is possible. Read the map as associations plotted on their largest state, not as federal states.</t>
  </si>
  <si>
    <t>Map helper table — one row per federal state</t>
  </si>
  <si>
    <t>Convert column A to Excel Geography data types, then build the regional map from column A and column E. Each federal state carries the rate of the DGV association that serves it, so all sixteen states are shaded. Four associations cover two states each (column B names them).</t>
  </si>
  <si>
    <t>Federal state</t>
  </si>
  <si>
    <t>DGV state association</t>
  </si>
  <si>
    <t>Bavaria</t>
  </si>
  <si>
    <t>Hesse</t>
  </si>
  <si>
    <t>Lower Saxony</t>
  </si>
  <si>
    <t>North Rhine-Westphalia</t>
  </si>
  <si>
    <t>Rhineland-Palatinate</t>
  </si>
  <si>
    <t>Saxony</t>
  </si>
  <si>
    <t>Saxony-Anhalt</t>
  </si>
  <si>
    <t>Thuringia</t>
  </si>
  <si>
    <t>Rows sharing an association carry identical values by construction: Berlin and Brandenburg, Bremen and Lower Saxony, Rhineland-Palatinate and Saarland, Saxony and Thuringia. The map therefore shows association territories, not independently measured states.</t>
  </si>
  <si>
    <t>Berlin/Brandenburg Metropolitan Region</t>
  </si>
  <si>
    <t>Compare 2025 with:</t>
  </si>
  <si>
    <t>▲  pick any year from 2016 to 2024</t>
  </si>
  <si>
    <t>E)  Year selector — drives the comparison on the dashboard</t>
  </si>
  <si>
    <t>Benchmark year (chosen on the dashboard)</t>
  </si>
  <si>
    <t>Players in benchmark year</t>
  </si>
  <si>
    <t>Female share in benchmark year</t>
  </si>
  <si>
    <t>Under-19 members in benchmark year</t>
  </si>
  <si>
    <t>Share aged 61+ in benchmark year</t>
  </si>
  <si>
    <t>Change in members vs benchmark (abs.)</t>
  </si>
  <si>
    <t>Change in members vs benchmark (%)</t>
  </si>
  <si>
    <t>Change in female share (pp)</t>
  </si>
  <si>
    <t>Change in 61+ share (pp)</t>
  </si>
  <si>
    <t>Change in under-19 members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</si>
</sst>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0.0%"/>
    <numFmt numFmtId="166" formatCode="#,##0.0"/>
    <numFmt numFmtId="167" formatCode="\+#,##0.0;\-#,##0.0"/>
    <numFmt numFmtId="168" formatCode="\+#,##0;\-#,##0"/>
    <numFmt numFmtId="169" formatCode="\+0.00;\-0.00"/>
  </numFmts>
  <fonts count="14" x14ac:knownFonts="1">
    <font>
      <sz val="11"/>
      <color theme="1"/>
      <name val="Calibri"/>
      <family val="2"/>
      <scheme val="minor"/>
    </font>
    <font>
      <b/>
      <sz val="14"/>
      <color rgb="FF1A1A1A"/>
      <name val="Calibri"/>
      <family val="2"/>
    </font>
    <font>
      <i/>
      <sz val="9"/>
      <color rgb="FF595959"/>
      <name val="Calibri"/>
      <family val="2"/>
    </font>
    <font>
      <b/>
      <sz val="10"/>
      <name val="Calibri"/>
      <family val="2"/>
    </font>
    <font>
      <b/>
      <sz val="10"/>
      <color rgb="FFFFFFFF"/>
      <name val="Calibri"/>
      <family val="2"/>
    </font>
    <font>
      <b/>
      <sz val="11"/>
      <name val="Calibri"/>
      <family val="2"/>
    </font>
    <font>
      <b/>
      <sz val="11"/>
      <color rgb="FFFFFFFF"/>
      <name val="Calibri"/>
      <family val="2"/>
    </font>
    <font>
      <sz val="10"/>
      <name val="Calibri"/>
      <family val="2"/>
    </font>
    <font>
      <b/>
      <sz val="11"/>
      <name val="Calibri"/>
      <family val="2"/>
    </font>
    <font>
      <b/>
      <sz val="20"/>
      <color rgb="FFFFFFFF"/>
      <name val="Calibri"/>
      <family val="2"/>
    </font>
    <font>
      <b/>
      <sz val="9"/>
      <color rgb="FFFFFFFF"/>
      <name val="Calibri"/>
      <family val="2"/>
    </font>
    <font>
      <b/>
      <sz val="19"/>
      <color rgb="FF1A1A1A"/>
      <name val="Calibri"/>
      <family val="2"/>
    </font>
    <font>
      <b/>
      <sz val="11"/>
      <color rgb="FF1A1A1A"/>
      <name val="Calibri"/>
      <family val="2"/>
    </font>
    <font>
      <i/>
      <sz val="8"/>
      <color rgb="FF595959"/>
      <name val="Calibri"/>
      <family val="2"/>
    </font>
  </fonts>
  <fills count="8">
    <fill>
      <patternFill patternType="none"/>
    </fill>
    <fill>
      <patternFill patternType="gray125"/>
    </fill>
    <fill>
      <patternFill patternType="solid">
        <fgColor rgb="FF0072B2"/>
      </patternFill>
    </fill>
    <fill>
      <patternFill patternType="solid">
        <fgColor rgb="FF1A1A1A"/>
      </patternFill>
    </fill>
    <fill>
      <patternFill patternType="solid">
        <fgColor rgb="FFFDF0D5"/>
      </patternFill>
    </fill>
    <fill>
      <patternFill patternType="solid">
        <fgColor rgb="FFF2F2F2"/>
      </patternFill>
    </fill>
    <fill>
      <patternFill patternType="solid">
        <fgColor rgb="FFE69F00"/>
      </patternFill>
    </fill>
    <fill>
      <patternFill patternType="solid">
        <fgColor rgb="FF999999"/>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48">
    <xf numFmtId="0" fontId="0" fillId="0" borderId="0" xfId="0"/>
    <xf numFmtId="0" fontId="1" fillId="0" borderId="0" xfId="0" applyFont="1"/>
    <xf numFmtId="0" fontId="2" fillId="0" borderId="0" xfId="0" applyFont="1"/>
    <xf numFmtId="0" fontId="3" fillId="0" borderId="0" xfId="0" applyFont="1"/>
    <xf numFmtId="0" fontId="0" fillId="0" borderId="0" xfId="0" applyAlignment="1">
      <alignment vertical="top" wrapText="1"/>
    </xf>
    <xf numFmtId="0" fontId="4" fillId="2" borderId="1" xfId="0" applyFont="1" applyFill="1" applyBorder="1" applyAlignment="1">
      <alignment horizontal="center" vertical="center" wrapText="1"/>
    </xf>
    <xf numFmtId="0" fontId="0" fillId="0" borderId="1" xfId="0" applyBorder="1"/>
    <xf numFmtId="3" fontId="0" fillId="0" borderId="1" xfId="0" applyNumberFormat="1" applyBorder="1"/>
    <xf numFmtId="164" fontId="0" fillId="0" borderId="1" xfId="0" applyNumberFormat="1" applyBorder="1"/>
    <xf numFmtId="165" fontId="0" fillId="0" borderId="1" xfId="0" applyNumberFormat="1" applyBorder="1"/>
    <xf numFmtId="166" fontId="0" fillId="0" borderId="1" xfId="0" applyNumberFormat="1" applyBorder="1"/>
    <xf numFmtId="0" fontId="5" fillId="0" borderId="0" xfId="0" applyFont="1"/>
    <xf numFmtId="0" fontId="7" fillId="0" borderId="1" xfId="0" applyFont="1" applyBorder="1"/>
    <xf numFmtId="0" fontId="5" fillId="0" borderId="1" xfId="0" applyFont="1" applyBorder="1"/>
    <xf numFmtId="3" fontId="5" fillId="0" borderId="1" xfId="0" applyNumberFormat="1" applyFont="1" applyBorder="1"/>
    <xf numFmtId="165" fontId="5" fillId="0" borderId="1" xfId="0" applyNumberFormat="1" applyFont="1" applyBorder="1"/>
    <xf numFmtId="164" fontId="5" fillId="0" borderId="1" xfId="0" applyNumberFormat="1" applyFont="1" applyBorder="1"/>
    <xf numFmtId="4" fontId="0" fillId="0" borderId="1" xfId="0" applyNumberFormat="1" applyBorder="1"/>
    <xf numFmtId="0" fontId="8" fillId="0" borderId="0" xfId="0" applyFont="1"/>
    <xf numFmtId="4" fontId="5" fillId="0" borderId="1" xfId="0" applyNumberFormat="1" applyFont="1" applyBorder="1"/>
    <xf numFmtId="0" fontId="5" fillId="4" borderId="1" xfId="0" applyFont="1" applyFill="1" applyBorder="1"/>
    <xf numFmtId="3" fontId="5" fillId="4" borderId="1" xfId="0" applyNumberFormat="1" applyFont="1" applyFill="1" applyBorder="1"/>
    <xf numFmtId="166" fontId="5" fillId="4" borderId="1" xfId="0" applyNumberFormat="1" applyFont="1" applyFill="1" applyBorder="1"/>
    <xf numFmtId="164" fontId="5" fillId="4" borderId="1" xfId="0" applyNumberFormat="1" applyFont="1" applyFill="1" applyBorder="1"/>
    <xf numFmtId="166" fontId="5" fillId="0" borderId="1" xfId="0" applyNumberFormat="1" applyFont="1" applyBorder="1"/>
    <xf numFmtId="167" fontId="0" fillId="0" borderId="1" xfId="0" applyNumberFormat="1" applyBorder="1"/>
    <xf numFmtId="168" fontId="0" fillId="0" borderId="1" xfId="0" applyNumberFormat="1" applyBorder="1"/>
    <xf numFmtId="168" fontId="5" fillId="0" borderId="1" xfId="0" applyNumberFormat="1" applyFont="1" applyBorder="1"/>
    <xf numFmtId="169" fontId="5" fillId="0" borderId="1" xfId="0" applyNumberFormat="1" applyFont="1" applyBorder="1"/>
    <xf numFmtId="0" fontId="12" fillId="0" borderId="0" xfId="0" applyFont="1"/>
    <xf numFmtId="3" fontId="11" fillId="5" borderId="0" xfId="0" applyNumberFormat="1" applyFont="1" applyFill="1" applyAlignment="1">
      <alignment horizontal="center" vertical="center"/>
    </xf>
    <xf numFmtId="0" fontId="13" fillId="0" borderId="0" xfId="0" applyFont="1" applyAlignment="1">
      <alignment vertical="top" wrapText="1" indent="1"/>
    </xf>
    <xf numFmtId="0" fontId="0" fillId="0" borderId="0" xfId="0"/>
    <xf numFmtId="164" fontId="11" fillId="5" borderId="0" xfId="0" applyNumberFormat="1" applyFont="1" applyFill="1" applyAlignment="1">
      <alignment horizontal="center" vertical="center"/>
    </xf>
    <xf numFmtId="0" fontId="0" fillId="5" borderId="0" xfId="0" applyFill="1"/>
    <xf numFmtId="0" fontId="2" fillId="0" borderId="0" xfId="0" applyFont="1" applyAlignment="1">
      <alignment horizontal="left" indent="1"/>
    </xf>
    <xf numFmtId="0" fontId="10" fillId="2" borderId="0" xfId="0" applyFont="1" applyFill="1" applyAlignment="1">
      <alignment horizontal="center" vertical="center"/>
    </xf>
    <xf numFmtId="0" fontId="0" fillId="2" borderId="0" xfId="0" applyFill="1"/>
    <xf numFmtId="0" fontId="10" fillId="6" borderId="0" xfId="0" applyFont="1" applyFill="1" applyAlignment="1">
      <alignment horizontal="center" vertical="center"/>
    </xf>
    <xf numFmtId="0" fontId="0" fillId="6" borderId="0" xfId="0" applyFill="1"/>
    <xf numFmtId="0" fontId="10" fillId="7" borderId="0" xfId="0" applyFont="1" applyFill="1" applyAlignment="1">
      <alignment horizontal="center" vertical="center"/>
    </xf>
    <xf numFmtId="0" fontId="0" fillId="7" borderId="0" xfId="0" applyFill="1"/>
    <xf numFmtId="0" fontId="2" fillId="0" borderId="0" xfId="0" applyFont="1"/>
    <xf numFmtId="0" fontId="9" fillId="2" borderId="0" xfId="0" applyFont="1" applyFill="1" applyAlignment="1">
      <alignment horizontal="left" vertical="center" indent="1"/>
    </xf>
    <xf numFmtId="165" fontId="11" fillId="5" borderId="0" xfId="0" applyNumberFormat="1" applyFont="1" applyFill="1" applyAlignment="1">
      <alignment horizontal="center" vertical="center"/>
    </xf>
    <xf numFmtId="3" fontId="11" fillId="5" borderId="0" xfId="0" applyNumberFormat="1" applyFont="1" applyFill="1" applyAlignment="1">
      <alignment horizontal="center" vertical="center"/>
    </xf>
    <xf numFmtId="166" fontId="11" fillId="5" borderId="0" xfId="0" applyNumberFormat="1" applyFont="1" applyFill="1" applyAlignment="1">
      <alignment horizontal="center" vertical="center"/>
    </xf>
    <xf numFmtId="0" fontId="6" fillId="3" borderId="0" xfId="0" applyFont="1" applyFill="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0/07/relationships/rdRichValueWebImage" Target="richData/rdRichValueWebImage.xml"/><Relationship Id="rId18" Type="http://schemas.microsoft.com/office/2017/06/relationships/rdSupportingPropertyBagStructure" Target="richData/rdsupportingpropertybagstructure.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sheetMetadata" Target="metadata.xml"/><Relationship Id="rId17" Type="http://schemas.microsoft.com/office/2017/06/relationships/richStyles" Target="richData/richStyles.xml"/><Relationship Id="rId2" Type="http://schemas.openxmlformats.org/officeDocument/2006/relationships/worksheet" Target="worksheets/sheet2.xml"/><Relationship Id="rId16" Type="http://schemas.microsoft.com/office/2017/06/relationships/rdArray" Target="richData/rdarray.xml"/><Relationship Id="rId20"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microsoft.com/office/2017/06/relationships/rdSupportingPropertyBag" Target="richData/rdsupportingpropertybag.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2204252910178455"/>
          <c:y val="4.7110685821622096E-2"/>
          <c:w val="0.85620683932028419"/>
          <c:h val="0.84658906766936382"/>
        </c:manualLayout>
      </c:layout>
      <c:lineChart>
        <c:grouping val="standard"/>
        <c:varyColors val="1"/>
        <c:ser>
          <c:idx val="0"/>
          <c:order val="0"/>
          <c:tx>
            <c:strRef>
              <c:f>'01_Timeseries'!$B$4</c:f>
              <c:strCache>
                <c:ptCount val="1"/>
                <c:pt idx="0">
                  <c:v>Players</c:v>
                </c:pt>
              </c:strCache>
            </c:strRef>
          </c:tx>
          <c:spPr>
            <a:ln w="28000">
              <a:solidFill>
                <a:srgbClr val="0072B2"/>
              </a:solidFill>
              <a:prstDash val="solid"/>
            </a:ln>
          </c:spPr>
          <c:marker>
            <c:symbol val="circle"/>
            <c:size val="6"/>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'01_Timeseries'!$B$5:$B$14</c:f>
              <c:numCache>
                <c:formatCode>#,##0</c:formatCode>
                <c:ptCount val="10"/>
                <c:pt idx="0">
                  <c:v>643158</c:v>
                </c:pt>
                <c:pt idx="1">
                  <c:v>644943</c:v>
                </c:pt>
                <c:pt idx="2">
                  <c:v>642240</c:v>
                </c:pt>
                <c:pt idx="3">
                  <c:v>642677</c:v>
                </c:pt>
                <c:pt idx="4">
                  <c:v>651417</c:v>
                </c:pt>
                <c:pt idx="5">
                  <c:v>673983</c:v>
                </c:pt>
                <c:pt idx="6">
                  <c:v>682942</c:v>
                </c:pt>
                <c:pt idx="7">
                  <c:v>682126</c:v>
                </c:pt>
                <c:pt idx="8">
                  <c:v>686708</c:v>
                </c:pt>
                <c:pt idx="9">
                  <c:v>695617</c:v>
                </c:pt>
              </c:numCache>
            </c:numRef>
          </c:val>
          <c:smooth val="0"/>
          <c:extLst>
            <c:ext xmlns:c16="http://schemas.microsoft.com/office/drawing/2014/chart" uri="{C3380CC4-5D6E-409C-BE32-E72D297353CC}">
              <c16:uniqueId val="{00000000-ED0B-BA48-8D52-378FD2FBB671}"/>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min val="620000"/>
        </c:scaling>
        <c:delete val="0"/>
        <c:axPos val="l"/>
        <c:majorGridlines>
          <c:spPr>
            <a:ln>
              <a:solidFill>
                <a:schemeClr val="tx1">
                  <a:alpha val="25000"/>
                </a:schemeClr>
              </a:solidFill>
            </a:ln>
          </c:spPr>
        </c:majorGridlines>
        <c:title>
          <c:tx>
            <c:rich>
              <a:bodyPr/>
              <a:lstStyle/>
              <a:p>
                <a:pPr>
                  <a:defRPr/>
                </a:pPr>
                <a:r>
                  <a:rPr lang="en-GB"/>
                  <a:t>Players</a:t>
                </a:r>
              </a:p>
            </c:rich>
          </c:tx>
          <c:overlay val="1"/>
        </c:title>
        <c:numFmt formatCode="#,##0" sourceLinked="0"/>
        <c:majorTickMark val="out"/>
        <c:minorTickMark val="none"/>
        <c:tickLblPos val="nextTo"/>
        <c:spPr>
          <a:ln/>
        </c:spPr>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Change in members by age band, 2016 to 2025</a:t>
            </a:r>
          </a:p>
        </c:rich>
      </c:tx>
      <c:overlay val="1"/>
    </c:title>
    <c:autoTitleDeleted val="0"/>
    <c:plotArea>
      <c:layout/>
      <c:barChart>
        <c:barDir val="bar"/>
        <c:grouping val="clustered"/>
        <c:varyColors val="1"/>
        <c:ser>
          <c:idx val="0"/>
          <c:order val="0"/>
          <c:tx>
            <c:strRef>
              <c:f>'06_Metrics'!$D$5</c:f>
              <c:strCache>
                <c:ptCount val="1"/>
                <c:pt idx="0">
                  <c:v>Change (abs.)</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FAB8-8A45-BE57-B854CEAE94E5}"/>
              </c:ext>
            </c:extLst>
          </c:dPt>
          <c:dPt>
            <c:idx val="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3-FAB8-8A45-BE57-B854CEAE94E5}"/>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FAB8-8A45-BE57-B854CEAE94E5}"/>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FAB8-8A45-BE57-B854CEAE94E5}"/>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FAB8-8A45-BE57-B854CEAE94E5}"/>
              </c:ext>
            </c:extLst>
          </c:dPt>
          <c:dPt>
            <c:idx val="5"/>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B-FAB8-8A45-BE57-B854CEAE94E5}"/>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FAB8-8A45-BE57-B854CEAE94E5}"/>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FAB8-8A45-BE57-B854CEAE94E5}"/>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FAB8-8A45-BE57-B854CEAE94E5}"/>
              </c:ext>
            </c:extLst>
          </c:dPt>
          <c:dPt>
            <c:idx val="9"/>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3-FAB8-8A45-BE57-B854CEAE94E5}"/>
              </c:ext>
            </c:extLst>
          </c:dPt>
          <c:dPt>
            <c:idx val="1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5-FAB8-8A45-BE57-B854CEAE94E5}"/>
              </c:ext>
            </c:extLst>
          </c:dPt>
          <c:cat>
            <c:strRef>
              <c:f>'06_Metrics'!$A$6:$A$16</c:f>
              <c:strCache>
                <c:ptCount val="11"/>
                <c:pt idx="0">
                  <c:v>Up to 6</c:v>
                </c:pt>
                <c:pt idx="1">
                  <c:v>7 to 14</c:v>
                </c:pt>
                <c:pt idx="2">
                  <c:v>15 to 18</c:v>
                </c:pt>
                <c:pt idx="3">
                  <c:v>19 to 20</c:v>
                </c:pt>
                <c:pt idx="4">
                  <c:v>21 to 26</c:v>
                </c:pt>
                <c:pt idx="5">
                  <c:v>27 to 35</c:v>
                </c:pt>
                <c:pt idx="6">
                  <c:v>36 to 40</c:v>
                </c:pt>
                <c:pt idx="7">
                  <c:v>41 to 50</c:v>
                </c:pt>
                <c:pt idx="8">
                  <c:v>51 to 55</c:v>
                </c:pt>
                <c:pt idx="9">
                  <c:v>56 to 60</c:v>
                </c:pt>
                <c:pt idx="10">
                  <c:v>61 and over</c:v>
                </c:pt>
              </c:strCache>
            </c:strRef>
          </c:cat>
          <c:val>
            <c:numRef>
              <c:f>'06_Metrics'!$D$6:$D$16</c:f>
              <c:numCache>
                <c:formatCode>#,##0</c:formatCode>
                <c:ptCount val="11"/>
                <c:pt idx="0">
                  <c:v>298</c:v>
                </c:pt>
                <c:pt idx="1">
                  <c:v>-2576</c:v>
                </c:pt>
                <c:pt idx="2">
                  <c:v>1123</c:v>
                </c:pt>
                <c:pt idx="3">
                  <c:v>2145</c:v>
                </c:pt>
                <c:pt idx="4">
                  <c:v>12863</c:v>
                </c:pt>
                <c:pt idx="5">
                  <c:v>16524</c:v>
                </c:pt>
                <c:pt idx="6">
                  <c:v>-3</c:v>
                </c:pt>
                <c:pt idx="7">
                  <c:v>-39109</c:v>
                </c:pt>
                <c:pt idx="8">
                  <c:v>-18304</c:v>
                </c:pt>
                <c:pt idx="9">
                  <c:v>25992</c:v>
                </c:pt>
                <c:pt idx="10">
                  <c:v>53506</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6-FAB8-8A45-BE57-B854CEAE94E5}"/>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layoutTarget val="inner"/>
          <c:xMode val="edge"/>
          <c:yMode val="edge"/>
          <c:x val="0.14138798701298702"/>
          <c:y val="4.77649213295804E-2"/>
          <c:w val="0.83341360028860034"/>
          <c:h val="0.7408498444613294"/>
        </c:manualLayout>
      </c:layout>
      <c:lineChart>
        <c:grouping val="standard"/>
        <c:varyColors val="1"/>
        <c:ser>
          <c:idx val="0"/>
          <c:order val="0"/>
          <c:tx>
            <c:strRef>
              <c:f>'01_Timeseries'!$C$4</c:f>
              <c:strCache>
                <c:ptCount val="1"/>
                <c:pt idx="0">
                  <c:v>Male</c:v>
                </c:pt>
              </c:strCache>
            </c:strRef>
          </c:tx>
          <c:spPr>
            <a:ln w="28000">
              <a:solidFill>
                <a:srgbClr val="0072B2"/>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'01_Timeseries'!$C$5:$C$14</c:f>
              <c:numCache>
                <c:formatCode>#,##0</c:formatCode>
                <c:ptCount val="10"/>
                <c:pt idx="0">
                  <c:v>406551</c:v>
                </c:pt>
                <c:pt idx="1">
                  <c:v>408960</c:v>
                </c:pt>
                <c:pt idx="2">
                  <c:v>408103</c:v>
                </c:pt>
                <c:pt idx="3">
                  <c:v>409205</c:v>
                </c:pt>
                <c:pt idx="4">
                  <c:v>416016</c:v>
                </c:pt>
                <c:pt idx="5">
                  <c:v>431818</c:v>
                </c:pt>
                <c:pt idx="6">
                  <c:v>438469</c:v>
                </c:pt>
                <c:pt idx="7">
                  <c:v>439793</c:v>
                </c:pt>
                <c:pt idx="8">
                  <c:v>445369</c:v>
                </c:pt>
                <c:pt idx="9">
                  <c:v>454062</c:v>
                </c:pt>
              </c:numCache>
            </c:numRef>
          </c:val>
          <c:smooth val="0"/>
          <c:extLst>
            <c:ext xmlns:c16="http://schemas.microsoft.com/office/drawing/2014/chart" uri="{C3380CC4-5D6E-409C-BE32-E72D297353CC}">
              <c16:uniqueId val="{00000000-728F-B24F-B7B8-2DAC7F510B26}"/>
            </c:ext>
          </c:extLst>
        </c:ser>
        <c:ser>
          <c:idx val="1"/>
          <c:order val="1"/>
          <c:tx>
            <c:strRef>
              <c:f>'01_Timeseries'!$D$4</c:f>
              <c:strCache>
                <c:ptCount val="1"/>
                <c:pt idx="0">
                  <c:v>Female</c:v>
                </c:pt>
              </c:strCache>
            </c:strRef>
          </c:tx>
          <c:spPr>
            <a:ln w="28000">
              <a:solidFill>
                <a:srgbClr val="E69F00"/>
              </a:solidFill>
              <a:prstDash val="solid"/>
            </a:ln>
          </c:spPr>
          <c:marker>
            <c:symbol val="circle"/>
            <c:size val="5"/>
            <c:spPr>
              <a:ln>
                <a:prstDash val="solid"/>
              </a:ln>
            </c:spPr>
          </c:marker>
          <c:cat>
            <c:numRef>
              <c:f>'01_Timeseries'!$A$5:$A$14</c:f>
              <c:numCache>
                <c:formatCode>General</c:formatCode>
                <c:ptCount val="10"/>
                <c:pt idx="0">
                  <c:v>2016</c:v>
                </c:pt>
                <c:pt idx="1">
                  <c:v>2017</c:v>
                </c:pt>
                <c:pt idx="2">
                  <c:v>2018</c:v>
                </c:pt>
                <c:pt idx="3">
                  <c:v>2019</c:v>
                </c:pt>
                <c:pt idx="4">
                  <c:v>2020</c:v>
                </c:pt>
                <c:pt idx="5">
                  <c:v>2021</c:v>
                </c:pt>
                <c:pt idx="6">
                  <c:v>2022</c:v>
                </c:pt>
                <c:pt idx="7">
                  <c:v>2023</c:v>
                </c:pt>
                <c:pt idx="8">
                  <c:v>2024</c:v>
                </c:pt>
                <c:pt idx="9">
                  <c:v>2025</c:v>
                </c:pt>
              </c:numCache>
            </c:numRef>
          </c:cat>
          <c:val>
            <c:numRef>
              <c:f>'01_Timeseries'!$D$5:$D$14</c:f>
              <c:numCache>
                <c:formatCode>#,##0</c:formatCode>
                <c:ptCount val="10"/>
                <c:pt idx="0">
                  <c:v>236607</c:v>
                </c:pt>
                <c:pt idx="1">
                  <c:v>235983</c:v>
                </c:pt>
                <c:pt idx="2">
                  <c:v>234137</c:v>
                </c:pt>
                <c:pt idx="3">
                  <c:v>233472</c:v>
                </c:pt>
                <c:pt idx="4">
                  <c:v>235401</c:v>
                </c:pt>
                <c:pt idx="5">
                  <c:v>242165</c:v>
                </c:pt>
                <c:pt idx="6">
                  <c:v>244473</c:v>
                </c:pt>
                <c:pt idx="7">
                  <c:v>242333</c:v>
                </c:pt>
                <c:pt idx="8">
                  <c:v>241339</c:v>
                </c:pt>
                <c:pt idx="9">
                  <c:v>241555</c:v>
                </c:pt>
              </c:numCache>
            </c:numRef>
          </c:val>
          <c:smooth val="0"/>
          <c:extLst>
            <c:ext xmlns:c16="http://schemas.microsoft.com/office/drawing/2014/chart" uri="{C3380CC4-5D6E-409C-BE32-E72D297353CC}">
              <c16:uniqueId val="{00000001-728F-B24F-B7B8-2DAC7F510B26}"/>
            </c:ext>
          </c:extLst>
        </c:ser>
        <c:dLbls>
          <c:showLegendKey val="0"/>
          <c:showVal val="0"/>
          <c:showCatName val="0"/>
          <c:showSerName val="0"/>
          <c:showPercent val="0"/>
          <c:showBubbleSize val="0"/>
        </c:dLbls>
        <c:marker val="1"/>
        <c:smooth val="0"/>
        <c:axId val="10"/>
        <c:axId val="100"/>
      </c:lineChart>
      <c:catAx>
        <c:axId val="10"/>
        <c:scaling>
          <c:orientation val="minMax"/>
        </c:scaling>
        <c:delete val="0"/>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l"/>
        <c:majorGridlines>
          <c:spPr>
            <a:ln>
              <a:solidFill>
                <a:schemeClr val="tx1">
                  <a:alpha val="25000"/>
                </a:schemeClr>
              </a:solidFill>
            </a:ln>
          </c:spPr>
        </c:majorGridlines>
        <c:title>
          <c:tx>
            <c:rich>
              <a:bodyPr/>
              <a:lstStyle/>
              <a:p>
                <a:pPr>
                  <a:defRPr/>
                </a:pPr>
                <a:r>
                  <a:rPr lang="en-GB"/>
                  <a:t>Members</a:t>
                </a:r>
              </a:p>
            </c:rich>
          </c:tx>
          <c:overlay val="1"/>
        </c:title>
        <c:numFmt formatCode="#,##0" sourceLinked="0"/>
        <c:majorTickMark val="out"/>
        <c:minorTickMark val="none"/>
        <c:tickLblPos val="nextTo"/>
        <c:spPr>
          <a:ln/>
        </c:spPr>
        <c:crossAx val="10"/>
        <c:crosses val="autoZero"/>
        <c:crossBetween val="between"/>
      </c:valAx>
    </c:plotArea>
    <c:legend>
      <c:legendPos val="b"/>
      <c:overlay val="0"/>
    </c:legend>
    <c:plotVisOnly val="1"/>
    <c:dispBlanksAs val="gap"/>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Players per 1,000 population, 2025 — ranked (VcG excluded)</a:t>
            </a:r>
          </a:p>
        </c:rich>
      </c:tx>
      <c:layout>
        <c:manualLayout>
          <c:xMode val="edge"/>
          <c:yMode val="edge"/>
          <c:x val="0.20505248917748917"/>
          <c:y val="0"/>
        </c:manualLayout>
      </c:layout>
      <c:overlay val="1"/>
    </c:title>
    <c:autoTitleDeleted val="0"/>
    <c:plotArea>
      <c:layout>
        <c:manualLayout>
          <c:layoutTarget val="inner"/>
          <c:xMode val="edge"/>
          <c:yMode val="edge"/>
          <c:x val="0.41953499278499279"/>
          <c:y val="7.2856302190912492E-2"/>
          <c:w val="0.53498755411255416"/>
          <c:h val="0.83108207460207562"/>
        </c:manualLayout>
      </c:layout>
      <c:barChart>
        <c:barDir val="bar"/>
        <c:grouping val="clustered"/>
        <c:varyColors val="1"/>
        <c:ser>
          <c:idx val="0"/>
          <c:order val="0"/>
          <c:tx>
            <c:strRef>
              <c:f>'06_Metrics'!$D$20</c:f>
              <c:strCache>
                <c:ptCount val="1"/>
                <c:pt idx="0">
                  <c:v>Players per 1,000 pop.</c:v>
                </c:pt>
              </c:strCache>
            </c:strRef>
          </c:tx>
          <c:spPr>
            <a:solidFill>
              <a:srgbClr val="0072B2"/>
            </a:solidFill>
            <a:ln>
              <a:prstDash val="solid"/>
            </a:ln>
          </c:spPr>
          <c:invertIfNegative val="1"/>
          <c:dPt>
            <c:idx val="0"/>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1-E0C8-8F43-85DB-66F8E0F23F2A}"/>
              </c:ext>
            </c:extLst>
          </c:dPt>
          <c:dPt>
            <c:idx val="1"/>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3-E0C8-8F43-85DB-66F8E0F23F2A}"/>
              </c:ext>
            </c:extLst>
          </c:dPt>
          <c:dPt>
            <c:idx val="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5-E0C8-8F43-85DB-66F8E0F23F2A}"/>
              </c:ext>
            </c:extLst>
          </c:dPt>
          <c:dPt>
            <c:idx val="3"/>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7-E0C8-8F43-85DB-66F8E0F23F2A}"/>
              </c:ext>
            </c:extLst>
          </c:dPt>
          <c:dPt>
            <c:idx val="4"/>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09-E0C8-8F43-85DB-66F8E0F23F2A}"/>
              </c:ext>
            </c:extLst>
          </c:dPt>
          <c:dPt>
            <c:idx val="5"/>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B-E0C8-8F43-85DB-66F8E0F23F2A}"/>
              </c:ext>
            </c:extLst>
          </c:dPt>
          <c:dPt>
            <c:idx val="6"/>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D-E0C8-8F43-85DB-66F8E0F23F2A}"/>
              </c:ext>
            </c:extLst>
          </c:dPt>
          <c:dPt>
            <c:idx val="7"/>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0F-E0C8-8F43-85DB-66F8E0F23F2A}"/>
              </c:ext>
            </c:extLst>
          </c:dPt>
          <c:dPt>
            <c:idx val="8"/>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1-E0C8-8F43-85DB-66F8E0F23F2A}"/>
              </c:ext>
            </c:extLst>
          </c:dPt>
          <c:dPt>
            <c:idx val="9"/>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3-E0C8-8F43-85DB-66F8E0F23F2A}"/>
              </c:ext>
            </c:extLst>
          </c:dPt>
          <c:dPt>
            <c:idx val="10"/>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5-E0C8-8F43-85DB-66F8E0F23F2A}"/>
              </c:ext>
            </c:extLst>
          </c:dPt>
          <c:dPt>
            <c:idx val="11"/>
            <c:invertIfNegative val="1"/>
            <c:bubble3D val="0"/>
            <c:spPr>
              <a:solidFill>
                <a:srgbClr val="E69F00"/>
              </a:solidFill>
              <a:ln>
                <a:solidFill>
                  <a:srgbClr val="E69F00"/>
                </a:solidFill>
                <a:prstDash val="solid"/>
              </a:ln>
            </c:spPr>
            <c:extLst>
              <c:ext xmlns:c16="http://schemas.microsoft.com/office/drawing/2014/chart" uri="{C3380CC4-5D6E-409C-BE32-E72D297353CC}">
                <c16:uniqueId val="{00000017-E0C8-8F43-85DB-66F8E0F23F2A}"/>
              </c:ext>
            </c:extLst>
          </c:dPt>
          <c:dLbls>
            <c:dLbl>
              <c:idx val="7"/>
              <c:layout>
                <c:manualLayout>
                  <c:x val="-4.5815295815295814E-3"/>
                  <c:y val="-7.0299128608997054E-17"/>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E0C8-8F43-85DB-66F8E0F23F2A}"/>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'06_Metrics'!$A$21:$A$32</c:f>
              <c:strCache>
                <c:ptCount val="12"/>
                <c:pt idx="0">
                  <c:v>Schleswig-Holstein</c:v>
                </c:pt>
                <c:pt idx="1">
                  <c:v>Mecklenburg-Vorpommern</c:v>
                </c:pt>
                <c:pt idx="2">
                  <c:v>Hamburg</c:v>
                </c:pt>
                <c:pt idx="3">
                  <c:v>Bavaria</c:v>
                </c:pt>
                <c:pt idx="4">
                  <c:v>Lower Saxony</c:v>
                </c:pt>
                <c:pt idx="5">
                  <c:v>North Rhine-Westphalia</c:v>
                </c:pt>
                <c:pt idx="6">
                  <c:v>Hesse</c:v>
                </c:pt>
                <c:pt idx="7">
                  <c:v>Baden-Württemberg</c:v>
                </c:pt>
                <c:pt idx="8">
                  <c:v>Rhineland-Palatinate</c:v>
                </c:pt>
                <c:pt idx="9">
                  <c:v>Berlin/Brandenburg Metropolitan Region</c:v>
                </c:pt>
                <c:pt idx="10">
                  <c:v>Saxony</c:v>
                </c:pt>
                <c:pt idx="11">
                  <c:v>Saxony-Anhalt</c:v>
                </c:pt>
              </c:strCache>
            </c:strRef>
          </c:cat>
          <c:val>
            <c:numRef>
              <c:f>'06_Metrics'!$D$21:$D$32</c:f>
              <c:numCache>
                <c:formatCode>#,##0.0</c:formatCode>
                <c:ptCount val="12"/>
                <c:pt idx="0">
                  <c:v>18.405368173252594</c:v>
                </c:pt>
                <c:pt idx="1">
                  <c:v>11.916647019535498</c:v>
                </c:pt>
                <c:pt idx="2">
                  <c:v>11.864820825045031</c:v>
                </c:pt>
                <c:pt idx="3">
                  <c:v>10.906618256209105</c:v>
                </c:pt>
                <c:pt idx="4">
                  <c:v>9.044511830362012</c:v>
                </c:pt>
                <c:pt idx="5">
                  <c:v>8.0263034300899836</c:v>
                </c:pt>
                <c:pt idx="6">
                  <c:v>7.9195413700149011</c:v>
                </c:pt>
                <c:pt idx="7">
                  <c:v>6.7650444633234272</c:v>
                </c:pt>
                <c:pt idx="8">
                  <c:v>5.8566119053777825</c:v>
                </c:pt>
                <c:pt idx="9">
                  <c:v>4.4500074655415593</c:v>
                </c:pt>
                <c:pt idx="10">
                  <c:v>2.2296387955848074</c:v>
                </c:pt>
                <c:pt idx="11">
                  <c:v>1.0151728064798742</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18-E0C8-8F43-85DB-66F8E0F23F2A}"/>
            </c:ext>
          </c:extLst>
        </c:ser>
        <c:dLbls>
          <c:dLblPos val="outEnd"/>
          <c:showLegendKey val="0"/>
          <c:showVal val="1"/>
          <c:showCatName val="0"/>
          <c:showSerName val="0"/>
          <c:showPercent val="0"/>
          <c:showBubbleSize val="0"/>
        </c:dLbls>
        <c:gapWidth val="150"/>
        <c:axId val="10"/>
        <c:axId val="100"/>
      </c:barChart>
      <c:scatterChart>
        <c:scatterStyle val="lineMarker"/>
        <c:varyColors val="0"/>
        <c:ser>
          <c:idx val="1"/>
          <c:order val="1"/>
          <c:tx>
            <c:v>National average (8.3)</c:v>
          </c:tx>
          <c:spPr>
            <a:ln w="19050" cap="rnd">
              <a:solidFill>
                <a:srgbClr val="C00000"/>
              </a:solidFill>
              <a:prstDash val="dash"/>
            </a:ln>
          </c:spPr>
          <c:marker>
            <c:symbol val="none"/>
          </c:marker>
          <c:dLbls>
            <c:delete val="1"/>
          </c:dLbls>
          <c:xVal>
            <c:numLit>
              <c:formatCode>General</c:formatCode>
              <c:ptCount val="2"/>
              <c:pt idx="0">
                <c:v>8.3231000000000002</c:v>
              </c:pt>
              <c:pt idx="1">
                <c:v>8.3231000000000002</c:v>
              </c:pt>
            </c:numLit>
          </c:xVal>
          <c:yVal>
            <c:numLit>
              <c:formatCode>General</c:formatCode>
              <c:ptCount val="2"/>
              <c:pt idx="0">
                <c:v>0</c:v>
              </c:pt>
              <c:pt idx="1">
                <c:v>1</c:v>
              </c:pt>
            </c:numLit>
          </c:yVal>
          <c:smooth val="0"/>
          <c:extLst>
            <c:ext xmlns:c16="http://schemas.microsoft.com/office/drawing/2014/chart" uri="{C3380CC4-5D6E-409C-BE32-E72D297353CC}">
              <c16:uniqueId val="{00000018-9CF7-5B4A-B776-7FF0CBDC286F}"/>
            </c:ext>
          </c:extLst>
        </c:ser>
        <c:dLbls>
          <c:showLegendKey val="0"/>
          <c:showVal val="1"/>
          <c:showCatName val="0"/>
          <c:showSerName val="0"/>
          <c:showPercent val="0"/>
          <c:showBubbleSize val="0"/>
        </c:dLbls>
        <c:axId val="200"/>
        <c:axId val="300"/>
      </c:scatte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max val="20"/>
          <c:min val="0"/>
        </c:scaling>
        <c:delete val="0"/>
        <c:axPos val="b"/>
        <c:numFmt formatCode="#,##0.0" sourceLinked="0"/>
        <c:majorTickMark val="none"/>
        <c:minorTickMark val="none"/>
        <c:tickLblPos val="nextTo"/>
        <c:crossAx val="10"/>
        <c:crosses val="autoZero"/>
        <c:crossBetween val="between"/>
      </c:valAx>
      <c:valAx>
        <c:axId val="200"/>
        <c:scaling>
          <c:orientation val="minMax"/>
          <c:max val="20"/>
          <c:min val="0"/>
        </c:scaling>
        <c:delete val="1"/>
        <c:axPos val="b"/>
        <c:numFmt formatCode="General" sourceLinked="1"/>
        <c:majorTickMark val="cross"/>
        <c:minorTickMark val="cross"/>
        <c:tickLblPos val="nextTo"/>
        <c:crossAx val="300"/>
        <c:crosses val="autoZero"/>
        <c:crossBetween val="midCat"/>
      </c:valAx>
      <c:valAx>
        <c:axId val="300"/>
        <c:scaling>
          <c:orientation val="minMax"/>
          <c:max val="1"/>
          <c:min val="0"/>
        </c:scaling>
        <c:delete val="1"/>
        <c:axPos val="l"/>
        <c:numFmt formatCode="General" sourceLinked="1"/>
        <c:majorTickMark val="cross"/>
        <c:minorTickMark val="cross"/>
        <c:tickLblPos val="nextTo"/>
        <c:crossAx val="200"/>
        <c:crosses val="autoZero"/>
        <c:crossBetween val="midCat"/>
      </c:valAx>
    </c:plotArea>
    <c:plotVisOnly val="1"/>
    <c:dispBlanksAs val="gap"/>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a:defRPr/>
            </a:pPr>
            <a:r>
              <a:rPr lang="en-GB"/>
              <a:t>Registered golfers per 1,000 population, 2024</a:t>
            </a:r>
          </a:p>
        </c:rich>
      </c:tx>
      <c:overlay val="1"/>
    </c:title>
    <c:autoTitleDeleted val="0"/>
    <c:plotArea>
      <c:layout/>
      <c:barChart>
        <c:barDir val="bar"/>
        <c:grouping val="clustered"/>
        <c:varyColors val="1"/>
        <c:ser>
          <c:idx val="0"/>
          <c:order val="0"/>
          <c:tx>
            <c:strRef>
              <c:f>'05_Europe'!$H$4</c:f>
              <c:strCache>
                <c:ptCount val="1"/>
                <c:pt idx="0">
                  <c:v>Per 1,000 population</c:v>
                </c:pt>
              </c:strCache>
            </c:strRef>
          </c:tx>
          <c:spPr>
            <a:solidFill>
              <a:srgbClr val="999999"/>
            </a:solidFill>
            <a:ln>
              <a:prstDash val="solid"/>
            </a:ln>
          </c:spPr>
          <c:invertIfNegative val="1"/>
          <c:dPt>
            <c:idx val="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1-8AB7-4941-8BBB-888069DA56AC}"/>
              </c:ext>
            </c:extLst>
          </c:dPt>
          <c:dPt>
            <c:idx val="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3-8AB7-4941-8BBB-888069DA56AC}"/>
              </c:ext>
            </c:extLst>
          </c:dPt>
          <c:dPt>
            <c:idx val="2"/>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5-8AB7-4941-8BBB-888069DA56AC}"/>
              </c:ext>
            </c:extLst>
          </c:dPt>
          <c:dPt>
            <c:idx val="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7-8AB7-4941-8BBB-888069DA56AC}"/>
              </c:ext>
            </c:extLst>
          </c:dPt>
          <c:dPt>
            <c:idx val="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9-8AB7-4941-8BBB-888069DA56AC}"/>
              </c:ext>
            </c:extLst>
          </c:dPt>
          <c:dPt>
            <c:idx val="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B-8AB7-4941-8BBB-888069DA56AC}"/>
              </c:ext>
            </c:extLst>
          </c:dPt>
          <c:dPt>
            <c:idx val="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D-8AB7-4941-8BBB-888069DA56AC}"/>
              </c:ext>
            </c:extLst>
          </c:dPt>
          <c:dPt>
            <c:idx val="7"/>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0F-8AB7-4941-8BBB-888069DA56AC}"/>
              </c:ext>
            </c:extLst>
          </c:dPt>
          <c:dPt>
            <c:idx val="8"/>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1-8AB7-4941-8BBB-888069DA56AC}"/>
              </c:ext>
            </c:extLst>
          </c:dPt>
          <c:dPt>
            <c:idx val="9"/>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3-8AB7-4941-8BBB-888069DA56AC}"/>
              </c:ext>
            </c:extLst>
          </c:dPt>
          <c:dPt>
            <c:idx val="10"/>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5-8AB7-4941-8BBB-888069DA56AC}"/>
              </c:ext>
            </c:extLst>
          </c:dPt>
          <c:dPt>
            <c:idx val="11"/>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7-8AB7-4941-8BBB-888069DA56AC}"/>
              </c:ext>
            </c:extLst>
          </c:dPt>
          <c:dPt>
            <c:idx val="12"/>
            <c:invertIfNegative val="1"/>
            <c:bubble3D val="0"/>
            <c:spPr>
              <a:solidFill>
                <a:srgbClr val="0072B2"/>
              </a:solidFill>
              <a:ln>
                <a:solidFill>
                  <a:srgbClr val="0072B2"/>
                </a:solidFill>
                <a:prstDash val="solid"/>
              </a:ln>
            </c:spPr>
            <c:extLst>
              <c:ext xmlns:c16="http://schemas.microsoft.com/office/drawing/2014/chart" uri="{C3380CC4-5D6E-409C-BE32-E72D297353CC}">
                <c16:uniqueId val="{00000019-8AB7-4941-8BBB-888069DA56AC}"/>
              </c:ext>
            </c:extLst>
          </c:dPt>
          <c:dPt>
            <c:idx val="13"/>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B-8AB7-4941-8BBB-888069DA56AC}"/>
              </c:ext>
            </c:extLst>
          </c:dPt>
          <c:dPt>
            <c:idx val="14"/>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D-8AB7-4941-8BBB-888069DA56AC}"/>
              </c:ext>
            </c:extLst>
          </c:dPt>
          <c:dPt>
            <c:idx val="15"/>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1F-8AB7-4941-8BBB-888069DA56AC}"/>
              </c:ext>
            </c:extLst>
          </c:dPt>
          <c:dPt>
            <c:idx val="16"/>
            <c:invertIfNegative val="1"/>
            <c:bubble3D val="0"/>
            <c:spPr>
              <a:solidFill>
                <a:srgbClr val="999999"/>
              </a:solidFill>
              <a:ln>
                <a:solidFill>
                  <a:srgbClr val="999999"/>
                </a:solidFill>
                <a:prstDash val="solid"/>
              </a:ln>
            </c:spPr>
            <c:extLst>
              <c:ext xmlns:c16="http://schemas.microsoft.com/office/drawing/2014/chart" uri="{C3380CC4-5D6E-409C-BE32-E72D297353CC}">
                <c16:uniqueId val="{00000021-8AB7-4941-8BBB-888069DA56AC}"/>
              </c:ext>
            </c:extLst>
          </c:dPt>
          <c:cat>
            <c:strRef>
              <c:f>'05_Europe'!$A$5:$A$21</c:f>
              <c:strCache>
                <c:ptCount val="17"/>
                <c:pt idx="0">
                  <c:v>Iceland</c:v>
                </c:pt>
                <c:pt idx="1">
                  <c:v>Sweden</c:v>
                </c:pt>
                <c:pt idx="2">
                  <c:v>Scotland</c:v>
                </c:pt>
                <c:pt idx="3">
                  <c:v>Ireland</c:v>
                </c:pt>
                <c:pt idx="4">
                  <c:v>Finland</c:v>
                </c:pt>
                <c:pt idx="5">
                  <c:v>Denmark</c:v>
                </c:pt>
                <c:pt idx="6">
                  <c:v>Norway</c:v>
                </c:pt>
                <c:pt idx="7">
                  <c:v>Netherlands</c:v>
                </c:pt>
                <c:pt idx="8">
                  <c:v>Wales</c:v>
                </c:pt>
                <c:pt idx="9">
                  <c:v>England</c:v>
                </c:pt>
                <c:pt idx="10">
                  <c:v>Switzerland</c:v>
                </c:pt>
                <c:pt idx="11">
                  <c:v>Austria</c:v>
                </c:pt>
                <c:pt idx="12">
                  <c:v>Germany</c:v>
                </c:pt>
                <c:pt idx="13">
                  <c:v>Belgium</c:v>
                </c:pt>
                <c:pt idx="14">
                  <c:v>France</c:v>
                </c:pt>
                <c:pt idx="15">
                  <c:v>Spain</c:v>
                </c:pt>
                <c:pt idx="16">
                  <c:v>Italy</c:v>
                </c:pt>
              </c:strCache>
            </c:strRef>
          </c:cat>
          <c:val>
            <c:numRef>
              <c:f>'05_Europe'!$H$5:$H$21</c:f>
              <c:numCache>
                <c:formatCode>#,##0.0</c:formatCode>
                <c:ptCount val="17"/>
                <c:pt idx="0">
                  <c:v>66.986314951862084</c:v>
                </c:pt>
                <c:pt idx="1">
                  <c:v>53.307071937218645</c:v>
                </c:pt>
                <c:pt idx="2">
                  <c:v>38.301305987140488</c:v>
                </c:pt>
                <c:pt idx="3">
                  <c:v>31.179164360819037</c:v>
                </c:pt>
                <c:pt idx="4">
                  <c:v>27.993820102075411</c:v>
                </c:pt>
                <c:pt idx="5">
                  <c:v>27.401768166280814</c:v>
                </c:pt>
                <c:pt idx="6">
                  <c:v>27.0469168565659</c:v>
                </c:pt>
                <c:pt idx="7">
                  <c:v>24.997766698064346</c:v>
                </c:pt>
                <c:pt idx="8">
                  <c:v>16.6353811149033</c:v>
                </c:pt>
                <c:pt idx="9">
                  <c:v>13.706428983728633</c:v>
                </c:pt>
                <c:pt idx="10">
                  <c:v>11.825821354479528</c:v>
                </c:pt>
                <c:pt idx="11">
                  <c:v>10.395147222972657</c:v>
                </c:pt>
                <c:pt idx="12">
                  <c:v>8.2457732949087408</c:v>
                </c:pt>
                <c:pt idx="13">
                  <c:v>6.6548897074449611</c:v>
                </c:pt>
                <c:pt idx="14">
                  <c:v>6.4804844846611509</c:v>
                </c:pt>
                <c:pt idx="15">
                  <c:v>6.3209143890604578</c:v>
                </c:pt>
                <c:pt idx="16">
                  <c:v>1.5949221502886548</c:v>
                </c:pt>
              </c:numCache>
            </c:numRef>
          </c:val>
          <c:extLst>
            <c:ext xmlns:c14="http://schemas.microsoft.com/office/drawing/2007/8/2/chart" uri="{6F2FDCE9-48DA-4B69-8628-5D25D57E5C99}">
              <c14:invertSolidFillFmt>
                <c14:spPr xmlns:c14="http://schemas.microsoft.com/office/drawing/2007/8/2/chart">
                  <a:solidFill>
                    <a:srgbClr val="FFFFFF"/>
                  </a:solidFill>
                  <a:ln>
                    <a:prstDash val="solid"/>
                  </a:ln>
                </c14:spPr>
              </c14:invertSolidFillFmt>
            </c:ext>
            <c:ext xmlns:c16="http://schemas.microsoft.com/office/drawing/2014/chart" uri="{C3380CC4-5D6E-409C-BE32-E72D297353CC}">
              <c16:uniqueId val="{00000022-8AB7-4941-8BBB-888069DA56AC}"/>
            </c:ext>
          </c:extLst>
        </c:ser>
        <c:dLbls>
          <c:showLegendKey val="0"/>
          <c:showVal val="0"/>
          <c:showCatName val="0"/>
          <c:showSerName val="0"/>
          <c:showPercent val="0"/>
          <c:showBubbleSize val="0"/>
        </c:dLbls>
        <c:gapWidth val="150"/>
        <c:axId val="10"/>
        <c:axId val="100"/>
      </c:barChart>
      <c:catAx>
        <c:axId val="10"/>
        <c:scaling>
          <c:orientation val="minMax"/>
        </c:scaling>
        <c:delete val="0"/>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0"/>
        <c:axPos val="b"/>
        <c:numFmt formatCode="#,##0.0" sourceLinked="0"/>
        <c:majorTickMark val="none"/>
        <c:minorTickMark val="none"/>
        <c:tickLblPos val="nextTo"/>
        <c:crossAx val="10"/>
        <c:crosses val="autoZero"/>
        <c:crossBetween val="between"/>
      </c:valAx>
    </c:plotArea>
    <c:plotVisOnly val="1"/>
    <c:dispBlanksAs val="gap"/>
    <c:showDLblsOverMax val="1"/>
  </c:chart>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_xlchart.v2.13</cx:f>
      </cx:strDim>
      <cx:numDim type="val">
        <cx:f>_xlchart.v2.15</cx:f>
      </cx:numDim>
    </cx:data>
  </cx:chartData>
  <cx:chart>
    <cx:title pos="t" align="ctr" overlay="0">
      <cx:tx>
        <cx:txData>
          <cx:v>From awareness to membership, 2025 (millions)</cx:v>
        </cx:txData>
      </cx:tx>
      <cx:txPr>
        <a:bodyPr rot="0" spcFirstLastPara="1" vertOverflow="ellipsis" vert="horz" wrap="square" lIns="38100" tIns="19050" rIns="38100" bIns="19050" anchor="ctr" anchorCtr="1" compatLnSpc="0"/>
        <a:lstStyle/>
        <a:p>
          <a:pPr algn="ctr" rtl="0">
            <a:defRPr sz="1000" b="1" i="0" u="none" strike="noStrike" kern="1200" baseline="0">
              <a:solidFill>
                <a:sysClr val="windowText" lastClr="000000"/>
              </a:solidFill>
              <a:latin typeface="+mn-lt"/>
              <a:ea typeface="+mn-ea"/>
              <a:cs typeface="+mn-cs"/>
            </a:defRPr>
          </a:pPr>
          <a:r>
            <a:rPr kumimoji="0" lang="en-GB" sz="1000" b="1" i="0" u="none" strike="noStrike" kern="1200" cap="none" spc="0" normalizeH="0" baseline="0" noProof="0">
              <a:ln>
                <a:noFill/>
              </a:ln>
              <a:solidFill>
                <a:sysClr val="windowText" lastClr="000000"/>
              </a:solidFill>
              <a:effectLst/>
              <a:uLnTx/>
              <a:uFillTx/>
              <a:latin typeface="Calibri"/>
            </a:rPr>
            <a:t>From awareness to membership, 2025 (millions)</a:t>
          </a:r>
        </a:p>
      </cx:txPr>
    </cx:title>
    <cx:plotArea>
      <cx:plotAreaRegion>
        <cx:series layoutId="funnel" uniqueId="{0E9DE880-CC39-A243-A639-3B741B005283}">
          <cx:tx>
            <cx:txData>
              <cx:f>_xlchart.v2.14</cx:f>
              <cx:v>2025</cx:v>
            </cx:txData>
          </cx:tx>
          <cx:dataPt idx="0"/>
          <cx:dataPt idx="1"/>
          <cx:dataId val="0"/>
        </cx:series>
      </cx:plotAreaRegion>
      <cx:axis id="1">
        <cx:catScaling/>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entityId">
        <cx:lvl ptCount="16">
          <cx:pt idx="0">2537</cx:pt>
          <cx:pt idx="1">8255245</cx:pt>
          <cx:pt idx="2">7017957146650214401</cx:pt>
          <cx:pt idx="3">8248738</cx:pt>
          <cx:pt idx="4">41760</cx:pt>
          <cx:pt idx="5">7010772237493993473</cx:pt>
          <cx:pt idx="6">8208586</cx:pt>
          <cx:pt idx="7">23331</cx:pt>
          <cx:pt idx="8">8175722</cx:pt>
          <cx:pt idx="9">8164991</cx:pt>
          <cx:pt idx="10">27654</cx:pt>
          <cx:pt idx="11">28479</cx:pt>
          <cx:pt idx="12">8145598</cx:pt>
          <cx:pt idx="13">8145597</cx:pt>
          <cx:pt idx="14">8141652</cx:pt>
          <cx:pt idx="15"/>
        </cx:lvl>
      </cx:strDim>
      <cx:strDim type="cat">
        <cx:f>_xlchart.v6.9</cx:f>
        <cx:nf>_xlchart.v6.12</cx:nf>
      </cx:strDim>
      <cx:numDim type="colorVal">
        <cx:f>_xlchart.v6.11</cx:f>
      </cx:numDim>
    </cx:data>
  </cx:chartData>
  <cx:chart>
    <cx:title pos="t" align="ctr" overlay="0">
      <cx:tx>
        <cx:txData>
          <cx:v>Players per 1,000 population, 2025 — ranked (VcG excluded)</cx:v>
        </cx:txData>
      </cx:tx>
      <cx:txPr>
        <a:bodyPr rot="0" spcFirstLastPara="1" vertOverflow="ellipsis" vert="horz" wrap="square" lIns="38100" tIns="19050" rIns="38100" bIns="19050" anchor="ctr" anchorCtr="1" compatLnSpc="0"/>
        <a:lstStyle/>
        <a:p>
          <a:pPr algn="ctr" rtl="0">
            <a:defRPr sz="1800" b="1" i="0" u="none" strike="noStrike" kern="1200" baseline="0">
              <a:solidFill>
                <a:sysClr val="windowText" lastClr="000000"/>
              </a:solidFill>
              <a:latin typeface="+mn-lt"/>
              <a:ea typeface="+mn-ea"/>
              <a:cs typeface="+mn-cs"/>
            </a:defRPr>
          </a:pPr>
          <a:r>
            <a:rPr kumimoji="0" lang="en-GB" sz="1800" b="1" i="0" u="none" strike="noStrike" kern="1200" cap="none" spc="0" normalizeH="0" baseline="0" noProof="0">
              <a:ln>
                <a:noFill/>
              </a:ln>
              <a:solidFill>
                <a:sysClr val="windowText" lastClr="000000"/>
              </a:solidFill>
              <a:effectLst/>
              <a:uLnTx/>
              <a:uFillTx/>
              <a:latin typeface="Calibri"/>
            </a:rPr>
            <a:t>Players per 1,000 population, 2025 — ranked (VcG excluded)</a:t>
          </a:r>
        </a:p>
      </cx:txPr>
    </cx:title>
    <cx:plotArea>
      <cx:plotAreaRegion>
        <cx:series layoutId="regionMap" uniqueId="{FF8B1334-FBE9-C849-9DD2-87A49D6C29A5}">
          <cx:tx>
            <cx:txData>
              <cx:f>_xlchart.v6.10</cx:f>
              <cx:v>Players per 1,000 pop.</cx:v>
            </cx:txData>
          </cx:tx>
          <cx:dataPt idx="4"/>
          <cx:dataPt idx="7"/>
          <cx:dataPt idx="11"/>
          <cx:dataPt idx="12"/>
          <cx:dataLabels>
            <cx:visibility seriesName="0" categoryName="0" value="1"/>
          </cx:dataLabels>
          <cx:dataId val="0"/>
          <cx:layoutPr>
            <cx:geography cultureLanguage="en-GB" cultureRegion="DE" attribution="Powered by Bing">
              <cx:geoCache provider="{E9337A44-BEBE-4D9F-B70C-5C5E7DAFC167}">
                <cx:binary>7HpHk91Gsu5fUXD9QJU3E6O7KADHte8mm01uEM1mswpAwQMF8+tfHpkZitKVZvY3gsHgIVyZrPxM
5j9fln+8+Nfn/oel8vXwj5flpzduHNt//Pjj8OJeq+fhbZW/9M3QfB3fvjTVj83Xr/nL649f+uc5
r+2PBGH244t77sfX5c3//BPeZl+b5Hl8TusxH9e76bVf71+HyY/DX179Xy7+8Prza96t7etPb56/
VHmd5MPY5y/jm18vHb/89EYhxiUTb3748dvX/HrD9XMFz5rX3uf1nz70+jyMP73B9K0USBGtCedU
YqTf/DC//noFacy0pkQJDH/hNz/UTT+6n95w8lZIJbjkFEuqfr40NNOvlyhVmihCiOCC8H+tzm3j
V9vU/1qPX3//UE/VbZPX4/DTG0re/ND+ctt5fhJhqQXCmhDKESYYcbj+8nwPOwB34/8nvIz44qop
7tesiVdOc8NkUxiPqyXOVJMlZO7yuMgJ3rVFXRunRW5Qpm5E0X5uSj7Fs7Snsle3TUVIgliUimBV
Ijfr0xqrbUejlZoGb3d1M4SPaqbjqXP8WLvpHnfVJRfjvpjFEFfrOsfED4eymM03W/In01R/M0vY
0W9nOU5r31RROcWinLJjj7K7WnfHkYQ57sJiupkW8eT85V9/leI/rK5CCCnJsOCEaoXZ7787qzxb
/VSFWObrkx3a1nQLuhQtrCihURXrSY1GdVWetFO+7Ja2z5OpmJ9I1X1w+GFtZZY6nL8XI31vR1TG
K0bOLE6maiiOmWrfUe13TZS/uHxT6VxEu74uPyk2VyZ0jpgurJ/YNMyppf5+Lkpptj7bL6EsjfL6
y1Aun8aSfNjo8I4FKkyN5bNwaDKSVtesXPNbgqL5rmyyj9i5x5GQr2NWkngRVdp19WsrHYu1RDqx
eOv2K8pYErT2e0QVPRDczkb31eU62SdclqdAZTKteog3vq3x6vpPFmdP5xdV25InW+FUoqknCY66
OR5ENsOp7S5VWbu70koVd3jIr5Rm7HbN8ddCiZDyzuHYi43FEg9Z4qLCxlvP1juNRbjjuVZmrglO
tfNbYsfxEaHBG+rHPu3LRu2dcrmpOW5MtBGUFhnL0mmwT5nFIt4qIWEwXsfr5NwF49ViijVEaeUQ
SaUr8iSw5l6XY+LmjJ3QQjN4N9lMvhW3Gw+18QPeiTCXRjfzDk6ZNbxZXVr4wZp6a+c4qxtvFLfd
bV95b8Jo3+lzSFRL78wwhmpfz3a5VLmz+2HYbAJ7PcZ98Kefh8NZdLco9nVqvnol56u5l9wsZd6b
ZUTPfUVZImQrTaSISLO8P0JArs/5OF1XildGaISNXug7FagyHIs89tEAWyGu9Uofps1edlVxYG4l
8Ta0+c7rsEdDbjZGW0MKf8eY7i975clx5OO6p3CCzztasiI3pWZTGhVbeRwgzJqMrSmiszfnwBMT
nZIy8/hOeCZNwAPfLZEPheny0Sd9Jcujr/yThpPFDWLbVcOzqxVHn8emb5OZ6GOxrgnjudpZsqaD
Q0kRsiumyC2koofFy9oEmjNTdP6TJfO+0u6Rcn+D9fhZZbkwJNu84VuEUlWpm5mJRzq7/Sb1IRQL
bFTQrzPsn7HrIOKxCmyHVEhsWWZxyHpu8IRSVqwf2OyiOHPdA6q79lY51CT94ErTuQ6S5Tw+QA5M
Vr46U49Fuyslu6428VSisjbrlF0PVB+2KHucI/yVenbBQ7gui8zFs8/iqq17mGDWmULjq7mFBVJ0
SJdt3EEQxLPOID/zpjK2h91Z3Ge/TifXYpFKu/m4cLUyRQ4nPurdoVsniPZsa2My4Iu128rYu+lq
ylt3kduhvOxQGOMZMC+to3G82kan9qRF5a6x7ZLafJCmWMblJotmI6IxvG+yGiJZQjbRSyGOdRfZ
wxy21gyFzZKeNsHM1D9GedN/QLh8v5VWGTVO4TG0AAW9W92F3cp+PzUi+uyWrIHcFPCSCu4yo0TZ
7XgYy/fnaPZtObyIukZmmASCbC5OCE8w6aWPWdHIuxHhOKuesmFpjLLdmIhsokmE3K3V3CZzY6/r
elhiuXXeTCob4p9T/o+/0I/fAexL0659bt2v/ONfP//nXVPBn3+en/n3f54JzL9/Xf3GfP7yrv1r
c+YYw/c3/e7NgPa/ju5Mjn734w9M6VsS859e/M+IEqaUAq/532nS4bn6PPX2W5706zO/siT0lhIO
qUIzyhlhgOC/kCT1lkqJlRZUEIqYUHDlN5JE32rBMFwEnoQ1UKU3P/xGkuhbyApKKC6Q1Bhh8d+w
pDMJ+h1JQlQLDmRQMwlDYN/B+EjpmiOOqjiv+gdVNFeNFnEe8NU3K/InLOVPPyM5IRoWUzD13WfK
frYVl6SC6MQvdtQqtkzvpo42f0OHyPlNf5gQ8EsBa0aZ4mfe8g3rK22JYQCsiteepmMz5THDRWEi
ul72QPXixi+rmSP17OrSGcvmeGTTUdX1VT0Xp0gspt/au77gIp031hhfDKvp1vpaNR7FyNF3pO1u
G1FgE1UL+pvhyz8bPdBphTEXHAn0+9G3Qo7rvOIqnvh4M0GqzAoXr6rOTCjoI4x9+ZsPYgik79ZL
SsKAxlPCOOLiu52Jtmq2mMoqHrN1McK2jema0YzUnTaqsrjLojWtCPIms46a2tZd3G4h7P86QDD7
w9QxhDTDjCiklILR/H7qUytZXTdLG+PZ43jsAtvXVaj37bqUccvIaKxf7jDNmiOlEYtt3q1N3LlB
A/GTJ4eLdKFLlLguwvFaZJGRaruyNovqmNp6TgcOWqAo+yFhmcsgR/IpAtbJ+eVMard3AT01UaFO
Cxq6vbWlPfaYL7tmZa/1tlxuDfb7rejURYFWCfRF0eXD0KrCaMjmDzKLtljwcHKTXdII8sAJZ+Oh
G4i7aKPhSrqlMJNmbSIGfKi0NtbaFPA22m9ld5sXeNgVY41PJfZql/NAYjSM3U0TQLJYkbuDX8fG
kGXuH6q2nR5QM4Y5IRhnyPQlgJ0Kjb/V7YTiyG/zi1LZapDNtidBsuYrHVoK1Lwm/pTzgvK0b7BN
2lyVB5w1w5hM2C0Xyk71SY25uOUrmWNhix74w/osZtkBaSAVnJkZtVuTrmstryMUbdZ4T/u4Y20X
ex++ilLdcGBRMeNiSWXGSyNGPgNRpOh+y9lm6DBo0EV5lI4lRFOvZHfHh6pNmn5YDFlbFbu2Lw7r
NFdXo5ToXVnPIKI25i9CgcSncprq3szrKmPXtMUtoWMUbyGf4nrLTJYVVWOqyobHch4+BdizD0Pn
Yrxif1irZvtazDJ7LpwQcTdvvY+3mUd7Sad71TblDrC7vVq7ptsPuOjiaSbtqakZ0NdtaY5L3067
BsLwQKM6pGO7PCJSgvpZR5tEDC2nGdh5DAe8f+hdFPYNQ1Xyf1D8H3kW+Ge5+U1mOROD33kWDy/O
vw5zbqND44fx9Tv/4rcX/IrM+C2ABEeAzBiAFEnIOb9As3yruJZESyEU+CTojL+/QTN/i7iSWktG
z9r3DJnfQLNgSEuuOcGAcuy/gebz179LzRTMCykpDI0SQK3fZ0SrtmryUdPEJa5BrYCQASiLczeL
ndbbReO2l6z7WS7GKmqDmRaI5bJwY+Jt35hpnLjxuQU5i/r5q+Qjfpbd9KQaXcS29uvV2BT8HOT9
u35Ql2JwdSwQgZBn4iqvpNzl2+Iv80n2T3WIVLK1jqVuafLTyPpq76XS137cSLpkkH1XR3gydvUn
PwYg8tHC20NOVntQIDgqg73tLpmo8tyMatJGCtAVMuw6reaE4VAeZyHWXdNGfSI9CMp5HVKmRHWg
y1aYuaL2oMuBxYRXL2HA3WFc5Ccg4ewIyqO+KwukUDwjLpd4qmj7eQYP6sq5mb5DC2HYOGqnGBjX
cK8mwlICaFqnQ+ajtI0K8gtb/h1Z/tZ9+jMeQgQTAkwxpZXk3/kyVdRH/baVTcwnhR691cxQra80
I3Mya+WNA8WZ4LqhRwx6b8dXpj5GUYYBXmqWjFqQxPOlTwavr1BPnpHPrugkyWpWBCylo9mH1mbh
w7qy7N28FBdYg4f2d7B8pkvf0SnKKEKYIgKzEWf68A2dCjOo/mlyVRzZDZ1tCPR+swuPq2qZknEa
puPcjpuZQw6cIVQg6fqBG95P+pBnbku+Ocu3v3z321U9H7vvhiOAHQlNJMYaoPm7Ve2zstEdIg0Y
KL4/1kjhT4VrmstuqCfTg8I1gH0HoRsa2yYvTY6nCbScWI9lMRqczcWjn1b2GLicDA59OFSz7+M6
7+aDbuvoqit4flU00/yIO/BSWsvVzoNVOMk2aQl2g1nPvDGqYb6TXOYU467cTLmMxctfzxXTP8wV
8g4jAlINpwyp7/xLLxoZjd3UxKrYKOjtogSqOrSm8szFdTvBgjtOkm1q8UN+RqWprnFMic1PmCyH
IlLi8a+HBLLnu9UHVxVpRKkERYP+EAw5ISGqXBv3tQonFTXbHkl/ov1UmpX7JtaNmgxdV51sain/
jqr+2ecJyCgE7vHZcTxbod/E4tTNAfdn0scRWDgRD2VKC3AAsBUVOE8NAm9IgqVRjJ38MIf6axPV
zwgcmJvAtuvcseh+XpBMqLZ1HLrNPQ1oFvd9tAyx11u0++vVwmey/vuzA5KKaZBvwGopKKzfjxeo
1NRuWwTLkn0KSNgT53kXy3IDptpWl7SWRZy1/N041C/jFkV/s15/INQIDomQgHBCAt383v/eVoFt
4fI27sDxPtRCfoQUEh3slM3AC/ttL4MQF389Z3I+gN/NGUskpAD9Atni7Pt/u0clmI1lqSFoI9A3
j0XfkVjUMyQ6H/LnOaLb48AE2bM+ZBDIC/DjzH0Bs3O/1mu7X4b25OfotaqK+gMla72vIpGGtnnc
FJIGgd0WAxUtjS23gw9dl9iqu2J5935Brvgbj1ug7ybDGAVOIKRkgHpwEtl3J3BcyDbYaejiDkLS
1MAkUoH67kK5LY+nXm0juIBYmMxTcignTe70RMbClAMaX5qFgnL0kcgeNSJfpl6WJ1aG7Z11PIqH
vCiTmeL5ogJMPGRaT2ndTf4ycmtBDeiD9qFHvNzBcYwBxJ0zLsr7dCItSyYyNyYMrrkRc0MT1heg
p30fks6TYBrXQs4Qk77EkOv20nJ+CJ30d9jpNuZZw03QfZPOI8BqI2v6QaCRXw21GE6lrtZznhzz
47LMJIEqx2gkA3etnB0Co3db5I7lTWaWVr2virzZd7kA2uCn5oPfXNGbrOy6yxEsvHcC1Vlcon55
Gcp6Sju2ykRN1B9DY5c9PLGCw73kg9mauogLWoHJWVkS00JVCRuK4qmGc3XLBfzfspLyEuSVSjqI
x/uItjKtch5d2cKqCxeVApK1y+mxxjUc8RUqD4cBLEtrslyGYxHR5saOm43nQMePFV3DBa3avo/J
yjPDO7sos1BVGtcNjWkzQovdIovliHmhTzRY/HFe5/aaEFTeCw2vM7Ql+QO3PXdxcA0/aV5E0mQ8
R/DqsD1PIjR5XI0WV+k2DN0Qu2GlMe639TjKontcVJDv+7BEN21X29turNTJA6SBZtg21e3xWrSH
sCwb6BQils7MjndXTb/INoYBjvtQbX0yF0v9LGVw7xfcQJFkm+jFokG9bGBoTgY10VCbdlXi0FIy
Xwy4XJFhWclAWnL/ZbajvEX9ip5l2RbvF8XX3Ey2LPpkqxd7YnjLLoMq16uyYi6NKhEuxzqCmg/i
7LbNaHEX+DyxS5STEKAkIHsIWLHOj5kn9lLVvns/Iiovuw7LOmm7uT/QfHS3+aLITUaiHDzMMX+I
hqI2dvL8VFM7X2dyQvvBi+G698+Y9f0xHyObDFjb956NzLTczTdd8CS1Koh9IHV53xQ1va9QhWLQ
qctj1HR8M0Xkpi7Jtz6qr5GgOglDK58KX1Vf4Dy8dHqzd8s5RPwEcpgWH0GK5v4IcTsBSuRCPiko
NFwuvCnvNVODqQq1AHnoqu6x2db7xU4BGLP7Kt148ITV100jQsICsY/zRPsDX8J44gDfBm/LmmLR
Z5NhCGoxXoJRD3i6HlCZ4VfOimxf8JEkHVhpKQRFvyMEJOi8aXdoiKMfubOvUNGoEyh8VYmoVZHW
YdziHqax6yuXEZPPyx7XjO+qEag2VMmcIaxYzAALX/jeJRBJD9XgbzgR1dXWDsd1nFXa5Sip6xHY
ZVYWKY220sdhGsR9vfLuSKKuv6x6G8YkC7V4njZ3M4R+MW5WIqnK0B5EZbt9pMvoCNRkTc7y6KZs
e7qXmn4kM1eXnldr7MN2Pa4LZP9IrfHAp8FYOBKGWwBuN/vPVrjKmUD482LXRxvozRgtd7prqus8
iPwdOGLlB7VhcRx0GVubp07huM5CGoUnYTkyVnWfQb3sIdz3em7vgYaWyh6g6lWleUTaXVO0RreP
3QLKha67aC5iSpsrCetYwtXZ1qauu+GxcuHGQcWk1aA2Qpfxu81CIVgNDl+0vH728/bOhel1LPlT
0QtksgLekVFWHhrc3gw+T5hSrZGRb01Z4ou6ZcVmBp7DqNe5mJNxmUUS5TO9YH6C7BNlQ6biolir
tHFcGZm7kAbguyTIrDLA02OUjTFUFF9s/2UcvlIxxdm0fKkg9V7zIYPcztqdDba7QSJiD9hN/p2e
EXvUi1RXMxHRocu2Ou4aOqdhgwqJ8R2Rp17MMLJo2qGliPucLJCqubqeOxHlxtO6Txm27fWAR3EC
OVdBPau5B9KVfwmM9++r3MmroW/7z1lQ7W0GJtwVkbXaVzmqEyF6u1OsbF4kGztnsM56bIa6mh7r
ni1drFQ/g8QYQhyprE9p3h5r6qv9UAGGqiIL77di/kzXBSKjRieJlg/Y6ueutQ8t4fLDqB17yPMt
v9AVICyEwX2TF+1JR86bLpKrKWxV76eajUdQ9Oup7jco8qC+fQ+CM+kXsT1IHN6veR6dSt/ld3W2
wmK2RE0XKstsFVtccsO6/Jj3UYC07NqbiISd7bvwKRp0dafqzr2QNfh3mGL4bAZ64bA6jBI2uuwK
bwinAeZvvBuj1GnIjtM5geeMf9QYr1coyqqP/SbtpaBt91gsziYlr/rLqJ8JBP/sL2Y8Vpcyo+vd
PN01uJBt2k+BhHiuyPq1XsVwTpbbhSNI7pzbyGmLdASF936KtRvbuKjEUMdw/op9xCd501d6PaLM
yshkIkAJc2HZwzoOGQjkoJbY9fAi2HR9amd0siMZb0gR6GWgHirpKxqPisrhmAe2fAqV0FcRjfiJ
D1o8r64R2b4po+q40FJe18usX0GjZDZpIqpPq/Z9UmC6K7fIXuWb60/SIr2LhgwlVkgPJcVqakze
c3aQfH1Fmxt2RA3TR8nm8lFFY3kaNXHI4GK1g2E9x8eBZ+46j0K5o46wI2MtvRpxjw6MM99ArgnR
xQbFzU+6qtG+wTx7KECD3fmi6W4cHmsN0U4mHbfriF6LtYFkxGQOlYACaFhh+MLuci637EK7qel3
7GwEXdVTIW8sl+FdXVIA6jpbbqKoaK5rQZePdm3Yp0lL2xicQzPGvvTR2BpbD9teVHMBrEHUORwI
YAzPnNVlFUO3AihXCdbrqps+FWc3VsHZu5Vnh1ZD2f9CFVgOyYgKf8g3SAMV1PFVQlQ77dt6IYlz
7RKZeujVZ8R69LQGu/XGVtAZwhla4wby1AVtRAW0zq01SUZnsw/ZWPYPuAYXaMQRTkoX3uNiIB9x
66qU2Ty7cGeregXP2gcdLua16HZ26GvYhKGKaUfDochGdqqHoTwUrMaFyehG4eD6HGxzuF1d0Hry
e+iLuDx3D1xaq6LDfHbd67P/HvCmL4JD8rLSbRTTn8162s1DkncjgCYCQ3wd4YNBaQlmEgDxrnJ6
i9HSRzAVuyQY5WljoyjFAzByM0J/lE1ED84R9JwA9U6tp+LmZ+nzf/XRv2skw4yDHP9GJ/7RlH1e
mnr9tkAK6v2Xh341YsFTpYqD08GgpsnBMPvNiMX4rZJYMHBbCT4baqDBfjNi8VuhgLBJzsEVOCu0
fxux6C2WQMWFOlcCofdL/zdG7NlX+FbTQg1FUrCDlYJ2Mqx+1rzf+A6LL6GNLDR1HF37sKugnORT
ljRi+hvBDkP8vk56/hTj0E2nQbaD6Xu24775lNa9K/QMPuwizk1C9HoD7IfslcqhjAPq7pWI3kXT
kEy2StpthVYES75CG56Pu5zu6o57U6LuwWKdbi2krtk+8KyEnqf5GUo42MxbmkX5xVY/FbMVxily
UKw4Du1yG7HljqwDMhMur5apTfHy1C5HInbjsgucvIiOGK6nq8b6RyxB6zQ+2gHz5SBf+RyHIbop
qwwsaKsenItkbPs+EWGLG30Ne3pX9VufIgSsqFqKo9cs7sBGYu28L6puT2ZAXl4goF59ukb2ODVA
FAIF7dNAPW3Zk7Hbe2djh66Lpn2onIvLjgJEoyxW65jg8rqy7W1U5j4essWbQsijbyYoI7pXBjyr
juDf7RNDzZ4iIBme3nW9u9+YeAFj0yz2OSLNDaH5DfT8Jc3Cb4ZGdDuh+V2Y1niss33NvmikTQei
PA/ro6D+ph9BJlBQOsLdliXMzdoj1IvxAUDwerXtY1s8k9BB189YfxhLEIBFcc+wv9NZdgY3dQK5
cGALuRB6V5Jnto5fPHscRrzr1vZL76EjpGLHCDidwTOfEoDBxUzdhC4jYAOGifUla/Sdzyyw6y6/
3Baw3vKMxG2JWhPm7WaWRQVJeP2wjbk3CzRLQS/jRdaOBk1L6uuGXG0ySnzeXA/QOpYrC+WsShqp
yTNt67gc1G1bg0bvovmOROVXPshEz+KhyMc+RkTfcEVPCJo8TyxC7F6AsVW2QJlrtx6yOt8uyog9
uaCimIcowfqQVV8F3a26NWv1mDW3BS6hdecZr9A4pktT/CxBaL2rNl+ZgoY8jwMUAY8dEjcyH1xK
JnXB2hwqiGG4iIBAxMrbm7YHGa2r09Cs445g28SbQ8Hk8iOU4tLV16Wp6sQvTw7Cq30Zwvg4ZmNa
sKSkgOTvhnAoe7wv132ZTWneX4ZiA3n7CEaGN1C7BtnGb5ZqSLr6cWhelzFZKQP34EmTtBcHUR6X
GT12mc/NohYQUBIcm/YLLj7S8gmqRtCLoG6y6lQLH3saI0WSpdvLAWjMXddetPMXS27AjgSvR+4n
vEZmXCtm9KhSq4d0c7VpGhZvK0+k/FIVwjTb9C6fsi/1HG6GrTJdTY+0UVcd5ScZyI6DgDBl4ONV
NYVjtYz3utEpaO2ncm6ugHWfGjV4IPz1njl/rfz0wVPoH8xFoUBjh25Xgsdk8kJ2CYVfIFSPTevj
Fkqs2OP3lNXbPewz2Hw+2utKDqZWM9C+IbTJspB9GW2Ql1j+vur6h2Ghl3IDQoWnBE9P2l9F2VU2
gwOaFhytppmrYy3tTvN1hHPfXkKDxbTaU18FQ0X+iTZdzOX7LLKmYJ//Pztn1iOrzi7pX2SJwWB8
y5RDVWbWPKwbtEYDBmwwxsCv78hP5+Kcllrqvu+7Le2916rKBDveiCde6s5S/Rm3n1aTM6Khl7Xq
fi1rXMRUltE+Pfn78KY69qHXo/PfPUvpCR/nmHrBUFL5HnE156t82GtwAcK8e+qfrPjFzFU69qKc
5yBJq8Ce4HcWapTFmKjnmh73pr1CaL9I1742lZclvcs80pwx+qfeMh7iuUvxrew7eK1Wn3oo3EWC
Fgl9vBTeH8kCHGFfentSJjgbslySUV9E9+r3Oo2SKh1GntOhSYNuzqIAP6158YI1C114RkyXhuFv
ismQDyodvCDlVXIJ4S1AhuLL9wthJzzgc5as/rHaL84Ea3of/xGODWll/We59qXeXIppPmf2DUPZ
he9+mlj9L3JjCqX50LvxHI7VWdyHe+RpyPe8h5aMXsqXV6T3xa7MRzDZwwzvLIFGI8A8WcUGnO6h
ODUEP5rGaP7NMR0azJmkDk4tHw6V2zM/DkUW+V2fw95KwcqB38t8on4kU5iUFBbwwYxhMaw422Jw
GXr1L+0+FG7Zyo1uOa+ydVhSWJb+rWHtaY3Fb6+BvqzobwmHdlHqtVr9Q7Pii4/WlPlBkyXzfjFJ
ku5meAApl9JtK9vFTkB4Mfs3/rU26rzGwdMonqegAiAUHUID8YnxWFn+k/FhLDC1p5xJKEtz9kku
9i8Eqxcgg8UaraLgdj819d0qiqdzIHQaumqAM+PSBCDRaU6G8Oce/13V9DOEjSTUdbN+STogSkCN
00DmG0iDAf9K9bBZHMCQ2hRLI/4svYiKPdmjb8yF4an1Kfy/57nludq9A23+YIwBX2FLFnYknbp9
TbWx1zhczJlaMx+kiUiqksiYdFJgR/pFVs8dC35yw889A0Zqk2PtUfnsKo+cwzqmpzhRL1OIr2ay
z9sCItPu0W1bpnyecNglU8Zga8ltexGQ+WzDsw/J/qq7JDpu2/jPRrDrVhcCzoQ3s5bjGu6528b+
tROt/4yZ3KVEgjm+z6upEvMZXhBC2aRcwSHN0RqnC/sZTd06lWY3wI5tlfRPK+bRmxs7AbcWpmbK
KZiMdkYsmkk8hJi7II3+huxm90uYjKVfX0KcX7F/aOMtY9t52+OXYCT2pV/HJRUGR2ZV56IL0rAf
sw035hYN+eipk4/CQLNhrBAuC0HxhvprgbdZdf0pUlNae78dfECYzpnczZXrLUBIreHBt7c+WNai
AePT1fIxaT3Iue0XgsbzOLeZNiEMjuQdKXhZRXEpK+/ixj5rV8DNw7oejOYZ87hNt7h/cpFJ4Vmd
nL89V7t5mVaQ3JR8kiouu02+ItqG576ueJFlbmAqpKMh8jnRHO5F0jzi1tWXPqBBSmiVLwzvwBSm
wRi/8QaXeDg+jiG4okoFQ9YC/qoW+4rRG3fiB3j6IQ1MBRcSysCbvGcKfxC/Z3MLeKHnAAjVkAOi
d2VHcsKuQI7zOBjew63LvFDnQ0w+RwtXGRgAOa69H/1mO9GPLem3z97/BO56ok1y8HVE32aQ7Q++
Ef1PdE1oNi+fOrRfdqo/58U7MLhGQ7dgnhU9P0Xey4A3HnkJ4B1qt3K3S1rBwff/zhgWTvukn6dR
Mnymfr5XYkz5Nn1LE/SpbGZ66O/qFUhRhRH6UwAt6xN3kMlxruWz7E+jeV3tce7O+3wxS4cz127n
sIuKzl9Stq9e2SaY5SflwCawNNjF0a9ZKmnyEip+4Hy8MaPb1OtlRnb2OUaAeZONnaaw3tMYAbla
D+iWvOqEvHHR8tSNy1O18DoNA8BHjLdIKANF1lzSoUbAuh3Gij22qqVpI/D6E6revYbBKcbd5k/k
qhONNg/9DJCDVChjkFF8hsLP2IjTtYIQaO2vBO6cX215CIIYUwYDKL7ws5n6vofmf5ur4JXATANY
TrfULG0hY+9TNV3ysPjSngTj3YPvJabQbABj4prxiRlUP9I55p+yC/FfxG+9BmTRsLMBwXiqGKT5
3va/EemoL9+6U8SGc+SP2xOoetxHOCBb+u7tI6oFTQDfixWs5xjPr+sQHdiOw5CAqWZyG3PYXFu+
C/8Xnu8PK7Yb7WFbyzcG2yFe9QuzC78az8vudG5qgPjlM4AAUY8DpiS8LdEDXZ7HtsmcMScUJEo1
By88wku82WS9iI3aX2bFI7WIId/NK74FYGWDjIvJLH05xFvaG0hbLrmXunnAyFMplZtqWMp2YuOh
lzjzLKCPB3DqS2m85Pc6IYLoDPoC9V6Xk+Y5IfizQNLZst9gA8JedMDYzHqZpueuu6GrcIQb85Co
Ph+aNl3jx8CqA7f9cddB4Tl9i/+T0+hLEz0tnperMMwrzC9eJ8s1LGQgcjjgBVpK320yZ523fOwL
+jWTg0fEo5uycb7uFLCnF4A2WfCoL031aIMv85+HeV3BUA7P0wS8vOnW/tT3uHr3HqNBLfzhYd37
NjVU6mM4eUneNMgYWQ1I3a7pHV31urouFoLnBG5rdYgQXC1BnEbk1gwhIEcxPvD9ky/0XyPYoaLN
LTJdd5ljLxK4eIPDzPtioTG6ALQ+Qk2q27LFCYxfbdOEe7gyjOkOsfagdFgzpHvkP4iK5e08qWwl
skMkNCDpG1ix9uIoxfAdmzYDuP8yNJ/GVNlGg+kc6uVt21Xp1Qaa3Lxvo3d3k9ipDoK3dWnSGIcy
vf9NNvbBDWMSHZQ8elzLXFX+R7THEhdWXxXCNFGmlK4+AYA3H24NFIacoEMiYYa7+OPAYhx7CjF5
7tXiHxyCmpP0xwneWLMsb8mArIkmA66SDjSUCe0lmvsbKl0Pwqu+vXjkRzLRKUu0k5klAhYf9e9f
D9LghtTetxsmfSR69tJaht+aNrxoqoo+xEPA65xHKLMFKlTZFDaIO6MRaFVkRE5rRVJ/mPzfdYIY
F45t84w8qUqp9qefoNblrSU+6K2VQD1hlsQwT3Sb13oUhQvCdzXs/Vu1NPySODMeaz5uZzVrhI3t
JFJLR3FaBC7QOlzIk4k6miKTZr+9kCRp3DpdNBRpN/1tqhnpisRnZrT9mscYD9ZAqr8hFTyNJOZX
fKrJCaQp4IUkaVFCgUTvxwQpDd/8Q5BQDNAGLbGESXdPiXXXZFzD3Exa097GYaFNagz+WkUhHxG6
t2nT4U+jFapYleVz1iStfb2jfZ9+5+0PHnNhLpagO/YNyl6y62F268GUE/Dxa9woglOy9e3BBO18
on3QPCS9rg/G63aMkDhfECKLhx7wwLsdOvnDWJz0cra4uEYEdyOosUMfAkenuvrwZhZmVuCq2jw+
5ffWwEH0BjTu0jaFs3V7pd38BcEHOBWkwKMjPSQCrUf1MLX9fmjU0n2OI+ZioTGV2LWO8Cax6eQn
PSzoXgfvOLH7fLT1VvYrtw+d6pB3o3b3u5FVe4wa/w+f1Y9YKXXsR5q8mY7oTwvrJhMRGOA9CkpU
sHhmTTtlBvjAhc7CXVQFR7ba56AIoIEzjxlXyrV7E4hBQAfHPTR0C06BgTUvZL8JPHKeg72PT6ZG
9kyaK3CU5LQN3oaHqk2KTsYMEwk+EUZUUuA5IZ+TrOoXqSaXR+YuQ3B3oHC1JOVecf1Yd+RHK0MJ
7VyLo1i0PKjWvwqHKyRTU3BnjVf/xFcveuo7ja8Ogw8tRJDwo6L46mofty10OMm8qcfv48l2vQHU
+7MjAs51V20nxMvbObF4esY6Xn/DM3ypE5rgvtnYZeMhQ9oKWSCTwBVNDbi8j8coawLb5R3qApOA
aJY6fgSYyTPjT4/BYH51Ez4enFe0aGBsH3HULE+e5qgtMfez870bxqooHwF7XgcWPXqRoe+939tH
g3yidJ17F64LIowP1B2Yrnz8/TPKSbqDqlGxd1YilLfZq3DeD/1z7zd4lGdmyo7uLxtyPTygE3/V
nomykVvzTFXwZ6JLXHqL1x0nEOr4W9obH9Yu98Mpys3e3HqgDGUP4ZitoxOncJp+RFP4Fsn5zYX1
gNEuwTQvAXsLzr4NH5YMg93Z22qZUwkkauR+vqyDzXlL3pQBTRev2yuUhz703bKAJXHXua6H0opW
X0dzQewDBHyN/pKI+ykoeJfiF28OhFgUQvsggwxYTjVZEfTS7pvPQXUIdvVBvaCq0wTVL6T7gARD
Ee7nySMsF4TTvOqV94cPG6h+JOBdtrEeZTSmUZGzQqGIKuV7r+nUpFNtcG8ij6LogKrhHto7L19m
FRfoNtLTEtDxa1S7KWMt0wXT8mVbR/Q9bXDqKxyGeN+HG6fLN77iEWBQAHeW+1s+ru+zDXHb728Y
3chhRTdRu/o1sTRKpyUcihDF2dTs/HOXQ1UwdUfqVdXeOiq+SI+vfOTjIRnbU+iQ7JJheGiVf0vW
EXzZhDtRh7JogqGYuwAPdjP+iSN15AlGsQRhkMB7gLtS40aokcFHMAM6JKY5AmGT8mSCbFnrx6rx
Tqi9fcw4p/IYCE4M8VjE/Tinm5ovdSKWrA6G1yUeARXNIiWWcTgPlTm1Tn1K2DEQ21efViRfJD7G
robmZs1FUUVOIOWe+gb/K1gSlN9i2aRLFR5pj6p2wNavwfVnH0n70KB10NZhmLU4aqC8iU53X37G
PaxwR9sudYmc74NPfepa0EI1enlvdm0v8VpTiI0KNjBo7pzu5FlHwVs1YWqkC+uzehjABcHy7iW+
Z2jMnDK4rZOrFTwFD0UYYGy7P9UZmbrj0kdPaF7Ej9PKz9aBGaK0eQYfqYpklg/aIOZttvE4TrAA
kT8l13pY/BK+nj3gAHxF6ZwVKhCocqoj0lCVoQ0Md3LHAUIq+almWtp6uQRwlJttwqUcX5LZExgQ
+HFDBg6NtubEdJhAGpwP8dY82Hp44mP0o/PW58a6s62mH+Dm+ltIIMpVb16GRMonpONhKgPvBgxh
OTqgz3TXt8pbunzVfunuLanVq642GU6Er0u6KJ2kRDUlJQphdgxWtqv/80/bLejVo5zDB4+3L57z
f8fAOgDcbnshFxpmdR+tpxgex5tpYSjzZL+1rY8KSICcYXPDg1r7v9AHGONG2GiL1x6C0Nxoje6K
38T1NSLtiKfIvNtqP9aVOFcD6kBRXO9lxWG5Ik/+Djt3dRo6QoBZw0fh8K5x9iSH4UBm7ym2pk7n
NUnycItxEv9DDv0FFfoSxuSBVPQnn/ex4G2vM2bj5x3E75wEfr5OVU55/zHQ9tAhbMosJqRspVY3
MOHsnM1NFH16Y2OyRDUxyIV7W6QjR7yFqFdjmGh7NyE2nkTGverP5Jr7w9o9W68Oii6SY6pHNJBW
vaUAJGCyjv3fcN9B4Kwaj7B+5NFYCBq9xjX/u5D15uP0XJj3OEb1SVKcmRqyrt28xw6lKBTGy9Xt
PwfES1nNu7zxvIPcl6vBw22sKqq4OsMO7nMwqWvW7vEETaPXcx+yJ7IFNZYgAMxU5HnccGLOxC6v
nLqkZD14mE7vp4DtqFhDrKSQgEiSBjC1s5/Onf5c9LhjE8AKrdb6oKXV5hfED76t9BCZz8OrwdXf
q9u+qBl4hgxyvkMCET2VLWwJ2PVAeCScrwiUOYd7GqAzHiq4n2YUP5g3ZXjDA3gPBnO4d0FFCvyd
t/FjG88SBrzBX2dH+gfomEt3GN1AEa/9qNENMySHFLoxBmvMWgmHg0sBF6faS8GaDMrkN4JpCZoC
g8pq7J/aIiYYxglWY8veufPPexAie9mHGodW2+F7D/4BkYBJU1V/wRsGxe5kAwPcO47ozmd67v5F
0Ya1HBtWS/Qdf7NhfI5rVJdpSNIWoAhGmOGj1zgmGydohlH+nx9thfYUSChHfxHw6chjJOCVMHxn
XS/PvP4bqQbD5DzXWTvhhPTjZC6boWtxaqoOFrcKH1sPJGyqF2MAWEJEJ/CBU0I2AnNqcvtnPKHk
7LV519PMYQZMKANZlpSTZ0qfmNsYL1/MkRzdie+h4g9AkxYk+7+CCN2FjhW+iE4Tc37W4xpMe/RP
MAqGKfDzr7lPdBbPHmAlpDlqjm8afncx9FP7BNIjbul3FZqnQK3wU1p4XStEGScnQ9wPq81rDdR0
oEPm4PitZEl3r0x0jehSHmZ7krOAYJ0eZbwu12VQvzddoxe47KnHnpAgw8tCp/2d4Qda90sz62/i
TZ+dojAvE3IlSa+OzbDhqUnSifV7Ck3YHMOtIu/NMvhv/x8G+L9raCG79pBa/5/r0m+1RZokmp//
kwf4r//vv3gA7IiJQiDzCUOfKkyQ3/9XMYsDB0j8kFNQAhT7Xe5Q/X/jAWLs3kAv67+Wzvx3HiDw
AuyD4SGKrhHY9P8XHuDeDfvfkAA/8vFDxAzAHX4+MAj/M6cHIjlXvQM3mMRYJ6A2W8REbWcYlOrB
eVzM6Yr6YznNz7Z5g7Hpn8Jq1EUyRsMzNDu6mve+loie2nG7sr357JIwpW4Qaa2TrwYgS0acfG1F
i90IaqkBC+HQCeDYlA5FsLPyBhjkSiA7kwM1Rc/9qohD96/xGZIA9Z1IlKGoQ9xbJcxLg0Q9wLw1
WRtjfOkjGLXrPHzAI51P1iropriabbk7SsvYgGQU0tICxulYMpq0vwV443yoMFdOSBxTCJCnSfSq
NIB8HrdIk6fI26fLBKe/sKyHYvV+jDH9p4dP0SRXi/rlROobqUdkJYzc2mG5+C1sm2j7vfOumGbv
KLcKF0r0w1LzaC2ufU0T/xcAj+cK1VkXztjGckUp6Gvo47cFlHA2rwNQAtyh/6HWlxYH9JhMK6YA
/5UM619KvS/BYP1MQgvkHxvSDMWeICqfhxULQsYF40TDYApDX8KgwnDTLO2LH0BujwyEfBAVjfLh
augo34R88diSNIC1ut9M1gfQiJgLAgMIia0xz3yff+18ywbGr/WI0ddpcWuCGZNKB7wgGfGvBgGm
zqvvG3qiUyVCXYbIFUSNFoFYF/METBGuLcyWy0axmQIjofcSK687eVhOkvvKDwrcDX7OJBZxIGuv
jnFtgocJOFkdg47Cmg2c/w3fyN8AuuoAR8Iveh3DDou7+TTaVkGFeTtcs6rHogi/6SpsuIjjVG6L
xmYOjI0gcUwODY+VIKNmj9HOEHVE9fQoNsFgN4mmTDxT3SAa1LtWtXhowciUAdDC53rqkDs0FqoQ
zY5zLSlPtwZXnBvGFoN8m9W2BbAvAR9MMSpDQb90T6jCp0aNyVm28fS1kAgdzxiiIxqQTSOXel+E
DY6V25BUqf2ReUqXvkwiWA8BOYKO/imNfAkdNTnmVPSfJLrO0QJkEI2oqIGMF0i2P3B4PIM9gpcU
NNduSFiJrT2vMZZHPaJFp4uo3jtsECLe6yx6mm9UvE0Y0c5exH8hEdqBiLT5rPVPjyChUJUGV26S
KYWHRbAVZzkHOjkPuO9jEMMlvUsAv1f/RqQvWbMBBr3LhP4uGHRH/02LRpSJ9TZgd7ssuMsLAJxI
trvg0VUzzC1IkNliKpjb9Q8QTWyoarU4iGUGvGe73zXkC7nrGFDXAvVoPMg1neN0DvgDeo1pvYli
maTDKhuAnQH9WEHvADrniC5W41IVY4zwmua3k6SGFsS5xDCa1EPTZ5U3HpFhPhNmYFJJ9wOQZKqt
K1oUQLxKPfg4wHxT92kDo7oe3cEQPIZrNIJZ3ssaQb1ctw8d9gNstvoFNKUPexGp6TiVkgwURT0f
lH/ilzZ29FZtt4ZasD/1r/muGfcu+l7uKlIaQfLkrix3BnOpXnGpw9XKgc4/ueGfm8E4+ndhquP1
RBrep5rrpPS7qTotq5jKqPZQDAgO++DqsoPW9WaxngcdQv6uWMs1BXbIHdSFmWEotcjhoJlraGc/
6nPmWJR1bfCTQV1rM54U31EPFL+3SZewEE8WcjxGy9vDrp9k2d5ryHWNka/bpsf9ruNb1NKaRv/d
xKJSj8OG8WHIyrv6d1S25eIPFxKAD19N/ReGpMjCBZjmPYvYu5ZmNohPgmOy4PcZQxI+ZfY+d8x1
46GKgHkCKMQQZotmXrYN/cEN+mOeSG7uM8yGYQb29XNyn24QgiMWWNlPlEUew8a8IMz+Xrw/LXo5
WjY8H6cFeYn1nuQCo3qYb4lrXqqkySPU03IfV0S6i+063ydltsdHeh/DLBolWUzCUy3JMd7ER1fd
QQb8gVfhIe6ynr21iQRujL1X9X3Ua3g0Yd5zXirvs2AV8o/GwUcAJg+Y5T4xdvfZkd2nyLiFZwr+
6XdCuhevjh4s5qIo3uBA3SfQpnVHtbceAH+MNA10Z7T0Z9YgV6b99G+ealvoZsujxrG0B1DUeNVv
B2j+AIIYsjVZMA9r+zLN1mbLMPa3kS2IbTfyysX02UbV03QfrRkKPjnmogsWSPnlwiHBu4FfWJ9c
hBJFzZBMbhND2j98WqzrAeNvf+6tgqfSm9Rhxoez/ioNzEzFw0PoovXgVz6mA9ZE2EbV4McMI1Sa
yQzaRz4AsFKFiOQzkmQs5IDH4N3NBiw2Q+SGvHwjWKe2431YV7xTrI7aYp4lfMZQx4AC1u91Hb5c
gD1swTx16SwidMfrF6wstPlAwbGweXoSjTt0ouneQtr6hSU7emJ392S5+yiN9ZEiCvw6rAEVAsoe
W77UmmHdILvWav0Lmvnsi/lrVnTNJmT2NQzZBE1M2wCxoe4eS8OXSvHz4kVdySk0l/7u+bi7++Oq
muVkspdknZ+AIn1Gd6eIGcJTfXePHLygOdavYNGWbIfBtG3znDaB5sXWty/wOUOUJ9i7G+vTkABm
u/tU7O5Y9XfvirTOB55YoRJ6d7Za8T6OACzGlr7O6Kr48MDqLroPsfIDoD9kjSeSIrjbZ/fqodi+
KrLegwnxxe5OG9EoZ2ClVVXMsOHo3Y/Tfh2Ct2tFPsKs4zx56zyPHXDbLPj2g586ER6K+OO/0MIF
UEH1jUUXw63HEY40xTttOOdRsZrJBWzKFkemdHcHEaWL8OTurqJY69seejbfO/MwUoL1IFjJxpBC
xhYOjocuOHKokyDBk3UrfjncvAS9hNxSKIgpwBUv0cMHZfODNl1w5IMWhVbzzxC09H2c/TPK6Drv
YQTMCPlaz8fPoKUms6G252COkQ5UUXeMCSmjTtxpiB2Cxls3BGyaig8Y6ss1Yk5lWFoDTRuCRPLF
s9sXGCIG3Uz4nN+eX+OmYXo+QcaCToihFfB6bGT45Vb0gUxosJYshg2FebbecoPxNwVAgvYMnTMs
RkANjAws3Tq03ha8wgfHtzZH08uglYRlcW31QRIgPRFxc4YVXX/0Bt+0cX3y3ezV/N0yBFtiGaeb
9D2Mfbv3h4Q1kvMaWcsykIdZ4TMWfvON7Tg66ysUprClKG0DLB+rcDgclyqmYOiCTyhEATdMPgZN
UIES4PtpGMhe7N34sWGjwit6iEXQSpsnZCQFrHHgoLoS8AewR5IhuYsQGk+OHowjNJ8S2eFAilH4
0Svsl/t+OHzfba6aBGzXfhUdug09nX71ItY/N8SjNeCU517pR+qmz3hsogPwGUR9IlqOimB3m7Qh
fG+UmZFqoN45oxqFTYxYtkaPFs45PHO8d6MOxFEx1Gd5P7dll9Q2dz6y69myCG+jNxeGiQ7wAHYh
JtvKc68do3yAaVisy7LmO5+aojIWKbu/lHDudclJ/GMQckXCD092DlVdDuGkLsiyb1U49unk3Pe4
wYXrAvk9RHiHAzTuVqyAymHlgjaGnwdHfPPdD4eyXhYnsMtchXOHruSHqq180hEKBMC9jz4TH37t
6ZLF7m1bMA6w6A1LgR4bbI8bk/q6aWB1yfA8SyAtdd/itB14nDtsbMIXNLEjqtjVcW09O6T9yt6E
iF9azglMq0hcPGTl2ONoC4MEj6X1MmOPG50ZtoYur25v4eyQ+M01SFWKETNAroMKPR44nl+8DuA2
RosNP32rXuVK2dV68FgNcpxTNUNx6QUv7iAqVQ5T964nPdwkU+45CWX8oQAxABaN5hfTcDS+DHZ0
pKjS6QxlYNT+uh2h4zYuWezbX42/wDeuVveykA7aY4ouPfHVyfidfvNcgzOh0fRLdPfOlfFt/JlI
WIhNvPcXU4PbxiImenSodKJd1INgm0EkAAqY30Ct2VI2424ycmertn28VlMzls0oUNOZ977EE/gd
CPZka3jqCVuwKW+ciX92htWPitfNmXKyv6ww0cBrr5iUhHbkAaU7c7TQ9FjA5CoyAp8gQ66woUql
e5xYhL0yPDI6ba9eYEVZJYN3NXYIDmHPAEcChChqqPVb1FVrgacZzcMW3Xprl+hqgaRi2DOXaMDD
wVG6LXF2DM9kjlzB0O65MEvUja82SyQjB+gDmG5AgnDHguYp0HHSR4Rj4D4Tv7+gYBVcVrTF5q73
XiSax4eqRSjtY03HYVwdFDmLpZcm/t4VUGIL4lG/uYbtfXPs+iTnfcfTljwSb4hwuVw5bgkkTFoW
dFnmt94HJDIjGvw7zRy3woL4q/AXvWehjr58rGcasO8g10612AeolscwiqdsXbClKiPcYbkVsSmM
zuA4rsJHgVXVfyZc/Nhm5iigoxGjQCdzALzi9T8HbC0xkdTz2kITjS9TAsScrHzF8f2fbaQAP7Td
DyY2Oucddo6Nc6/fsJazcuni82fBZW1SZhN3W7wNILm3Y7RVy4azd9yf5ULw47fG5ESMx27Q+aY7
IsGbz1jMuO5YZBPICoW1vQHovk7tbWvqCSUnqpdDEyT1cRUMh2WjXHTdjAmwaobXT9EMUTp27Iye
QnLg+14dqG3+ofpbf/WriS5OITuG945Cmtj814pvfRoIeJyTb17q0a554GLU5y06b0Pn4q/ej71j
1CWwtclW4cvidP42IFbyjsZIrYeTDdDUzFFBh+RQmJRY57tzMofiA8/0YtO1uzO64/9i77yWKzey
bfsr5wegSLgEEHGftnf0roovCBYNvEkgYb/+DkjV3VLrtPr0e0coFCGRxSI3N4Bca845Zt3uVWY4
xyb+UjxPV1r79b7yorexLneKc/fawvG1Tr2h5IUZIIVZtlrbmXWe2amfAFaVV0WIFXQs7BXIIcCO
hnmJ0+m+1a740Vj5Pa8gI4yPMD5xqt3rPEi3rnbyh4wY8UqgVG7Kocx/WHGeH3NCIl4m9ffIluHa
9bvbeXTS2zTtePUMm9FQmrp96DMxvhrJcm1X5t5tXdzlDIBW4t+1trc36khfibmtz93iw8+H9ty4
HGnLJhmfcU6WNfogJ6GhjaJXhZ2vrZr0m1P4zlMSSb03iaHh/GA05F5a3EdECte5MUz3RYyXsSBG
ekuyncmNU6aI+/B7AQBsY85GijPN54jZA1YLnQ7bpsOSYhvLXO6zzk2RcY2xuHHqFLSvYX6vMpV/
txM1HYOq996xfoWbOeY2HfmgwLTGAcnJ8aXIB73vxrrnqtMn1lF8nRarjTumXxVi/x7NIH3NGiiw
yht59/bRkjbASLgaPLu/DtIETwUZwMchXpxyuq0A4bjlzlSkOsIgjzHXBQJbgtfch47sjy1LeeaP
YVGdQkw6IcCPwMzPblLn/100f/5fFs34eTyWwv96zfzw9gYZoPz4/Zb55x/6bcfs/bIwdbjjur8u
hC2iWL+xv+QvtgRvE5Busa0l9MXf83PF7AS/SNs2A8+D7WUt8PK/r5j5kAnmBSyYB6QMSJH1n6yY
IYn984bZ8Ty+BQ/GNm8m214+/rskWDgUswFRwOW+UGM2hsXwxGCdHBR+XnQwtgoBFNj1jGS0Kofu
vsw9e8XieU9iN9m79ohE53YWT2XoBeTFCtYD/TCQ50DwCuSEl6rMzE1i2+V1lE7hQVXWpTXr71wt
/AXm1N9WjXEqMckz8whn2095dZ93kMbNqXkL29zbNDmhkE4em6a9dqQRr0O3e2gnVCsnqBkCBHvr
tgkRsZkRnI7Td9Rj3oDe9hra1ktYFbBtw1puHd1wAaacEZNTnLoHFCpjxSMvXZEsuegivSoVIfHC
7vZQ84cVdk3WsIQrBhKpBEmRm1Sf7iIASAdHEZth6miY1+RlcSbaYfQd4yJ2MZ48y3d/YKjcVp7Y
F6Z/a1jDE2gFHzZiYOEoiNVKSBmupDedwbof7Lw5ZyWoxjyGveaeBrNgT2edxrJ+B6OxS+rMx1Uc
3GIqJjQbGuthlvtxLJ4y5V06IsyrSMevo/ReKzx0aa+/SQ+JOoPfjVspuany6jbRMIMr39rXUSlw
7ql+MyVZs81iwImGuLFCOewF24YKp9BKwpQ/hKK7zlVGGG0C3jlk59gb6o2XmhtCU/eijF660XkZ
YmjZyOnmCnfLws3BTJahbewHO9JbhwTWGm7NsF5SNgkPw21hhtk+bIZrFfunotBPyVSdS3Oqt1qg
JiTav0U3D3d5i9AXG+yzmmjAK9c72ww+pwyrU5sP32Tf/mgzY10JIPR+OmAN5Qut3Wq47ZdvpinO
AavtxS8KaP5bKPDfzbJKNpnnRXh2+0PJXXmFc2graqE3PEMjsM3OwRp8JNJvtWTlAZoku4Lw0B0L
VRpHp8uJtnc+Vn1McqNG6+VNRaQrIbNJiF+wkgyvItkEq6Tw9EnEQXwSeYrk6I4z423OM0tC5BQM
1xELVCNzDl4v+k1XDtM2dG2xgOk/OwNvNHOKdZsM8cdg8i7XKj1HihOk0t0pyVkPtR2M69AQ48Ex
Bpd9rDEffB5C6wnqyrr1U66yakHZdNISJO1y+3oslARghxXMj4PkWxhO/KVp1m+s3G9ftRy6w9xB
k67SONiFLeNrRajkqHzfOFkerkwz4sVOFdYkXFtIx31n7h3DaLe8jPm9yszsLqryd8L+6SYq42yX
lbwdgAA6jyi5E3q4XV8J7m4H0cz2RvVlC4CJJ3Lk2htclvFDnZXTuh6DAUet9wPn5bLk8cOz648S
41znsLWGWEtwLMPhVhlXlo8Ds00q58yrlp8MEeCm0Uqf4kRma8Lqtx4HmYc2ucEfpk9+NGWXNMua
nS05s2HrJpyeFfHGJ+dwk7UIAJ5hHh0XI9PU5Z/u7L6RjCv2nTWcYJMfw6blLtP4NmjVsNnXYV2g
mI8lgYrCXU0AMq47y/RXk0cvgg8hXAg2xKO6S4TBQrgJNIJ1WJGQA18Pjd5eyx4S+TQ7rK4lVId5
qmCF1iUki6jeuH38EA3FV5tAn7EwhhTtcM+NGS98TLrTtLHzTHU9bWozeFZqegzFcDAqOz/MU6ee
gDENb/UwudfoeRhM0vzLstx4qyW5BUJVlBowZOLYjwrmFInZscIcgnxO8UDUucHZD7BhJ5zeZYC4
0oFNz0N4EYZvkvUq5+u8SG8nmb0wTCBw8RrCyvc22jbtG1oNjKNybM0wq6KzaSIMRvNkrnAHG4fF
aafKaV55ZS83WTdkp6koGrQW7tnaGuKD1wRvkFtg8UutfktC/zdL/2+y9JYnXQTtf32quY+T8nM5
1hi3b/mbTso3/fmHE85vX+C3E47/i4tyDT0QtPiiVv+DPC45q/hMm4joqOs2gNG/H3Fc8UvgwH8Q
HG/AMpnL6ecn3tTxgZLT6BLwJwLfsb3/qJ9FLiesP+TqAWMAe3Z9CSeUYL23ABB/d8RZ2MGEx1nM
a3OezlVQhF+EEnGZzvYSpwVukQx1nCIdOuIw1L5/bFUg8XL63VUPc//C/hJuCSkgsXUbmT7rWMBO
4c25FWXgnqNCWZfGdtmDgUwCnEliwDxBPck2+ID6DUAUd4e2hsGxzNBXlHMIYboBsSgTnLbjEB5z
jL+rxhbhEcuI/e7nLi6zKakRhfDBb3QypPBR6+ey8MadkxCWqFn93MO5Nu6R7+JnGnDSlyqooq9m
QnMsopvRz+rbOGJUnstTObN4wXMJknCB+4S32oNSqHTSQyYrR+52o8s2XHmFdUdey1nFSZp8qhxY
YOx3BELTOjkGeSSIrrUVQU1fLs5AhyCRz/0M4dx8DgzHPrL7AyFj1tUNZCKkL7+pkbuMkZGamz52
GHCP30wm9RczENH3MSAgyCa6+xFWTngix4AKp3lyo3O6rUmTzhC61dZU8XgxEWt2VKeAdMqq4TjN
XVLg5fa/0PDNTWmlpAL9guwzL0wX9uGabLG7jvDyTZAKuDt+tWF1r4U61mn8vXJYSNQmd+dQi/Zs
83h/LexBXmrNQl42ibh2p66k7iM0NxZnvWOY4LAVyajeZYRtt/ejhoyVfPJiab6G1vzuxrpcsf5H
AQJiujfHNtgMmfzsghjVhsjCowtFdktLxdEl8PKW2k51W8xkTq0gusP8ESEs5hy05mmb9ILzYcNa
RkE5uVhZX57LIfSvIcOjOjZWutMYiS/VXODQ4nf0zNLcXrmlmZ0AqXqvIDKju7jwhnMkzfzF9Cp5
U2V5fCV6jFEN6ffjMNXipmNNAAXdpWiE7elhdCN/15aeujan3Nzm46ILRZn291wSoJNCW28nAR6+
pjPjOOvRuaiFwlvn052lE/W9qUEU0mSyrYYweiKnO2PxM/JnO42j+0GEJuQ8480pnPnKs2oJe83G
hoFed9UG06eWGIqNrP8xQJeAFCyzaz/OkovU+LCnumlZa9vuu6YvS2M7EcwlA6Jv0ARPrWycTyjs
DQm9rpV3FNboXV9DOreGlAQwSrV3LVFvPzKTHIVAivgGma96b+ew3eZVEXwBYaw+BlJZbxXHqJt+
UNOGI4nxvc4D0KOlbQFJiMvq0y5Fse+HONj2mFyPWVJScOJEcmPq4ULE1Q4EsCdpqQfJks5ZReCQ
tqmo1DnMBnfnRxFasWejWDih75NZNcMXlFgscqhnXKE1FOIl9OhuOIGT8spnfTOZuvkkErKwh83q
2XZFzNMe9csyFVsTMVlk1waDOh7WbPK4rKGOgoUZR5DEuBeGwGxJPC3Aqt1b7DIr56PlKPEypT1r
M3qKpoc2JvxfZR7Rh8aeP912jCdkNm9gE8YR1rKs4sFiLrlphj6/WH1gnKpB2bgIYrL0Pk/shkz+
xiixgTjTkO/ZmVCVNDDqlGmTb6JKcTaKI+O+yyb73m8mfszIVtHH1FfON8tom89eTum1Mipk5K5r
712j6h5y2ELr0WNOGVjEQ5AfAMoNLjsu0Q6a7IxR3wxcInJL5ZZ4jNk6XinDxizVEIxgyRZtfWse
ttgeqqu8HcxDZLf5hf4Yn3S1IntrNR628w5Dz8oaPf3S9cl8B7SiufBbNb53tt0esK0HJMNFe12Y
c/19VrxnubuwCJYc3RM3K14MJ2k3Njb2jRc6KXcsHAdi6p/jxM3fgMi8G2yDtxR5pRuZL2K6M1SM
HK6xokdrXE9hge9Ds0hOZazJ4XU5gAsNBgH/yRu8W+Pdi/0vLDIclfOuvpqdvtz0puuseNDgLWZ+
BG7XVNdACDtqkGYgFKSTt3Vh3k5WWWylhYgq+AZI6DWQXWLxBgrJR+EKTvGYSVpu5nQN93zepPX8
wzBGDfoBJJIoMPTGnXAPjCAt5FHpbvWU0K3Vh8F94udvoSGrdWGTCfdbSBz+lLOq6nzrSrgsFB0r
DXeku30S5eg2QsksXZlWoXe+n0+PnTkS1o8m6Cc2i9RkKKfbwKieLX+JXZgwO7F/yuwcAmPf4Atw
2JVW6XiClB/sRee3J1ep4LUu6nwfyb7hE1N5KEU6FmQpuh6ihsYFntQh6HJcq+YJqCCeqCRGKW0i
4CuR264dXKj7PADRwHAKjs6OF0FHEEZLE0+ue9foXWzMcrqkShPXrZnLeAJiE7pKa/KvXWF1WzwR
3h11FwGHYUQUwOoji1+vVitDMvaEsBl3TQsvbBWJMtsZkiEpITT+vVmGJzyH6VnkjtiX6Tgd6iWk
XnhodbRz4UC2EMigWjj6HVKRXhGkzEbQDAxwPhc9AiiAsg/dEgLzMYTRFgCse+0t42DrlOIQss39
LIiybIzO/JjC/lQpvDbk/OiMaPRiGVPRNxmXr2FWfnqxAioQKcbaRS1hXI2rBjsb8KTqiUeLPhEl
DLBXldm1GwNuzCUyVxe390XlkTPWAvd06MTlNqu8dFOUg3dTGHOw6hUk5EkiaQfLPG4EFoA2JvWB
iV0yuStJ4CcKA+fgMt53jQkvm+F/LKDxWstSIGY7EM/s/Ge3rZFpqnMYqCdn2fJbAh8vlkAWynRu
MPq6yLnLDiJdthFxPvRsVEz/PM2eXiOZC8KmM2QXoDO4o3HQl2QAx2UnohBaNkLZwwvbKLHNfILf
qNBEI+LmW1UgZFt9i2LNDsepXQR5Y20NngK567FnIU2clPQ1YCc/JY1zX3XROuVG5LDm6frhw1TS
3GrHym+KgY96yKXNZMynIdUmBRWdsTIKtkx6TNJdGw7OQUSw5vxo6PYFO6qWXZVDmFiVxHvssJg3
DSZQDoCvKa7VJ8AmE75q9PcYJBvMVNvcNKF37PR83QfT5G5LEd3wdI+AnTlY6muMAIkzIfgAVL6I
dmRf42XmjjFP8uCV3SktrPOEoP0SDAknnMouv2cGQAQ0WBrrUgu/FMzFY8RTMcVbFpn7Pg3qlswU
YFujx8DPESt5maAQbc1GZptQeCMuOK5Fb8AzzxwLk6lBampHjEq8Ecr2Ylujecnytj0FRcqvjwTs
bTNNsIwyTS1YFxGCkBnboLTdLNw/1HYvJqCi8hxaaBk8NJx5eOHrYtw0Frt3ID8dsFt0DpUxZQ+4
xLfK0z9kJPINWAvnN7D9fyfMfzNh+qbnQkb7qxnz6vM9yz9Lrt/IePls9f9Qb/nZvJX/7Nj++YV+
OrYd1uksvSHz+650HJdh7rd1uil+kYJlPR8RktnR5yN/c2w7ENwc2/csAereXAbEn6OmazOhLq1Y
ggEUyBuL9r81fN3+hmb7qyrQP5PYWaP7MDoE+AJhMWr+cdKcc7av/WDN6zxM7p06mq6afmK7SIR7
1STEGup84JaQEhNtGDvzpL/+3Sv48zv6fXGBxdT8x1nXE64nodZzxMSy/M/FTjnJFTfHDsdC1McT
FQb+Loiy21ZY7dYwGD+haBabSOCyqfCBr50qbA9mp9iPl+4JmIf6aqf5oRqr23noHyfp3Jouboje
yMqbnPuZsqyXsTGPosDEQk3jiFl1psvQL1PjB84Q1uEClFSYk53965/tT2M8v1cBy04QpaRHBW/9
H8b4fsTdEtcZXrTJ7Nb57L7kpgGQ3EWH/eu/6Z9BfAtZHv4eZDxPsjqw/qkda7YMMff1gnoxBT1R
6IZrwGHpehwQO4pGOeveF3vDX97Jf9+x/C+/Pbpi//RD+rwXUXeWvQnrf8GW5ve7CrNrHG04JgHe
UDdQ+eLxaIuqhwDRc/SynGkXyKIFIJy7ahP64lU32jur9hx5RABX01w/z8v8rma34PUZ55VfoVME
mamRBBBdRfhl2+OnSRkUVaVZv5V9ON7WsO5Tv8WotPiAA7z3Z8euL0VddStlCHNj+zzHUiLnJ4/W
2scEfilTOUah8sJTTm5dt3B3bp8TRqdYspaLXxP+i8vAeAWKgFxuY7qMX219XU3Lk8RhXVGi6wMP
stt1jzdq52VEZiXAkLWszZust+1boklQb6Yz13txzv35OGROvsU3A1cg5XQVVt5TxUmThJBON6Uq
390hAxwi/MsUFenFsnGqssdOjzIcK6JfSLXphLmR3e+W7rHkunLyG8L21ktPH8RVwOtyG47dy7DI
VLG0NxTQ2muGzGY7O834I+p8hUwD1yuQ1wLcM+MthsgP+k3ncxfqB1xC2cEw5anGb/Jgl3UV7UVp
zat5Xob5wQcmkfvkEDHgfQMKEl156WAfiZN7+xaMMI/AlLoLICJjR/TAEqTV8BA91kVbPRmEyXdm
oKCM5p5Z76y+2LZk5zaDB9VDmtJ+CIXlE31GA7PRvmix4SjxIyn0AkBkhnM9Bnx2K+nwbewY2PxQ
wsFz50GeNFPOve+WMKI4NEXbjjljGzey4rbQmEuVQ/2YDl5yhuZWuUhRpnGmRta+F34toAuDuQXb
z9nAT+HC8vkldBajH/ZR7rpn5TVyO6fZvI+CMfrI3f660NJ/qovlxcGLLa+KNuEcqsyaLjAF53ey
6+otzhtOdf5U39YYk49jLXJvlTNIboowYnPH8LOXsuKt2BrwMgk4Eq5wu3aPVVhs7HDqD4GCibMK
WnPYKc8KnsPZgUxPQ9CJWtB27+RZfPANbtFVDP9NFPiMhUFAhemr7ajY7cavGhcbRSy5Nl+baBIv
rsAmNrXg9Aah+qMacZ0rK23fWtuS4MgJHxAroRXXGgZgfakrHkrFFUchK5icOnwlAbP8riOGAys2
fniuGDfCEpxYBzn6HxE2tA2Scr5TBai2Ko3sXe6NHwmH0JCRGa53ocXBWE54EEML3DqESKP5DvyO
VQAUJMuceJQq2RWGn8bzJFUu+ZAhPBL0uzB7Mii2vc3pTM5sNqf5iMxJ/2jjhR+9l3Wr0IhJYuJm
Q32zY/0YjBX11USnt5mkLsKbJwCE1hju27hKIRXnALRtA4Q68DU/3c9GjZgS2tVjrWqOxG36paMI
sTTtmaL7aExtTIbRD+m42aFV81WBAxsfqDDND187+pY4ULvtCH4sz3hgbv28H4wH5B+I+bxhoq5M
t60BzD1Qk8JT0jeLDTVfB5EnQScOZrPC+GccZWM/xzOp98H/Bhkbgxy3hPPgmcNHUuvgh4e2+RSU
DU9Am9pVo7D4XIeiYupOql2uk/h72abuuIInUpMjyuOznQcsHittvEPAbGB26fGD7e7wyY7DwqRT
arGZOiM6FTgZQc/VHvu/yoM5KEdhbFmJrgsX5kSfiBc7DNJdOQGnAqze4l315TNgPnx0ho6s67AY
LUao5qXHDrK2In0PvoYxxMii7dQExdrsjcvQpg9m0kbrCML8fsqCj24Kn8uQ9zEr7h6TUltsvVG8
OJ5/G1FjtK7w6HGE5y4KoYayv057OyyD2WHKkvaMNZTWHaWyGwEEH3CjUewUFvoznKDswVL+fRuE
t/ZieG4lNmGlJ/OiozZeA/PneDOWzww2X76J/JaH3Y00vKua63/dNvm+xny7dQzJtgMU/Rlk9W3J
o3gdz9rYlLwsx8GQuMdwP2XhUsvbpR/RHD/ZXkXvHQ61sRncvZUF+Sk0QwppG1NPOyuE2WTUVnWw
PAO6aYzAmyU8pyOWuZ7l5Y+Cgp593LrXcY4AVck2uzbt6Y3acQMCSBatrJrnetWrxwm3Izvo6CqM
/O4+yzJ1dNr4HmcRmQ1ddxdM6OZLDzLudoY4zW1C2scm5b6+vO+D2gPhUMynfOksn6b+hvMDYoJP
zGZlNYp3aEXuJBnNd0yz9kukbARggKmrvOGc1VWhfVfUXUyUWz/GoNLXaJM2IBMM5LlDH7I24n1Y
BIxO5Eu2Afw/pYnKVRHdivg83GPiGMXK87kZjhowATsoaqSq6RDYsTglqeNvQsMeznnj3ltpOu/m
CjgRbxZ7M0/ck4o6KHAwZMMh4XXE+M+eoWPQx0+GQc6x++Kzj1rrKeyXCDmAst2ytrEm8gcj3qYT
RuQbtxioE+2Q2Xl5uaXBX3JiTL1V3s2w/IYLtg3qvtssQNqgcmXVyXnckDAvLy6LC1gNYb/JJxhj
UeugW0j1lOXm28RNsbDt5qrvehQD5AiKKVUr7rGJgXnhAjLfgdu3V0EayJt5wou2TfC4EvOB2/3d
01kQbMsuQ/kMWwnzq6h9FUOWomuhIDgJ9YkEN501SMJZ4lq43JIwvwE4hTsY/6F1N9jSXY+UaJDJ
7ugfw6nYrdJa7oYKATgxsblpHPyKVCCiMmT1vC4W5q57NtzZeV4qwL9p1+jumKFp3XByX76psKpZ
f7gdksak1oUfPCGxbitQ6904fnmYdikX8bYag+JjOXHnLmP/2jBxqRJQqrZFauJBVMFXM6rqwJMj
2ehhvvcjtsKqm21cLxlty/O1QdHHt4jVkm8X31iH7WO5pFUsyWPATr6c2saLU7r6kacfXm85yRdX
cs6L0IfXZDxClHo0hTZ/TsQ0bwKpTrkCYETBNO3VTdVZvD2mdjN03lM+Utc+OHDsJGtMvAnkhzzX
vDYa9G6AqIA3HX9nsO9fDzr8Urb5Yc3FZxgPj10evFBiRENnx141ypJx7+fDVVBGN10I68rMXGyj
5ivVGXBrQ/h/GVCkXcvd9nUOOPAatKPXlJ2fosiBsdlY/XgoI4cywoDMojEE5XHqqEAa3Kj+SroZ
53QqmpswbvQFUt+Si4x7/xntvxtY4uiqWtFhyqWR+V58xRGiXjxN8daTrbiwVtLHUpr9UQSxOFtd
+sBZMFxlXhp4K7PiuTxaSkDDMKxgpSu4msDdqmNfTsM9GY38GX5KjZ5iKEnS0tL6g+dWTvatm7dG
OeQvXZCQRzOUv7bhWeN+6S2cr646u0EevMoAQ3zmSA7KuiISsTKnAj6Mo5190AvghUFYqaPH0+oy
EMq9iVsBbUpH8yHLBuds0Nz6nQhOunHTHnKa4YttXQKdGEsOrm4/e0wZdfqs8iLhVJYk29Zs2Qnn
s/3NagRWsHFQJ6/223NlJuNtkPbJt7jKrP1Qh963yBbjLsLMfApmVkdFloGTc8iLBq3LOjOp+6U8
dqGSKQGrdUNDbHo0CcHsRQTdqMJMsbb9xFn1gngtkRsy+jZUXdOlG2tTu42YNxrl56azHAe8nFSP
KR0HG7Ol9aKcrZ4iqjRt9yy/MzKqnr7kVUa/4IjreNJxrlazjdzBqOG9Z02SbCyJF4H8jb8GADBf
gDFOjyC44l1g8bTtYMf16yQrLcQzYe7ZlKqHOoiqw1xxANF+4j0bOn0G52o8QeR7NinMtTahtKCQ
DgNAFxQ0qW4BLHgbV3Uv4aRG8NpGeq9BiewzV7bs/h37EsHB3naUw2+J25QYVJP+4FiN3udz5//o
q+DDFn380pSLyOzIFuikb+5DBIy9UZg5V8P8rLFnX1dd0xy021o/pml8a2lm4zHkDyRkvImmr1VY
5PiKii6x79Mx1LdRRsx4MGBJOT1n/bkaXquCm0BvB+i8Lq7XMhqsXa1IHsIXM8pDaFTFvm4d3HFN
1umPOfJBSdIRQwEMIGaYDdjNHVdMt0qwpiuiIeGsJiufnVACl7HwOMTl2YNpLRDXsRD5yzBRe5H3
kK0ZzRRMluBF8TCirsKYEYVnE03DylKQ7w2ot71MFI9YFU4+NSBZdD+xguCHaHtxjCueH41tyz2l
QNmt3RYssOdqap5E1eDk7iwGCuReCbcvqaNHD9bRcQwTuYGXab8mhd/dsNpGuLaxP19jxS9Q1+MW
M0Fb5fUGstv4HdO6DTnfQOBPQ6B1PFC/Ih04X6GyoSEXyzC5cwcapB3gzachoEiH807HINOH87Nb
pckVaJH8mHo51zoYH+sYUQy14SKwzZs+oBlzNzdRdyiroTp1fsVOuEqZ1Ll3569Y0utb30jH+6kt
88uY6u7JAb7ySpKnwagYe8S6a9vlfRO5VNS0oim5rIJ5cTgOBR7iwE4iAOt0pHFzmgyOG5Rj7iyj
8UnMc96o3KK+9v0qmzYJwcivzJ3yTwxpNm0co+G8euDJz1OfWijnuN5HHpZjXW0x4HrExFy2DJ4v
EpC0EuIVfn66dUew+JzYeTcmaV9+xpEHKI9fbE6xNbRnYdpFcod7nYaNKKTls0kNJBOOocmLVRBE
XGUyiGDcj+E5j3PzvScPdWuNZXkduszbLIKJ1y6X+IXO0PLRpfDoyJGYYMMUAGhrukJdCc8A14mD
/Fix0zs5s55vCpIxu6hAAOtGCj9L0VUov80srwdpctatC24NosqvRvSHiwPVvc24WMo5bbG1chRV
PjkZdsv1hcDfuFfC8O4xgDjknwwbeDp7i5MmpX0ZmzHDhUqk2IMFdGDtJfbk29lyy9D9HvtxdRgX
lKLftNOh1HK+psht3faRPHL362CDszhhSwPapvEKOFtRco7GDE6cRU7K9ed+/+svzzEzeZwH7Tym
IgyOlbbn49Q34bqrpv7Y5U5xvez1tzDFKLpMnO5FaQC2lKMSOxnmkEjRfDvVgU2cpub4VlQ+05Cy
46PuW19fkFMcg5aDuE537tKcpzPNK/Nrmx5Ip3qTLGV72VK7lyRpfAdOP72lzoiFT19CISa1DG6w
YxidWHSsR564j7ZPWoYSHReCs2taZy61+cONsvY5/bUfEEHE4tk8l3Kjoy5Y0YErfwBBXpYlkWgb
7P9jwCYsB/OjPZERxS8H88pdagz55bW7yEjbnbZIX+gkUFsT7zL+wbGaz60LfmqDLobCHaIhk+R1
aYEXyfzYWuH4wFE4fiSZybwrgN+9h92vVYwYB+8shbIukmmZreoZec6AuZ1MiTo3s8Np22K3h8Xa
0qfEGRQCYGo2O4pihj2HSeMAUYCRs49otCBulD2KsgBLnyYKuhg+xyEMEFOlZFRwqVa+g0WTvaRd
Tw2xVXGGtlvxVlE9e4XYmMKmCPpdR7MYWKKwbeeNoTpJNJRUxQy0cguqUxFJlMOV3TtMf0FivU66
f2hZ5G49177Jo8LaG0Sn7uduLF4KlfRwi3ALkFGUnnr+dfX5H+kkV8l7QzL4S/+/5Y+9V/XUUDip
f13I/+O/OKryz19+yr/8Qn/4umz2f357S5HMH/5juTPp6a77bKb7z5a1zt9EgeUz/68f/NkX/m+E
EgtIMK64v6+J/1Rqc6mGz+Z/Hv5UbfPzD/6UReioEZhpKAak2kWSC/ibLCJ/QQzB4u+zMMcEZvm/
s+DZv2CIk5SM+xYOPax2/9BFzF/4XyahAP7NGtr8j0A21p8rhi2+JYcAhI9PkLH2j1ttA5+5FeSU
mQZzmRykU7jHpcTytVXwlKiFC49QxaOI07yHE7ot5XcMp7dR7+kPQlrZQ0RzgT3iIBiR+9yVGlQS
3IA8Lu86Fsdgo5P2mvNkfEpoQ7zu4yG8k8oc3n/3uv8v63nrz023aEuB51DXir3Gd5G3fr+cb4cS
NIFJR4ipAmtdBglKbR3HO7euMbrDBz05nqPh6nEI65V9wzIfkDh7lTs95+yuLRdLOB0DHlzbbLoF
Tmo+G5Zls2OvS6gFhCnc/YQwvJGmU+4j3SR7k2nmejJGQu2qN3/0UOfJqDanv/7RzEVX+H33ED+R
5BnnSW9p00Vy++OPpklqTLKjpEBETnNbVEa8IQPfHfHoGCsbnwm9tHGrJ9w8Zbsm62/uA88wxMWb
lgj8/2fvTJYjt9Is/SpttS6kYby4WFQv3OHucCedg3MMbmARQRLzPOPp+7tMdaUUqmpVWm16UblI
M5kkiuED7v3/c853TItsXGx47zq+or/ox/2zqoY/FImOyiI+jrgulWby8/sFuFP3b/9i/GtRWOYK
sD3b8gwC1GZZ4TZqJiglsfPEyotkumdH2yVd4nOYJHgbtbT4K/GJD/yfXiD2RJwDHoXC0vkiNf3u
l+gAMUYs47NtUmXYME37BGq5O4xF2b2qcmFiBatnXSMcaWzOTahpemd/in5g199XJFPwXTnEx/nT
fPaNlQW8D8FfvInq8/fLm+jaAoUMAADeWveXN1EuoJFTTrttyDTyUBYa81nhLHEO/oHnPoUUzcFu
WjDRGGVG+ltM+dPozXGXZjksNCzgf/Gx+pOQxqWFRa3j8G2RgmfNH985FwrsuAiu8fHSpWdgEhlx
5yK6WSTRT1dvqpe0M7wf8zg5u3/+tUAD5s1C3oXi9asUy61+Sgnw5ywbMOkn9Uw03Inc6KchE+28
lmvt43QgLtDT47qx7KJxaX6gG9qKdNKuVJ78xWth8KD95d2x2S8LpjcJiMdShufff4z5cFWNAYJ8
2/dOuxf99NDWAwS8xNF29GR8L8gr7WM3A/IeQTVIvNU9OHl7/osXRhd/0ogZRzxs2qiosBJ09dj/
/S+iM9cNOB1S/GZeh07BTHXj5Pl7MfQwhPr5lUl84pdoo5emGKNjswxEFutCe4vc2PqZ09377oQ8
BkK+AkSwMM0BLcovnVsu+GHgjmdTFbQ9spaQ+X0T9Y7PRWK8B2m0/fLTssN2NyIBqod9F1tUFpA5
G3l/LKDBXdudNIsAfWq3LRdwPiqLtz5jPA+RJzGJiC6ROJJq7ifeBGeinszliFVRv7COOpE0MM+c
QUTPVcDay2QdLC0up+orf92pKLanQtlxSwto1lCvGWn9mZgD0W29qO6linOjZmEPs6kzqhtja4YO
4uWasAw3E5U5zvgZDHi3uLjz3RDjDp9oiDxQhr3ewCqI9uieywMZH4uRLVIY8J4tHnMPm+WvNDoW
cpLpS4n6rlXE1S3wWlDhh8G9sVScvVTB9lFF3JOyMk/eV+59Nsx8L42ZWGj8bShFuZepUZ+WyDCD
QgW72VQiR3jhmS3G6KA8pPNVHHfmtk2Khm3LIK6xsDo3+HvIpuCiHu+VSenTVj3ODYLgc4WL89za
K/ykKsbPlGAvyw3vrHU6zpzJE90TZwGeq1G6l9IuhpuCEkrA/KPc4P/VXiKiPrgKzOk20url6PZm
e9Bd4l9omyhj3kqLJuaMm17Yk49qVR662Z6eIqTDJ9mZlzJqnZ2VMehvybNkVDFPcj5ip6R2nIdY
DO91MqA95l1+UyXzvMsU46Fz9E9eUJAEy7wee4B1xV4WlK9lbhcmm87uMaWZbqEqXaBGSzzX2D4j
EuxIKduWcqljP9PRMnRLfmtNmRu4KZqBZk+7aWYjNGBJpwZZgU0sO4YBZWp3hZN8qz0TzjW5nhM0
yR4rLpFek5dCX/gNsDQ1YQAOn4aCrGV5sbpsqWHMrxuj1Q1VtRK/JEPnnMParvLD4EbGC5WjPI5q
a/5MC0se3TYkgQnzb9wSkvNqOP5D+FANTr6r1rAGAZOUzQGskdy64LNAtWpWFLjrKi/1mPFkyyaO
x42+1oSGQmMZ3peZ93nTJOXod3jHdzZXmHviUwUFdGMaGPqS+TPmbkC+S+hHS9EjN1GEtWoCRwT+
PdzCrstbGyI5+FFbMTeUYOX6BTc7ZtC029IrUjwRNR39Sl0Gt6Bw+oeG55/vVJzUk5lH+IqJAhJj
KikZMeWbOUWjZL9GAa45jNq57Qp3Pwy6HaTkBHB6VdVe4EgJRvYub+x3mg6YLaUVtbB75uThBska
tmjUFsOLyZP2dom8Etp32IudCTZmZ6569Tpo6lGWvOqifyYXcj9H5pjj4KxRaMAXAorL9rWM6eQp
KHfRKGbgyCBt6fBrklh8cZ3GuUU0HinLbqvkhjaEeQ9+fD5OQ9I9Mr9lDx17HtdaR8h6qhYiWc0i
4FaJrMYYFc0MVLHJDXGUeBxyOkJF1T+w4zXfbDWIOVU2n3ncNFe6GtMYx5gTW0a35WuKG78mukQN
d44a82o18LWa+Z3yZjUDeg2CshoMe29WI6KaFnlTzLMBoW2bzIRJkEF0Fk9e+piWwt1WX1OnpgbQ
RI2isRpK06/5NPf6/oSJgKl1NDrnkuqrvluIAW3i3BK3/OP8+m5rOsWOPz2mBLPzEAHqiEZUvXVP
uEp06LWRS83O1AxHvU+BWcfTAeav8Rx7bNr7ToqHpCSIi4wy1kRD8BgBKMlocO3b7MdQ46RqDbhk
SRk3h8Ua86OwmzgQ1nBZJkc7LKGLqJbFAmrZ5IbfRW0vn+Zi5DiVYSJoU/MCWuCtLKLx2WHnQlAO
IALuxkrjLlend/OysNSkBRJEGP3QTwPVyldCRUlHff4sq1g/CwA1ZxHj8OR+124ZZ4665iA80HUV
+umcuXvX7Y0f7ZJmus/enQJfIUF4bOy+SMi/8kRNt3YhLOAjEc1pjT45d9KaUCa8xe06gGUaAGEC
0qjEXA/BPrDucxMKh1AYWy+uUH/nTP8ogazsjdSmxGLK6lvZrZKYXOHcQ9SanrrVaE+5tupHdoL9
2RF0ZqHJzTiXeuzKxpzcxi27Hduoh71XD7Dz2c4hba8n7CjrYdVz6Ht9ld2PWktdA5bkbZ5YZVCV
s3UzGiHfSyf5YenOBelGv7N0tiZTy2J2NYaNsLNrwI75xYhYuzUhy8Al0gNjEuMFuKfHTLZI0tWa
+S4qe2h83pMmYN+IB7eMjBvReegXkN7ZjyBHblj5p1dGKu9IPY0JvDqd9dkEkCuXdbKv+uTZ6aln
B43yWFB8PJE53UUt2dwkofpILyK6iDueeDrQUvqKiTE2GLhJjfaG56dNNy/+ILpzVnJFr2lU2EnX
eDR0Ud+NTDU75pG12abRvPA7h+mr29Xdfe8s8ns1C8qXY0/mgSxSjqu2woMAkEtsBnBeF9ObokcR
OefezD8HGbODMjK2OF5KjWdZO98NZBE0YMDvLGZz6QF5g0GOcvNgcCxtG6PFlCNg/LyHQ1PdMx5h
c3OzGwhKy3FyJvFN12flRfMgLhrMJjuEm/UQj611W+o4rjfpwlXBYaGuuDLLlY1/vyHpJR+NEOMh
ix5+p0X7oevjjQnujuuDRbUBPJj7ZslU53HaWFgER50a8JXuiS6qk+s5TwQonAVbtEEOpZd5QoLX
ik95qwGXdhLqeyxtTTg/umtTjmF0rVdLvWkdzcZenLG/w1o9A6A0UaGg+NFRiMnOo/KZPMMIF9Kj
//Zbp9kO59JKrymKzsq+ScfDG2cG1he7nqnEXWX4vPJdFVQN2AegO96+CeWe+Vn7kREWDdDkW6Rv
XE5rFpmPDRvbtwmL0q5bRuvU6TEnW5FTZ7NMjbldEi3+mXFE0iy2ToHXLs6dxy3+RxUld2U8jdc0
cuv0demxcZ0seTT6kFImVW2dbqpSOMSmxGPGqvdswq57MmVv/nSaHAUEGWQHwRa+i71QtGK3BlDM
cnodayBQY6MIj6XobjFu0HwnHVduSzHWlm/VdTQ9Dx7KC3kSzm6uT11QYHHY5iQ/wrtMr9ugIyFN
YcP0PLK1+A7pUhzCmtTZoNVYgvL4bqLXc6sIENRrdoeaY4X0oPj03PVFOrMOwrPFmtVayy2ZpP5q
Ds35CmqbOKx4guh2nPl95kRu+UUVZ4W1xwGm5nSMETs2bWfKW+C0nI0y7quPFT1wn3tx+EpdjUnn
Yd2m6ohPgAt00IjLnQOUDZFIc9NDx6oaW2nbL9ccovGOksrq1c1pCCi1EneB6Auaba3mimmcPikt
trGCCe+mIBERgJDpwBJ60L1XB0TMDJJxm/OhUpfcyD4BhBleRJgbBGOkp+5fkOuppp2r/B2D20wm
zky/F148H5Kkgd+S0ebyFsK92ANoy/x6ZpFPgonXPfNii5xJQVBgnYbiuk8c5PhyHEnDyABjfLjp
J27YFOk4VyYOW9wkKtxBhzjqNR6GKD7xEianHsDaR5l6VNhNdkIyTLTcqua4xowGQqx91UcPPdLg
NbpCUozo5smSZWubkoWBYXY/omQed7lnxLfGDLpcX6ePdaDHBAigsl6tZsCDmIsoSeotIQxsFzyM
tuPcV4dqSHSQDSVZiLrkrk7yhgO3BI9+B6jXOi9OUyKPGtV3jBn625LPOjwoO6RKoUAkZB1dLq3P
Tsrmaj4ViS/N0r4GtuM8jon7EkqONNx89BHZWHIPcySyCZ4CnVYJoKq9VYfmPk4ziAukhPWjsGxi
WWtevTnZYO6ojhKPs4V4FE3W2m1kAumiseBJJqCrkQGGktuejBks9HT9Hto1KaIwIo/S2XJEk1uj
96yQrKeFDKPHEP24pLJiBcVcm71JkJdPA2RAbsdd1h6XOvL2aWz8yKNpOmnhdKgqy7wLO2pvUg1x
HSmethqeVk+1CHHFhHUa6MY6MGiqY3OFcd33TXPfMaZ8iCnhUAvDFVRia9BLfUR/tZ8QYlFUYPw+
z/Ysg9LDPpW4dgcdMRV7+H3I7K2OYaLIqCGi44lxBa2nbix3W8Qz0jKLje0gqTlFjemhlFJ2zK0F
JyEDmOU9Vn1Ns83iIhK1Zr0fjIiAiUxGANJxc5IwDn/YIf0QJo1M3BKNBB6gBsPEhtqAql2gVgPi
vBkSJ6JiCSR+Wupa4JKx+cmVmm4UuAaXkRX9NjTmcheNXnK02yL8uVgSYWEow2Pfh4ix3moVQeG2
2jHpc5y4TVMb0AJN44wVlXxrLxStwHqNKVHtgyGV+JLcjoe4GaZXop05M2UAvA1YFWVOAFYIFYcd
8L9Cj5YAnHK9MauuvIPMkl+4axIbE9QwVxzt+7EyB+6z2Pucal5ghGXNY+FW4+s8En5yhvl2stx7
S0AtaftU+Yrr7rmci2Y/Ju10gZPB0kfm5P/IVG2HaTpKbNebSdffc1xgZ0TU/G1yYUO68bpLhyW5
RAnYRdYXEYBjkZ2dLDZOogW1GGnO4mPfo/TbBYoB2Mu55iZ2MmT5SDHCZ28L2jzpGQN3OkoWJR7d
R2k8XKwFyMyko2tO5YszV9AgbZYrI2DrB3xqy7EEo/g8SlO8RJMkM5oAOf7ZsuZwt24/2t9azAC0
sm5N2GIV1zeLWlgtnx/4HNc2T+nxChD3eBSMqO9WRp1N5uT1vq+jV2qAlmNTUczOmlBsDBs6Sza2
yb7L+IDoKEr3OCXNLfZgvhupXXGfdrnqOOsc7Wd9dh5Co1we1AtUDzMxqrEjBEalLRNAIEzOAP52
tHPtZT03S6z7kMhvvREcpzsRLbd5w8B58JoQZk4tQHo8ZQ3LHI4r6FtSc4kR1Ew5+BX5PMxF6QYj
176PaYQBlJhJgoFobAK6MDueVpTH2BQbsdEzMbXNCdl+vei3JnF3cBYtQ6ug2qVRLFCsds8Kt5pU
tHhTZJp51xTNwz5uGkWotOki7EfQ6CTPjouzNmB/W3fnJF1CNx9XbEGM8NjjvvVt5V6wMlvu6AWB
t5cT3Apbz7vJamn5Trhkx5oYf6DXjtis+jTcrGtmQ+UZy5IOwdh8o2cU909Tt1eRJaOAyYqFu932
e5EW5zon2bVIzuJprlHY++rd0bgXb/4VdxvmeAjmQPzo/yXAr8PtXBJ8VnNCZU9v9eEeU/O6ax07
3NUDp2hEYh8TB5QXvocE2ZoQqaHG7X9P02Z7Zwxz+ML985XULpvqkejekff7ehjdl2VU/Xizx1nQ
cHXFXRhf5Th7eeCJq4JGu4s3LcxWnQOs208BmJIl1cPlei2j5oaIvHcClGNSKq/Hj9SmLsdCDN0T
9hrt0LCG+FgcxXMyIu91WUOBRcWbL2EKI6jNI/Oup14JF5YZ7pfIxh7gTlN/btex+4Y72350TDQB
2j0LQobd/B34PjWrlhnSpoJbiMyX0T7Oc+3rwJR3+tQPfmpN3X5e5Xc9cj9YwfJqJFbTHdLEwqs3
wE+2YyK1W8IJmf+1gf1NS/xNR/p7bOjfVctf/vJ//3dEzD9oo4eP6uZ78dH9qof+f6h0ShPpRiIB
/OdaZ/DRdR+/54z8+7/zm8yp/82kWYP/CQSrr36N39Jf7t/4+rqGR+7KALYGSv8f6S+0UceyBfkN
B6yI5bAPZ8PYx//2L8DUkExdcjjoFK4B3/SfiX8hRv264kcXcpGJlFxl2ygef9ys89iLM2yi7NvU
IJ1R9bUbYSl0m2HRvEuDOXjL5uMDcHe+M+TO4WHqJ2FLprdQZb7zErcn2JdHwBBMb/1QYUrKuv1S
1bO/lPG4Q3Ncz/iWaUsYs5zpdBy4fKe9daKf+rlngXhqktC64APSHrBO/hggLDGyed+XTJQfXdME
bk5cp9bTkSIFE8uRp8+dgjdHO25LvmdSQyv0ZfjZm5pzzNDe/FFbibyYy6EbphziRKZjyW3Mj9Ws
f4KCuB8claCvBqa7mn7Lo0746Ibn7wyquaiOWTtZ11XH0taWkzxzTwP5H+f80xgVaCdRFRxaZvYU
pbsuqEkCEyY2QtqUMpaG8yPo8AXxLK0C9Btob4nbB1i7pg9TdXMsAOJRSk15Za8k0pJIX4kbxPpL
FOuZLyZinbKlCpMn3Iis2o9biy0fNiXMq6033loclzsupeKaWRqMqm4sn6JpQG5336Jw+TnJvATn
SZnrilBEVWqq7QDbTM+EFDHn0oG8W5M6iIzUC1y0NwrO1uxz8XhcuexxMAu3GXStfNxCx93X2tJ8
X63Eu8/I6ARJbPa3AlfKNbi2vqfAnSQNxKjSdyKnuiO3Yu0nJRlR+BIGYW2tr0U5S8q/2Qixr8uH
+QB2KX+PnLbe8TjHUISfyR/ZAG4a143vIl5z39AyWBGxosnImK2M56gjdXYp6eug1EXW0t7rVuju
waTBmuLq+a2E4UG8b67f89qZv6N80+7OxkEU8q73mmKvS539Gda1TdOnI159fTkDEzRdZroKmaFw
rkYV4ya+YVxkLpoHiAjrDVc8bx/FCuil1eIO8F20rwqreXA70zqIak2uS1kK7GyMCPATm6tkpQIl
nKwXIGf5cWwmN+Dz+ZLV7JP53HKR20jTim+9uiRTrJnNnpbIJwJU0EsyR79Np2UEQV84QQv28wr6
CdGJLK7AoinQKNlpKr46sBJkH5dnt2ro4o69gwGlNPUMsmzQJTYs0Q5RbXRbuCTzm2tAN/W+QKda
ATE2Rlm4Sycqj10jBKEreuyYyAqrwUUiyosfmcYPmuaSK49Wxg+FiY+3GVtaSFGXdgvtAjhaIazF
aUPZipbfkJmmrMtONnXBMibTMd0UoBjyKgkPWedmMBPT6zqWzRYDWYrZmOGaEAeme3rnt/lQ7Wvw
sHpatoc0JnWTwbs+ErwbD5NCykYk7wDiKtCsVMhZYVewA2zWFEW5QAyPhiYobPHYK1htXE3folXx
a1niwrJl2a8HqeaJV6QIevRWTMYGlAMfZ/AlYeni06qH+AEj1/2i5U6mCwVyRuegxyF+ZU33yZ4l
PHgKtMs4ceq5G5KI8OK7MK8oiiRfui16qmIJDgDqjRWzV9jQe0WjEwbL07Y6u/jpN3KqP80oa3b0
K1fb5QsAvIKyhdPIgiAk0FKDGvD59oBBIpd7b5OL3+Cxo7zN5KYkFWM4/sINZ4tznzrkRbhAQyN2
yhTnuEB7rEAVxx3M4lmmNLcmPIxwvRl7L+suFUUbzB9x5S/E2DYe/OUnLn9MT7OVPUfaQjF7AlXq
qCt6coyCtsoCCv8XWtlUlOXFmsfrZiLX0k5F47cjLSp28m4qOrMcJ4+agmnVOTatZTfTTbjH+JDt
WDPzUPmiPDspF+C+vLZl5i8h/YsJy3WaDAeCMjCidUWLlkouYmcWbvDHP1dKUc2UthrZqKzSTLpT
TriW/xJf5IgetKCSn8nUrqw0bYJzioBUk54MlYYLmsPxXWTdTum7OUKvUIov0JJlbygVuKqAwkFv
mzY5nkg+n73zHpmL+TORVvhWKy25VqoyjtPoxVZK89KTVgvL6dNGhDammpSAJlBH3ZZkwKruvOnY
HooByyI29JVFRnFOC/bgiborR1jxA4ZO7s8GMa1F3akhepbcB9VFW1d3bi74pPvUPTxHYD92dmxT
CsEtHXcFRXnllO0o2qIzQ0Kg6NS9nmElPwIPak8gXdTeYXF3IrQbf1UzQbE48jyrOQGX6eBT5Qn6
Rk0R6ddAUTNa9GrGyF26mLDcrIFqZjKh9O61iDibrqYTTEzrvnasldIFNbuoKSYamGcEAJv9BFET
utGwvpc2pCUbwqPfqFmIInMjYFfEZKMmpVDNTIOanvCuRFTo9qnYSjVd8b1fthoDV6smr9Gq1jPp
cLjXPb0vtprQXBolSKODMOMAPISjO4PayZ0HLvXJqwz5S0qXEqJgggZvKgU+Fs5qEF7G5Ppg9O2E
CEQuz4nLdCndtnqCvSivqhoT8hd3Q4RSwP/TyqOOpG4mvfkYYaqlxHk2mODjut8Sqor5ilHQFEku
8nNHaZFjk1GJOvinttb1b93aztddKBLMSApStNKEnpEC2M6N/FyTpOp9EJ51vgM6X2yzVNJ2lvFY
tarc3aJFrZuJVeBz2zLC4xz22GMBZTMyHM9cJadkw3YZP3fVRyUF1JHCCDWG2151sl6+zRHNBgMF
Ey9dXtWEcgjghuFYnCFm2Zx9kw3qvO8BaWkToCC4UHLXKMTLZJQlrb8h1cQ6S7GrQubVE9ib+1Un
xEBqqQkyk6F6rOUFn1fyE3tbYJUG7YHQ4w41rhpWXrHxrbOS1NiuISMJzieNJX1h+FNvUTA+DmGw
6DbPmLXNLtmam+dporaUhgpW7EVNuUEXVd8zek0p8/hCaElQpvR6GPr2i0pqjOOmzsuZhQ5AprbU
mbyqpYRTMD+VGGufwxb32kCmgpG1b8f7AhA5/FsayzsKvtkuKl2jKKJDAau0qif7zCLqmba2IRAs
YtAttMa7DgtK6qqWQzbOSnicXjvWP/DXTbtiNtrZD81uHX3bHnmk2hoacGoAfsJbbk7Fhvg9CvDQ
C8Kc8JQxjihumKUIYgUosVExxdbB0KhvW32jsYoHPSb+XLlz9JQRPNoNbUZc03ZfwyZ5FF0I6ybX
xPVsFSHqrM3eiKN813rwzZCm5aGeM6BnhcnjnuIp/LIQlgLCQnIfpWkRdI6lQKzZsmUGj24L/u84
ouRtSoVXqzXPue1MkT2s6IA3UmHY8O+7bJdhW+Zcs7CKCEIedYkvQSHcYjCve56XF7OKkWMV5K1I
i5JlylJd071uQTBi6+WU1mGo9ZBDL8+Cvk+/hTZoPWctxltH6OuPqPL2dpEU6NFCPHXqkCvzhdXS
4KDGj+TmPTwtNO3i0A7n/r6sWYjZ/anA+4T1BqTdquB2XjKYxwFZ/9DaRiB1HicjAtcuTmPzplFw
vFArxHVVju5liMQjaYbk5Ez81GVh315205vXJcFqOhdnyIll68mldOVVgoEf9w8PcQdAX6NIfW1v
iQfO75V7Orvh+Yvolyu4n2ev7a2uqH8TvoNqVzUrFZ32WBQXTgX9Tl8aErA98YZTbhXjj3zB8sn4
EH0jC5lch81KW5eZvfXxSJ9foYs03JVGDZAwNmATus1q3nDFtChqh1wIZaqF3mpwjxkN3Qf+B+EQ
guBFRGH72Cj2IVFQ68TNgsTZsiQfMvK4R2tDfBkH1a46jL29Sdx6oDeBIMgla5vwLnEUbtGctJ7m
P6M5sfjaW4OR3bH04BbiwaD23OHemPRyr2GR2cGnNG7jHLTvaqg1oTHyvV1DDbGOkeNAHg7ocosd
hjRQ/dHzsPDN3AA63NjF6K+YDvzIgsFIO889XrPlw+OcW3O7umkaQeQ9J41RZOEPb4YlkVSov1Ne
3OFSobzBiZ3rPgVn4IDG38TgorYrOqaPrgEXfPXcNEiiSX1IZnd489KhOa2W6mVnQ3KARfdcxzxK
ZW5drEgCOSwjsYsdB3ZeTbEGPj2V/a7x63SJIR+MztL3qVtZoAaWgicmHQaWZ5QPeTOur1pdIeRY
LpUvJKP9ukKLt+fcukJBoFCeRkJKGOg+L4sf1WL39/+zn/mvoO5tw1W4mP98O7OBDfZR/n4989u/
8vflDNRWPoWQdIRuGi56OvbUv6N55N9UwyruR4+dr9RNRWD9v2geC+O6g0NdGUTV1gTP6m/LGdg8
eH4tG2yPTazWtP6p5Yz1J9cjLjM2PJ7Hz+J5aP3iRQ3B1GSrxg0hKbTitqBPgavUOFw3Lk45DVvY
tlJNQDbEhn0yiceQ4frvhq4qN8XGKYqM44CDb8m1+G52F+4PlK7cGcql0LDY5jIQjrsWt0MgnMal
Cd1BipXGp4w1vyhs6M6muNPm5SrS9R+OYQOJz0VpP/C1ewat71DRXX6PxuIHGDGYp8qwAAmSrokS
RNzv3rjfVpD/qxyKu4q0jHJJ23/yM5MH8AwWZhY4cdZpv3jZ/7E+di06vdg3pQ9Rz26W+kAJWqCn
SZKDgMvrTPlIb1OGMnndidWOoF2QiqHE8K7trlx82ntGVCaWON3KOidEiNnrbgqvOW6iJyOGhmSq
fayNuZYDu0XAnip6v2UU+mIYLJbwaA1OFLEPijC7jFjeALNrzpaez5fCJalIR9Upt7mPcXCnN64z
fOD4tLCqM6oC6aWllBQjF9lIBEVBDpOwlHX6MjyBIpEHApVcubESphKJlX0FCPLVrUvmtXX1zYw/
azRQENipuvElNilmUgtqvarix8KiH6Z24vEjrw0SxJG9XunzpG2dGHccIhFYXIfTuf3ae/dEBI5z
aZ+0smh9baZblP6kniZX04BE0cDNLorrUMNQkSgciLAorm64iOyTFPsbwI7Y750x4d9aeSdw64TM
ydSIPdhQcSzcPXiS2HpEmY1HUDxNRXRn2zaFoiVVZU3xWbf9yYzXy6JhSeXt2eFlnDa4Xw+zS5AH
B6K/cmVDZXN2tp1TPNlINd3wg8OaXreWRzR+BfrRlhDEbCjhijsuVMkZTu2hJPK2n5USMMzst7oq
hg03Ow2IpDxwbIIZM3Yzg+TQOQXuV0dGeGg1vHgewtTFTOr1HkyF6WPbjLCVIkOYnKbou5+kuF3e
YnM8tlxj2GGm9UUJzbT4ku6adbyA3Pg3jICs6IyhI5ygRI//efD/7sGfVz+/58Safv8AZ1tOwofN
t6D61jQYrNib/z9OgI82T/5wAvyHP+C3Zb31Nw4U1Ybt8N4Lx+ap/xuqjSc7K3rc+aZOQpXEwj/O
Axq5Xez66m9zusAB/8d5YP7NsjyW+0L3/lkm+K97elb3pBFgxQnLJdv9y56+KOKhiRJ2wZlu01Ln
BIZ346aU0Bv73708/8Fz1v4Kzvwhk0GthDrb6HnhiSvFL5kM+IYrgVBYIEu8zrt8vfEs57HO2vex
s7aRyvLFLtlepFhy2QhoWl0H8+r4yllXsI1iZwDTkocTdY/2/EVzca5W6UHTBzBrrHv4TIIqOHvw
bYTstHgkYF350FIPdSpxg/RPYbqg4YVPxFuv4ip/dCdxTA2gGREGoAwwo9vA2xaivkizfvSM+Spl
OZAb1ZmiSBS+IliZpBGXN1oHeEqsrBX66X0c4J9H09aws2MqjE0ykisxn+tEu29ldJVX+p6d04M1
lzeDXG+SKPFTEvHOrd10rPLtktUNzUwM8k1X72f1nM8NEoZ4+3GAfHKBfSMLDjhvvalFcpj0c+5Z
p4U6iRkjlzWEzDO09erj/Vhrd3WJwEoq4dTP7Zvm8NxCffRdLwmKMjnXmXvuC/eUJg68Lo1ya7X6
7AEyuPm5R9OnVg3Ywzh8elSipGSFoVtkaOTMx2U0clQs0027Dj+5YuR4fbxoj+Pu3RAtgc0i/bAT
GlrQahpqKkSkHnoHmNyPetveGIQeolLcWJZ2aKOeLtdupig1o+JXYyis8VoK89NrMws9iFtE10l7
b+C6OcVT/JR6pv7gmCWX5wYfgZe/g/CND4DjtZ+YJAyQJTInM+EWCmESkFC6lFb1FIn8BKOBblem
9oB3y75PYxLZ8+w1J3OofPa/dlBp+p67yHeva8ydiRAEk4D0fwO925vjUxix7aXGanyIa/b6S7h6
KChht3dr88AY/RHH4+1Ib95+ZBG7qVmL7IpQq/eLF/JRoENj8uQbrK5sRyn7WypYWWH63dESegsY
7GcrnO+Orj06TvaSMI8EBLvf5WhgGOg+C3QWC+Goab6l3iufadbLLA5UwGGle3m4xm6IIPwMkeWq
1e9Dcu0wTN+4zHyvGzw8cRv5q2WeewIS1cACIXYNRX351pumP4kq6DN5yp3hpwGmvPFsOh4N9j8t
Xqqm9X66ZBLRCxrwt+7jQq2eErxl8SL1sAng4g8+bR/+NMj3Tn+WTVYEo2fzbti4CVnpAO1J1p2u
dR9xSJdlVB1GLw6UsYgqOArWNq1MvpE2KzEWzWQC1BKoAmGQjO91VD1rNTcFlCucN0x8JeIGK+xt
RkZAccKSjjtAk79DwgkIcm2mQvusXXzHXhjuTR1Ew1yBCMxJi/hilI0vYoiM6SQLH9ECaFjyzfbe
aVC/Ty1yRoW4s6qFJ09rgXguDP7MEV7v+HVt15dV197IYdyOOiimcX2Aq+JPqGOlcYjdkdBb82At
zkNO2+CBHcjIUm65FBP8An3S/bZI38aemHutXhtQQe6K+TR3wvM4290R01I/ghCEkzMb+kNbRhTN
pq/Z8DmyoYPfd1fyNZCudlvyUSatf28TvBlFGdiuWW/dxrkI722uoYOzFudFzYh79URzEI4IO7BS
MET9WNFkRPTno13rEMoJdYDZDLoHWMx6gTTGi95dYeois53vudB/i8z5dlmmq9Wa7tsYV/B6I02f
M+tuKMtN5ZnDxl7cYxOp+mGuzBvTrC9aZF+0JIHy+X/YO48dyZE0Wz8RB9Ri63TtHuEeWmyIkNQ0
kkajevr5WLjdXV09cxuzGdzFBWqRhcyMdEEaf3HOd4bbGj35ZHy4hbZpkvIG/9GccYz5qWDJoV2b
qN0AjMHh76zNBRrsE3lguRhh6hCwA1pzVLQ142/d/0jK6M2LSUOUMaIHYA8bw/UubMJ2hca0AcMC
kEUmx8GhmIvo5BUCQbmVHzQCp1dBPuLA6HNmDYPZXDLXO+ZRMG+zMZahIQgzMPRsB165PhroZmLL
UBsE28lib7W2oya+ITF0W/S+75QZD30GyyJTZFgmPVdi0KAmZHD2qs0JwXsRGngbaVufjhSnMYtD
p43r+6ku72JCG85zSnqQmlEUAk7BxtL0pxHp96ru5R0+lPzekqO56FjRgznChONmvtVGvkksHp1k
MyPyty9VTGItat0mZJfOQDJ6tmJvZTaYNcoWcdj3aHnEHVafmpA3oo7fMkt8IhAljtcuAKlBEESI
S+LoHHxJlsF/pNT8/yLy3xeRqCdM06Jww1gI/5ZK778vIvcf5cL8/UsZ+q8/4e+SjyUkDwu6E+AB
9hw0F3+fKpi6SxHpg2hdvMv/KCItAmRAxPJ7MKVocSlq/zFUQPFB9QdABL0ITuf/ieLD/BdcK5Z7
fgyCExAyvEje+J+tlLEGFi9mgBo2TmuvE8uF+afQFbVn3/KeayUuCEK49hXLiQgxcj18u7hvMABt
XdotlatdOiU7Q/hHG7bVGFhvToRDqul+RyfaKjIepNa92gWV4Z8+8/+iMjX/ZQCwfOLgOZms4EZ1
F1zyn1+6UThFVdZeGUY89moBfaVxLGbfPAmSfLjvvGDjJ/XBRSOiYmEyIQxWkzduUuQIIDAY0BGC
CxEe4VQM4tRgYO3ZD5RRK+nP4fIHZPbmZZ9+TOU6Zdq/q6z/WsLrvkXX7FgmLx1xD1/xn1++RmU/
EswuwmBA5iFxmo7h//0TMv7VE88/AZrJ5UNaYAh/Kd1p68dWzyJUuWhJVmNfk9UdfyRIPr69EQg9
O3XcFTj6O9xZzYgTqpbIYTndHPuu8Nt/8425f/yD/9RL0LIgWHMNy1k0Tn91EMu+R9/UgCQW9kQ2
Q92EXmK/qxrb3jKFgfX+7XgKaLqsz5pNOFypYdGb4DxR3W8N9ZLgjxWuvtX88RiBszcL/IfgAc0i
pM6jxqFgqHIXk/hosNsp7sqxZbcdtU8LvSjM/fyO4T2GtJo8QkivnsashoWBtfYFliBZrxItfsh7
nAUs7feFNR24G+8cFEdI0MPAqbeDOvdLkq/ZU9hX+05J4grL76pK35vJ+kqn+Fr3bES7naMxnigY
yenOvMNuBIfPfksMUlCbaNdHN2Z2mIbskLv4/bY6gcpj8KZIVYoMf63j0ZzsXS7S8yDuHWGswEtS
2dY+ewBrvG+6/qnQocpnvHbKPDJu0F6t4s6DD9htHAV+iujp9hvpEE0bxUjQL3zRVWAjBLH6Exbg
t0n/5WvfWW0MNgfhDxcJYhGSlXcJjDWCHVaNHodUzHQ5BZxim5iIoTh2RByNRamFpSNe2DeGRisv
JaFQ7sAqMTNvS8KUrfqx0LM9jBSeWszWYoGTUEK77qtjjO4D3f2OPelFS9vrlNFDmYeEcEGiFfwQ
BAHK0y3/xcyoQM88mmYUDvyhdsqPOGB35A3deiOTlcW/hjyyO5XmmwKm7QXdyra6u35IsX2aAIsL
a6O76Kca0hlppiDMlUAdHRC5ssHPUr5hXblHs32b99mhnQgcEFHoTdURnvimiR/c4eDqF8EiQ8QP
pVXnoUOeoT76K1mNx7Esntluxkm6qWLAXJgKWPyTabCb7JxjsTkyQvhuPe3UGR0JLOQzZNWpx30x
NToZgLTMa1+yGPOeGvvHk0RS5M2DDPq1Y6W34OO2qq+PMZs+Pu2trLWdxfFrVI8KbZ1svzQkNqRD
74wIcVRGEGRiP4tkvHgF09gSYUlREjKDdWSWD0a2ndPGRNmNsG3WXrHsAOPu7BN7Rr2pkQ7hAsRx
qpvbjoAF/FknL/N2FTxMZVkska1im2vj7TQFbLxpwaaOMeISy9W21GPJ/NwaDdt5tkWJYgeDfIV8
70ruB7u9LdDO68xBVylO0spWFxLErkNQqrW/aIDb0b5At+R1RtN9b8tNF0TPtltQwckxtKviwRmc
cCj1U2IMZ8FR5tV0A66DRLi4waxEjIrS0kct105jTcTOdJBECtsGopaGCaLptTitneS5dZJ840XJ
tRTDS5nlHVUXrCiQW6FBm9C29ktR+msIHJdRgfj01Q/LQyADdbe3zO6eYJSTX4xHyQIO7eB24muj
RaPF0njtJKDySc1xu+kDBC6WEdpKPeREOrDEOqH0OxtNFzZc3yn51AQv30mM5hq6+q4ZVzkey2qG
joWBUKuDsIlmDhkZrYe0fKZyvLCbvRk5h7imtkZHvqBdnEg3WRkdDyxZXuZsPDSpd0dICND+ONjU
5vA0Su2pMKyDHcR7cl13HbqREMj3Uy6wCjixu53c8skAV4Ubgc4gvyCY2g5+hKH+VOPBggm3bjkM
/CQ9exF0kJkILaU94PLgoxzgypsZH/8EbDX2mRgX7nORgV3W5HirugEflVYAvvEfra7E3TeePbvu
Tk6FDl/Y+bOvB++plWzQRh0DDI4r0jPmVW1BPc3NlAn+aMpVNVtOaJrVsNKK+pZ19HcxyRvTMG6T
cqKpzA9VEh8hTL9pi+AzJSbcUsmaC875tLOcGNtgbKujWQYXxYKaFrRBNme35nVoSdp0huxhtOMj
JDCHQzTZjUr75tiId4OvP5BbFA528pzYwl+XDSat2GVfSafxO6O3PuVTMu1TrHQEExmHZu6Q30zQ
wmj2zV0qHlKfgbLuIY1qSWLdRJG27VvqixKSYz7x5wZx5WckTLXdfl0JArFri681q8Z+6ykZOhoE
aRh7GlFykUfO8NSvrF5wi6sZDYPu7rV22NZz/ESTzl25caaPHLGDlvWhaIY3i5twZj5TThLZ3njr
itfcH269Luhfe5sWvY3saNsWWFCybqadny5TdbUF+G844AZKgZoQnNlFG0n4gopeE3kzZQZPZAMB
CFM0CepTyHUWzO8dqry9qSasOMFadrKntIzPhbw0Q4xaSFt74iF2h02L02Nqb8wY/am92IPU6xgt
nI3mfQwAifouhdgiYK+CnQVRDj2EezGDpym2QkOxStG65Cpm57HtDV5flY9rF/MSCUGYu+HpK8tY
AW/e1z4m+I5c5tpy9iomfEfUpMJn5l3XUSpW0fCcaYv2IdjnRvfLRw7Cg9VyEt3piUnwMFFT7dUf
VegbTGRs51xqQboakaForfEsTWDLdfWZGc3d0JXHBt/vXCAAMLkKzAl/IVTwQfjtZmEgrRJHw5Uo
2blsiQrOcWNI2AAtidP2phdoK9rM+4LHjcG9cZ4pGA4Waga7r9eGILnYeK6EdsiLgB9iEWja5BIP
52UuSxXOpLceiMR4HVR8mrj3yqpZqRkVs5rUU6vh8xeUPrJOjPXYSLHLxubBEMVr6VlPvsatXFRw
v43mBUh7uoG2drBiPruSMO3JT977aKmk/GHTI3OB+Kw9/FGu/q/ZCv6fdAw4NCf0XP99M7n66D/a
vyTGmP/nb/19DeHbSP8Zv1nsOYKlOf1bA0nwOVvQhUu2rKZ91gB/W0vr/+G4luX7dJb28jv/6CBt
7z9MDyOux+J0cSDQE/6NDvdP3g84XP9FG/bXLowjFm8C7lwLjsLyEv+5jSGIpHXQepXhoNqDXjz1
4y73v7RW/zfNDCkpf21naJYC1vKeb0CSZBvD0uXPHVM2kvAVtInPctHFpeQT8YXSkuS3pe6t7WsH
D+pl9vHhrswlSK6vjHQz61lNKnZnXXMjdQ61yoOTJA0RJ5eDvw20xK1bxXW1di3D2FRV4ayr1gZE
USc/fmMx23Q97VulNrW8bkb3c15ipyKPKeFohVLy7kb1uPfwT7bbqNZfMiumyDNys2Ntm3KfmDxY
bQMvp4+j40ar03HrjB1u2RYB36qzjf7asa3eQDiPrxmHJ/Y99G43bd6pVZWShwjiVk4MRxd5Sg1G
fqN3lJoIYvT7hln7uZcQ2Y8cnDorb57GtS/cFqyESwplMzRrr1caziRLp/9LzflITIm3hs8TLUQg
sleYXCsYxo7cRnPiXd0eYIAM5PQS9wW85b5ioEZ5c9Q8R98OdevcaKgmN7UBv8gvzeDT7XrzQvYg
wFfCr2FpsAL97o1hOSbIVtklyTRubc/hyC8SC2f8kPg7HFagUw1DnHN3ku7JBnoHK95Hh8SVS+Ek
afzXGanxQwjmMt5EbmbdGsPc7Iw4q27QZBCEqkfmm5M65sVvBn7lY4af9bgImTmT4MF+bhXNPEAl
+xMUeFN2Z2BOZ3nvVWSUjhIl9trnUfvjSFXSEM/vejmTaEgaxB2GgJrGwMsfTDMpf2yp4OsESYPU
ktmDpOiHTgRtREykVsYAwAwYZJau9TuZ4zTEmiCD37Y2WvpvQsleZ4mQlxvcWXHY6wct6llgGLO/
GLdGhJ4BM0kbR/faKeKGfqr9cSvhHHVC7u+G4bnX7eps5bSctpuoM5YYcSi5+ylGMmsfYKIg9mba
giQGm651dv7TxEKcajlYH6U7OOe4oillXO8w0p/etYz0CnhNQ/CK1AQqE1IWxFc0L705axuQ7uqC
0ZRvDGDFW56wHnLqaM9CBOZVET2jpjWvrW6Qjzab36YRjJsB1EGPBUQzBtyt/bStYk4P9vJaczMR
j3HKVJFuNLbkkHCslus6ntVPn1k5XbfT/hIro7EDXFSMKLYJM2nb3zo1LZIqJzsIRd6TDCyS/hc3
3kOaLWysYkz2DD6Mbds3xIN6Zjrd9az6mSkDLIRPNbndPjAHPHClzeS/7TrawUTvHswMbXWmO+M6
7xq66zT5aYcefyjJpRtMMm+EFqh7vEYdLoyg2SVD7V+GGhUakgmxLBrvVTKKHbNz8lA1LYpCTtwJ
kqAT0Wmo0VqWkC4RH1p37N1iYzkAvGdoSDDSdQhtqbb0YlzKjzUeJcAsPb3GOgdBgMatSiU9bu1k
m7mbihc5djN2D2yv27KK4TuLhdGkKf00FkJdy3mZp4/sKxoVJOccRFWs3PGI1cdduQmMpUC/FaZ+
bmRy0LyG4h7BRtQeJHK9rhhWjbK2SE6f24yaw8XPP0buloHlB/r9vdO+TCPvabApuvAzvTjEm2t+
U69drcy3RaMMB6hVGZ9S1iG73iJICJFf8AVII3qpeGqAyOAK3LN/W4jJPtSxJJ5WY27hFNadD6KC
2VwmDaqR9MJ4loGFse3t2L5LmsR98hMf6b5J2Qf75KlyHOMg9e5Jt7TgKqIYXJBHcK1P5ghpv+oc
T4U8+DpXYqXspSZk3dE6H5orCWIqPoGBpAflaO4+GSf9I5tnjAAELjXElyLuRF1j1h15vjj4K+Vc
OjU17AQbLRxn4hRKFZyr7CHQ7ZsMJA2II1t7ySKoy6l4GovXgo5qhNTeop7qfPbb87cmh4PsqB7j
4NuMiQ3J2/HIo47dX7GdpP+VlDtPAZju5I7YjXsHDZJIxE/gNhXIkXptZ5+GBX8DJI+eipshYdij
mz0lOcErFjIWwyS3m3Q0992ce6ahjzNzBcY8DjJY/bVCnmykb9zdmkcK5TEgs0ZkcmVN8IKN3xEX
iWG8Gbp2nKItVXiCQBKRKK4kkCqhpCGZxQ9Bunudpry3b0vn04uAzhAE07sYpM3RP49Jhvss/4oy
55Hrkz32iH8rLrRdD0jHWixA5E6eQWZ8oL2ipagc+ywF2s7Bug+kfUbOs2LdErHWpvJmLqgmkxkQ
0ks0trm58dXVRdrZltPRIKJzbHnbUXIcrW7fBLI69kF5qhgoAie1QSWDSkzcdK2KHa17vCbf+tI2
xqH35lUgC5MIVJETtGLSFSHvWnXG2IZKgpBIR2cdDRqLZV7/SBNTBw0Ypn4DG+JjrghWMIonzfgk
m5w+VR+vEWAWph3RviWZK1DRZYziramw+Q0xu9HM2dqShEy3nAD4DItatNomcfFZVAiq1VjTcZI2
6TXRQAwlZv6iTl4agXQimb27priFirXuvCdK+xkIk9NACiENsg2wYXDhFfrWKnnFpAREOXYDr/wV
I/HVE3rbbqAmI6zXz6cdOrtAXx5WwYMscEe1vOg86ONdprP64iRtNeJFnW8ip/272lLD1nX5rJZ0
ItWPY5jpcbkubOc4cAzuu2VFaeRSkPFG64KIFuWbksVKTQxwHNt/gsl3Z5MNm6U2UQ+iqLZV4x20
ur/k0tCA5Gih4LcJVdJubA0/iYKz4nTVLVnDp8nACpWo4JS58abyGdCyeF11bRLqjtyRF8AOE9J4
YujHHPsMeYYPrOgRjgRrcyjWFtHxZD0U69wSv8LSOFrog2R0nyLxkLGxAWK3N63HILjT0qfERiPZ
E8aVlAmL3J50DqgdsfcCZirUbLXhUbQuiMxjKgGDizPScUYE7Q7gbofn3a3ZEEsiHjhC0NiZZxQU
ais8LG0lPCvW/dOhB2dY6QkJywFQJE3zj65LglSi3YqMaxnDLzRyZ7gDQ1OueidLQnfwv2F73OaF
ePFiSsdS9+TGS3d9ZeIpPLEYOrE7/tGT+LaLo2szvIyJp+8tRQCP7eCy9d3XsnG2pijQ3KR36OOy
PctDn/V0+2Vi0gUg6R2d3j74vOhausfanA+jT7lLrtcmTWr3wx3TBGtuz903iQQLk1dfcLozgMDZ
ETHCvAOcEbaJmzwmOd6FS7y22nrlO2SkpMeZmb2E3SNw/Y0DaODmjjiHVRLw7ZWrm8dUkL9MkJH2
IKxtrCCJIIKZ0RKC+kd+bYL74lx+luXLMIMQitkQxPnWMM0dY8gF8kdlUu8z64z56QDxh8VPuR75
gSZGs26+Js5HX70P6mLFINCZpPA1f5btUyN6+md3NcQwSQrS7O1seGjhEB0QsVdYH+aUi95lGjj0
D2hL4N02m07V9/jys9dmnO6FEdz35RnuCeYsUmlMEjUC37yYtQ95hHWSLt1fK0D4rrORSOyjPqZ7
OT9aKC6xYrTmUQVcKGQcRrNAYkIcHMsP4mTIghh2RtNudGVsAhqpMZ7WSZfezlrm3rdNf687CE+D
YdxFeCNGNdyQQLSyGsK2am/fwD3Q2OGcTPctGo+ZfrWjnyyG3cJImDW456AwcLRTNe1zcGmItyxB
yasf+iXIpqcaGsZT1R0NyaGOhTFMfHfDlPWWCVYB4aMJmMzPD8pG4t/P3FLWa92l15g3E6udOfgk
BP6UZvWZ8M3C/MG4hMqjns720O4XkouX+Nu2qs69SfJQpKaPycXHpem/ZqkTAuxpDkxS752yj97O
h6FmVYg3zeGUC4n7rTRZEhTD2ZfxjuEdsRSuxih91E+5Sjdt7ffddsbKgNj3pxBQo8oO6UEv1zmf
cM941epkeuisxUpJEEto641xGvIE0lo8lCsc1CszqKqnoCu/8OIDcRkj79k1Eu/U5e61cLJTDROH
MctKKnEA+vibjxCdV+2AzCYziGnT4a8gahhcG72NCt6oyRzECNXGHbRjZzcBSdWRF1Kl9VRQ89GP
7n2SOvTgPBjdqc6DS+mBhn41owpXDQEw5IChNIja3VgVYdPpbw33pfflVM2v4Q0tpB3ymqOhPpvO
/C4FXE6Xod3kbUU2LULhb2STO9Ayqxy9rEDbOwTdjUjuMT21S15ZE33P7bQHOXNGQnTWolOcIoEI
yKywvtCSrOTwmPrXof5pne5ku4DYmvheuuWaaRxaaT0g1xjRGFPtG4/4H6M9FEZ9MGV208bFlUVa
2GbusUqutuv3FAFvorxvOAAqvLDJtR6qY26+So3BF37slZ1rj6J+N4h5bczkoSUgcyzmdeWdJHBB
skbOCg3WLO1PohLvKheSQLHJOD89H+5jdDKd4mJI6n7hWiHsEOx/pNtDnSIB6kaRJ9G4U7PDz7L2
E+/OdeZ7svke6NEAjr5FiDYaComwgtQa+EoPVddd0FCT3jRuNMAG4gczj0FU5/xhFkm8KkqEMlhT
L04Qs3Zqnkg0Q0Kc3xOhgPkF9GCJV9PArgW9ahheqPjWiKs2WXIeh349lCAk91bEBDd/z7xnw99W
HXiDYFH9GDxv6cD85K7T4m+l7X0SqzyBd1s3UZYbDwRHbfqiYQ6ef44EjdXQAvr2orGsA+pKTaMf
/eSb0Dd6VlLpM0YGeLE0BpPYtirjvRVEiaUmcFbpcDiY8bdfOt8uvd8UVOfWNXZI5Xd1kpKhUGTb
xPsdBnHy8Rg5+oMdPOc+YqK50b88A6VOTHB5cMY4GM5e8gSWBPfnasDEy6aib9ybeEa3pffHaMAQ
jNxgjplxiyoEWhiTSNZNboiPYTW7Hz1B4hD0t5H4mFC9RcDAErcJJ9LzOo5LHWTC3LXAU9l7IyrF
zJfDUSIYcBrNc5ZwRqnhs8YL6yXFxjOuTudsAELxvyXGreMwsSukdbRldrbLXexeOwnGKNu70Xxw
E3FSjbbWyTdOkvtAm54WeXk6CtQDFdZhC4O663+kGQuhPjU2uQEOtpsYHWvFxoync55yMIlaXqVS
H1O8GKQTh+WjxSMnqtIIVZe4Tevh5NhfrOzXRKSmZ/zbPD1IwpzK2COOiEquocKxok9/Lh5Bn6+l
GG5F9+XRWgDPD3072c9zEQ7AEFDcB1B6cU+n2tYebxra/y6Fs8abnMt6B4Y2ml7VuKk0d+1SX64s
42Fs4rAJ6s8IzvzYDjNlRhSxKvMRZJbK9ddNL+UOVADH4NBOFlFjothnVZGR2ON3W5gQCH/B3oUF
yDtK8R92ugC1cEWtY9dT63jAZ6BKfWQHOusPQQxKjWVPuuzHQL9F1V3Cxmk3mult7joYZX3rLoGV
9UxMjFobVNpuP/0kKZELEfS5o9Wn59RsWUTlGW0Y6oxNmXQGA5GUqJiRHRa4q7AtSnNftOaTPvRz
BRx7mH45xftzBDmYiUtEqLpxskGHX9NpOTmD5DcnL+2sNLR2qsjVwe2pKXWfbNUmVeJMR+iQxaLk
HeCHfAtTOj7FsymeIFtEF1o0jM4EQBFYW06nIsDO3xgBjXY2RDuWi0WYZUXHPoGllbvAuhj6gyGS
KBuZ7SFgWXB/YsV8oDsoYcYwkGtjY8TxsKODzck/aYtz3xTEMbldtPHL946a+RTpdrQHpyLWrTQN
AmF4LrUu4VxTQ4c3i4zJYKvybRz4N3lcgqmNgZtch3J02Y7XXA0BxDXTOaR60hxERRPd0VsxtUGm
a5KqNNbxxSDRgqVLcKvTwDPgeSW7NGAXAo46zUk+wSmZ4rkWX4bX+0vvXt6njCzWdA5s2e1N41Yb
08yYLozFvasRawvnpWRa5ZWryYS+0rF4LYv+Dq4HEZpTHvZFuchcCUqL2+kVY/pP4MwP7rLVHDKg
m1ytqB3hzIY8+dfDQk8RpUv16b+O5UUUx4xOuPLsu8b2DWJk44b5qjwTs/CeTdGtJHBWD4rNkA08
2wyQMCCOHcSZLqPTlYJLGLg/izHRVvp775UbiFAzaohS3JAxHV0Bcef0sKXYzj04N8aqKxFFOrSK
5F5jDoN41s++CLGtVqoauhUGD3vJJ9VX+kAa79SirCorKy2wzebdoevnEup7C8FlYovjmVdZ0KmQ
Bk0HUpkAmm33ITE8ktt6YkbxXM99tJE1O7wqjobHSq/4Ohn0WEfcbGorfXPVJMlD1SfQG+OMOEgc
u2xpWzou13mNTb7P3LdWlohfqn64xfJ19ZfEYMGSjrju6s6OmpoSZaBVZpWe3AXB5IJJW55uSWeK
E57m6VhNaiNzAnzdtC4ep8BgB93Z2Uah9F8TnMnpgywezCXENum197kKmHkFBTEjbQ/MBlDItu/o
Hkd81zwjRPYYZal/igXS0yHvHBOMIhjyNLUgXwAuQU2WZu+13pY7d8x+874F4oXcZ+X03TEaM/qd
Yuh2uuheFCv1VeKDR9YTZMQyJr0wEj0rtbSZDiKxC1QixpvD5PY90LhoCpzJjIOB/O2cOSo3tHyD
WA3W+AL1cMk2pvZeV77XrI2kj94wtxUrc8p+ldPE19Jk/FnyiL3HWkZStROX96VHVpOp2FJM7tTt
RNPbT9II0tepFueYKPM3wTL+OJCcnMNFkcMT6/RGX9uzJsnPtDJzHZsJHPi+NG+zBR1jLxCZYMHJ
iAUsg1A5pQYGNmOynrvWs5us4bA1nNMNt29uwJEFTALGP1XNg9dq+n3Lvx2Wk4XOPHLOpjEYtBzE
DhNoAdEjWRg480LDkQsXxwGQI1GVxOmMhMlsxg8wPPW3WHg6y9j7DSgM28iFtpMs3J3catr9aJTq
YPXWlwWS7KZcID3EEjt8TXGy1iwQPvUC81EL1icoZ/bjEiWPZgP9GRf8D4MDksYsvSRE6g8+kPYH
KmiBBgldcK5l0toCJBYwp4ELyQpKdf4HcShtKmpXbGOXbAESMU32savnzUct8Iov2CLDh45RGRz3
8wI10ha8ESOB/LJgXfY9EnZ/gSCNbjn+LllWz6mHyAoC0XzBYxeFthuVu0EMX3X06ixgJUVN+usv
sCUixSEFsbLZ6HWkEJKRQg60BHLSwmlqFmKTZNMPsJsLX4up0NoUshP7khkXALQnTcJ9Snvp7ozl
NGuZhP5UHgp9yFYKygDMqLoPxrD2xscBnJQi9mQ9L4QpR7BI8EG8QsHinLM77uOiIc8zmlOsf2k+
vOki/hDgUKlSSusMOKFCJGGrENhOfBEK0JXqPSaBKD7nkCfm3QQPi6H0D0fYjBh9gWVlFdgsBT/L
t0aTgZzFM2PK1FfSmGhGSbir7aHfNmqwf6tZxrdSy/OvwklnZNLdSGKeXUY1ahMMPqWKO8hHaXoV
pXCv0hVfPC64EkVBfp0cSEQU8LNSjrU34U/6A+u1MKj8/GJVlQ932hjp0b3gRoeuGVqR/162enUd
EYHSB1H15ErWt6UePZvC3QsRoa/qeR7585LzO6j+KImUBQgYWNeFa2nHHpgKtzYRtDfIA6YmOyOD
QM+O05M+Zf6amc2hfq/AVDaFfx/PQfNY6uKZoFQCykHJezbUMOoGRCO1oXEvDHhuWMpma9fU8puB
x1nVMQSB3BqFmd2QTkC4BS+ByXecmlxlDpjbeIKxMUcptqWYB2TNhceZ0L3OCIMpNqzxXRlDd2/Z
oDs6oRjCK4ZTdtxb/MzB23V6jis9JwWU+DcAtTgjXR/9pPGbRtmtZWZ6aI6s1VzXZZal+empkF53
xL8KFst2D5JMhBugJPUm1RUk+p4Dfm7EFbEQw/EgwFOs5biLuZaocwR8hty21lzE7QnGs7OtDI0q
HKxO2EL1XoFGB+psG0G+LGmq0HFlt0ty7zFoqCmzyD4hOHR3mRah98nG7FMARaLkIrelVkzPyhaJ
JOo4MzSs+JV86HIPuoEDDEXvJw6zKEz1IH+CWgtcyHRgti/n+qZiSXoIKofECE0QNsEJu+l7ZkUA
+d2zpThw+QRSCA/1aPqPPsRrgkGlUa0iSEov0tOji5zwtDGUIcU5VcYOa1K2FgbUj6qDoIKGsZNM
gSfOS9knYis9zlpMzG2o+d2wtpXIbgmc0W6guzAcIu5CO8ZOKa95zaDJIljkiEw0PcaZP238Yu7C
qq7Nm9yR3gGJUkL/yqlYE5jHUMfV0OQi8ksM3lKJqeJoVk280SdfR/bDii3An7Ft4tpF7qU72xYH
17qYFh8xcl/6G1hCY59278Q+RSwtUrEOupH6qsKoRLvirFO3ywhKyM88lzPURmDS6Q75FQYs4zW1
W7rUiRVugjyGk55Bx5RWK8AKzLsw+4C56YxdazZfZOBp0KSxp0WlG32CMem5eDL68NzrJ4IREojX
xuTtR7M0nltElDeJjbW275CsdmXbnyxHm8Kqz5sdBW37OmdJelTewCQPYNJtrAayerSuvcm1kiUe
khsQPARd7bxCJndMLcXW1vguIJ3q58IJ5B6AknmjQ+QKM8AQ+1lC3a9HEonZcN52xejtzUyma3sy
1FtsWwgQCz60XDBlXvTqWlvpr7aBQQQJjnlXMhUOmLxKHbNOZ+/JQYDyVY4cNw0HKKcDn7rZiWNi
NNpj3slmT/I8YzmyUCqyS+bkEgPpIUi4IKXUVkBFLGo3CjxYZ4EDygyozMssZx1gRNsfgyrqQqkH
2Xr0xiEOexJ2CMVKl4Pe0DiQveItX+7J2QV0Jpm13hgpj6rKxzlZa5V2jzxUO6DGd159JnOPg/6s
9KkLMy9ecwe1a2Vw8MCN9TxeT148VlXNwKjKEq4mH9OkJUsSkFI63hWoi2wXT5O1tusS2JvrfNlO
ma3ZGOvQBb1qZ9S6+YJIJMBx1T6gp5PXwqeimlTN+wNU8IUAzRcsqXowVhED+M9ZyGJv9Y59wyqQ
OBfCJogKVs04ck6VkpUlqerbzMh96IfdFIX/yd6Z7EauZVn2h5IP7Hk5LOtNZpKpMTWuCSGX3Nl3
l7zsvi1n9WO1rl5G1ItEIZAxSaCAnAQSiHQPl2Qiz9ln77VrWXcH2vM4h6g2PsslsK5BXDkHdwEQ
vcI40Wxp4TgCXAt23FkBQ+U2BoK0Mzo+Fxy7JoOlV5ZBuatgGe2Iqdcr3DXXscIPCVTcXyeEB5hg
Y/FmJST6ZoaKXlL6DDZRAe5Y2Wyc+3nOzAv773xjGBZnhnKq5UnMU8cTvRwOZLvBKuE5I1vgGilU
Mv7QkSdzix20Hu5Sk6NK5Cz5Q2vOxcb0m+6jXNggcAA1jAw8cQRb+DoNDONzJMnIvzmx/Q5C3Uy2
MkTYIsdR7d2ZlTKhp2HVgaWQHOyTfJ27NE13DXTpWbb+il83+70Y9LcikV9hFMMvxmsHGHfJP1IN
/KaTeC/cOtgWTvRZ2BwqujC4GJbXsV5nDx06yqodZuxoYZ66wBpYc/aCk/IDYPHlhScXy43ZWds4
RZJJ62y6eq40j2pKux37LTekNp72thVtLWqhHgcTT4jVVPNzMdv5JZ78ZNfQRv+Wh3i4DTtirZ1Y
AJaazjPL7nmd9dV0P9RVe0lH73XIA/emTXgvTA1ycB8Bje8Dp9iLIOU/lkAdImnXTzjxJ+hBABHe
KHlo98Q/yzvyVL+jUaQPAarfI2B2cYhzaWFfZ4XoI/Rdv4nnPeO9eAjs2oCxKzYZt4lhA8Hmnm60
+iypLUYiYbU70m6i/oes++sv2auPrzKt+I0DB/bZ/zU+ZXsO2ZR/ZpL7+lUZr//73/Fn/Cp//vrH
8NWff/rvaSvPdAlx2cTsuaILTGJ/muWCPzzLdizTBOAS+BaZp7+b5aDoBiIErRK4/xHN/1vaCq+c
5+DbMPm7iNlrG92/4JUjIvWfQz808uGwAQ8gfAjyAlzNXy1sQTI7c1fQFGw4ZvTaL65U6EcqeinH
ybtZ6LVeVxj+NnxyOSxEbE6XtkngnIqiNB9qjnWXMKa9bu6d4ORFHuGSshybHU326XNB2GVT2R4A
jM6TB05NEoZGYtBINTXNG3otVchz2ZxEZYxPyguKV5l6E0dghShO8eQRf/W8sg1xJXmNxMninH+4
TWM9idkt6QIZAC2adXLGugS7t1f5uSwINA5DLh6SLuSyPCXJRTp19AjuDe5nb7vHRISMMTHobaZi
/i8DEseT1G/fBgLbxqyUeDV7pu0xiHcqSh+xkCXrpZAn+g+HYxVzzS7Idd91KMS71vKJkg099MQm
7D/DfqFUz5lPws6uUKR+E6HwicvCJ6QcCetLnXq6nyCY390paq64wPG4OzEhFIOc9kw5xZtCXG2X
JTiNsrYO9A24YMFj2W1FZ9DEkts4tdF4zipy5luVNx/KyRCkU+y8duarNbdgKgKqrDHOqVMEr2U0
0C2SOg4mhOroLz2gs+qzoUdkJ/EYzDg8tgKy2e2UxvyAWr4xaqDNcCQkiGcNv0omvZDYqiyPdtt3
a8wGnyWgnc0YwunH9sOlysUDlvElHEM8MB2B8IjvZJ3tcVK1KyHJuyUjP/4qHAXDr7/jJ5tdE9f2
T0FqvHCqLrZ5C6Rz03lowEVl4AgJCKnPS3iTJxpnak8Ul+egNjHUQRCObaoafA+btBnwnauKauy2
S9yNdPMp55N6kv7ipYHzVEWxTay+5eToN3X9bMy8YVZBTL6QZpTbiPT0qqexaQOYXn18/2WCFMVq
comYr6cSywiqkCnVbSoNzNNQWsItlEmkMSjp+5JFls9o5Zd3SReZ/TaCmv1hR9oI6WLjOwDo44zS
YWS/Cww1/vKqZfiyK49xVFKhCNC6t37xfoJSA5T9QSeUVVI8RPqlJ5taXHLegznvw/D7xcgb0hO0
vQ0BR8IiA2QLSnPZyDL+zPWrtU8s+90vFAFp/eLtYPFhxONljL/FldtUv6JdMTSaH1Hvu8Vw1olD
VQhEmQDz3Pcbfk6H+CvQr/02SGCZ6Z05qn2GAul2H40eFOzM4N+qhwfgj/ZL1jCnx0wWrm0zY4jI
Z96wv2eP0euHQ6AHEmVOQEVjW5shsn4Gs6HMi6WHGFvTq1WGa5P5hhW4v9hMPL4efVI9BLGI++ux
w3UXMSE1Btd2njDQ35BodqFBUwcQjRyiAr+GhR6zhBHwvUj08IX6fKTwtoHspyezAfDcwchr+4pf
giBAAPStTkZGdEEB4DrXI57ZePYOrsSg77RMgExBTIPp92To6iHR8JfiYOjBcf6eIemXYJ7UDKxP
5gh/XepxExtsd4/w+rRgs3vj7OK8Qh7le+7l1qenR9aF2ZUdjnElYYM19WDrgBnElRYrliI9+JZ6
BM7Q7oDrIvlf/cFgRrbV6K1mPTgbdrJRCUw+N3k1OYlfRz1kA5ozjq0evAODry+JoATyDDaoO2dA
z0t8TGVb/6ijctnbbYZY9z3RE0dlugcwCPhZj/xzw4mMMAXgkaJ6zb83g0EvCXw0KPhbWN8QUlk3
F5YJZI3k4ugFI28gDWIiMNsDiEDjWuhVZOgwfxR6PYlF2dwVemXp+4I+wiIw36FcwS/M9XJTG1Dd
446FR3TjW6FXoKGB+8e3CBqBXpBUOmkzFUsTubg7azFRvvRCpZl7B3OB82rS8XJb6sXL1yuYyxFz
1yVUHgq9oJVFwU/ne2sz+YhuysiRt7Fv8gnV610Z2vPW1Ctfp5c/Av/t3tULIZv1cAIFik9Yr4ud
XhxnvUJGThscKms4FN/7pfm9a5Z2NNxDdox+wuCDaa2X0iqpP4FnWftIL6yCTxhvQJZY6CG8XvVi
2wdouKnqz8tgW28tWhQxLBZh/3snBl16nvsq2xXfC7NenSO9RNd6nfb1Yk0XHyu2XrbLAiXZSPmu
d3oVp3DJ282L6T/wu2nsoqnCQilCPKlY6Wll65tzqld7eqvrtavX/VYv/koGUDa1GIDYGhxrLRBw
a+rpFwPIUWv5wNVCgpTCvymiLCS0HauTPXW3PU51kkmG9SS1COFpOYIf50hYD4kimLL8nAgrBLfB
TyxvLCgrXtB9CJ9gFDvEtI1sbl+1YWhoIo8hX2sgplZDqHfCChgSBAy1VoIdg0+dKKT/jiXfeWIS
Xs5YRpqn3qsDvglNEJ0Aj1WUQbYFDbTFW9iat4tHB1NRcQ/h2FFuuDiqg9nw3YTE18WsffwXjs1d
gUT0s6OFnkpLPpQfJQ/jxE8Nsre9Hoz5gXgD4PCaErRpKW5GKI5j7JoPsYl53uuXPTD3A3/gJStj
e+153k9WZw7UJQEm+ntgAWsBqnO9U9QiSelWOR471Cj5CJa5atKn4FvD6rSclWhha3FcY0cP7s5I
lvxnbrEMp9jsd2r2uw0cIrnF/7ZfCtOHAB4eHaYjU4phi0c1x/rkNtjwrOVWtio6FrH1zqJd3nh5
JhF/SdNGDQ89TqpqzdnyDgn9F8HXMxnmLYK9LjCq2l1EmgOXNnIjef41xHV7rbQY6GpZEGXKeyjF
3HwY5uicei0fFliyDNGUcISQFhMtMo5abhxdzki5liCx5kbHXMuSQSGnI8eV/i5AYN8UWseEqSQf
Bq1tVlOGzJma2cbJM/+sWtKIbip2qu4UZv7K4jiaamQIcqk7jp+OFlBDLaVSKwjmXcurtRZagV2g
GKXLDTZP5x7IUnaMgnm4EaVDRS0VnoTfkG0t9NsCHTfTgm4UGNUKOErD9zGZ7xfDvR9MZaxpoQ9v
nagDJtoKkCJaKPYc8KVl7z5N8K5/9OhsnJLadktgqjiSkA1WXVF+Vlp+ni0HWrtDodWoxek61Ns3
r9yMnK1WrzvDyti/82UPOL44trpvQujmCdTFw6S7KAZKKXrdTmFk6U+p+yrSAgYxSoF1E9flS5jR
apEP9Fv0wPQpL9StF7Xuv1h0E0YbgeddxlDurKLFdy5TTPhze4RRSbODbtPwZ48Hgq87NmzBs6Mv
EDStX37DP5UZOnwMyMd1q7wim2f6CcWXmiWamdlPH32CCGG1KQJ4o54mjwKknVaeppG2IF52cQuh
tNSsUslY8jRL/Fm1JpnCANbFldBNhcQummviKQ9ynsFFoCFYHkRUJE9/u5Qpfi1wqa3mpvbSeLba
kT75gVtT2grrhhhD9yP7Rq5i+s0OLGyAWE3NZLUWAfPVwHneNMuw8smk3RJzyDcjl/D7ZIL40vCm
sofgJwN1skltfUTVHNgIICzM9fmXa/XuM0NttGlcspigHMDIehn60DAa9S8cNxO2wMHaRIBnzUgj
aBlLSXGbmkybakYtyETrksX8ck6JqnbcR1d97YUrMav4oQE6/uKitj1CqXYenXSiCqEMpl2bVy+e
WWbnCQQyiESg7GvS1hy8DMMEHjh17h2kHFT+yXXPCkhguRY16fgWV1OXTcmOrkFv1+cQggpl54SY
UyDAy2LN3K5rnKPjGNvnPFq8kx/LZIumGJ9D6r/AcRTmlncxj/llitpzRx3yrTnADaNCThzrfqSR
Q85xxmPEplFqmGwktQA6Juvy72Ro55Pnz69ONeWUd3pSvtL0xNghgZTIDfWFKex7ekGVRbCARkys
gFa/GYpBfY5j0WFpa4PnmJalH36CQ1bgexmFY5/mJm3XTZ52zm1ZVfzSEfChI9A1nisQnLeyCuTN
0i+vUFThiuRG9eRknryheal+NEoA6jTulnStBxw2NoRyjFcrkdHdCKhx41QDUAFzmqmSogQAtmRE
PGGkliV1aYXsnCVzQbpVPOcIyaU72zXzX8BWQjaQoOFu3pZv5GnEm91TwWVj/Hss3ZzAZWVGXInD
3thlIAOPccKSlBUqmvHzxQTj7SV6Tto+/+3AHNJ1X+6DqQLqvVzUw1WRSsyJaZGTLUtt74cZTBKT
wjj94EnVHZs6za52M3vwpCVmENhihnikrYvrdJUzhMiaVmko43ts7RRTQhyZcD3m6bhJVRIcLYGD
jLYYaxcwy+zDsMyu9dI8Ye+bONUBYRij6DPh7Xr/F13l/xHn+8am/gOiwzcB1oYInwFYW2FqYMzn
x2NaxZrC+m8qoI5jwb/Iv9sy7keOjze0D1sc9SPjjjdUtKY/8y6GO3+X8BDhC2u4P9MbuDI8b//9
j/lvS4T+/1s0xY/AgRP0TxQx+VGhif1nDhF5rz//5H+oYS4ES5tHqu8Gwtb9UH9TwyzrD4xaiGB+
4Fj8rPX/2t+io84fnhfwJ/gAmIQtNTOo+7NuyrP+cHTZauAAsAzJlop/RQ6DiKkjm//waRO+iajG
XyRAWfrffVR/+bS1/kSej2Vv7WLJWFWclpCvs3CV4ncg7cjt8hJRTsFroilSIqb5dHUVtfeQs7AC
ZPbvMpUZF37XPimKLfZFK7qXritj6n2YYCfD/TG1UCgCFtDd4i1E1t0yecsi7CfQxteyUW9mjhbi
ag+MiZKyV9VXhkYeZCM88570pYN/+8KNVq1bfAxxX4RPCoMW09McH2GuLQ8keoqzKFi/SqsLb2PT
KK+Sau1D5i79eTSE0I7ylgtSY8kPk+KfDw6/tA80RIc2OBhoWTKc/NKH8+Lt88RZDmHvUaPccJ5d
LbPh7RNfyl+oXs02gFe/n0WQrcOc6ma3Kj9Co1baN9pfm4ro76bu2/5aFPqUXTTuE68BOOuem74M
GOETiuJhwjRjA14lo70UoWp6LtUkryU3tDUJoABoGSrRfoxlfjBwcu4ZuPhCMrt78H3pE0RyuMCl
TDknCH/AcwpIGkRWKBUskkj8oN96JLTQT4B2Z795b6qBjliEqndYbMZLO+g4WzYTOKKhiv5uVcjf
nD5oXocQuh7oh8gcDvd1tQC3K8bboZpLJvcgX9u5eU9ydN6XoLPwE0clgEcwRihy9wTz4PzKPOJH
RqzDkvKjk9M9UginIRYnXG3qvdKmipUI65yLP8UoLg8+Ol78e8uw3+uixweY+EFMJKus8DUEr4LD
4LEj6EJ4th125POLLVpefFaTOx0R476CQM03wRK+8mUfjcK4TRfrZnbddB2gNa3hXq7tEENQIYfp
xDpVbyV/Wz/58e1CYqjVXmW/tFZjgn2jnrrk5PV584489+Q03WuYj4/ZWJ2sSLkHGn1PBsxOAmrJ
Np9trM9dti0xWnP2Du6yyd8CA7pUkX/vcP3EY1sT2kkrVBr7g8/1e2w77b432tMcAFhaIdhQNAC8
kh8pvRYcxUcsRWHymccFNAF7rPdFIH/3HjEcOUbJrvDjDzUo4hQVbbl2J4BMmApCmC52sNJjI2xM
mnH5m9gnwxaNB5teLphffjA87f20vpf5JPYMNjoSTfp6xN2XZiYJTPvgpuVTVXPk7tzVDEhhKtS+
kOm7N4SnMR6eBJKjmVj90UibPfbMxzKr9nHM4DgY09luOG4aiF0k0h+Q829NDC1c5SGScHqyIzqa
veTkC+PgwLhYwh9N4iio28g/zs8SsCgN7Slg9AtJzIhZzPzy7YwqEU61m3jpzim1OsNCs1DoPNh9
CNPQyuB0ZltWUonwVx2sMjyhUtHrQNyggUbBAjmykVq/UqSGSTg7e1a/beVehF+Ue+GJD4YEiisl
QU0IjDu/MDcVPvApDPh2zvUHfUdXFToIEKWI1pNvKhCo7n3njYLjnXVr9c3XGJAcXAh/WglhGuWu
LLjnkJtWWZ40e3N235LB3av4d0evWRL6X6qR+jcaJ5HTl5vO4UIwRmZ0q2akuHl5GopEwxIvS5Ev
69RY8OlzFs4kIdGkPSEc3VieeyQEvUF829pNcxYJUPihfUOQZc1etsr3tn6ZEhGtcqCnU3HT4Mdl
6j4b7Twe6nBC2ZgvqbQfGUeQw8oy/O36bkVYqO5wlQ6nLOBUeszrJsSrlKq7IGd3DdMyPTFUEkIr
g5MYFu+2rtvXfqJ6mC0b5dsGt5W1HLhj9oEJzG1tsZ5EGUGDon4ol/gtD7BhFz01OM05Hp1tXmbu
No8dMMPI5EF0b6uwfAwcPDY89K9+Ee59waHFHePpbWRlzV1sNuS4rROgDzrR8cqvKchV66RX97Pj
k0zyfJre8qjih5kLAu6gxmLVcqoHQTDNNF5BNU3InJHDUeUzHXBwOTpza1KI94NI8DGqSutLUR6h
27izu2Fif1ra5iNMYXjQvZqEO95BLGUItRlVVwP+BXe4hg65lmjMCKAauNH3c+DpjadbsocU2X1v
kLZ5MYo0euLwau2g7vRXx6o0qwdh48h7AZApibsvYrniS6p5OcqFgCTJfgebmEP9devQhViMuQ16
MvcTCnwxOc1ojWdBCSkYM9ljHbQeehhHi5Il/TkY29vMOkBHSbcZyZ5oxaPgyw1KZyf5VK8Q8As+
WYr3tT/BJLa5oK2G3J82TmJQYc/Ia8Q1fe0IUO+lA3CMEh8+MxlBBGvEC1e7hA06NUIM6qHPXSTe
jg859die+3Q4AvcKHywzy3kk5uZr5Efme58XvDpUU129uH3uxfAeSn9vcxA5lXwNGMZ4FO44G2fb
HCDoGuIUo4lr8kPuhLFFPRXbdCxxHC3EpRHe6s1IY1jNLL9AlzrPPMe57HXFXY3V4maY2vZCeSSZ
+NB08FBAkMsGw1xPrUeEkTygdhjtg5QNWqrmddbwN1411Y7aR1y7cXmNHVnc11Ya7ohAiDXxy5In
hCSMhAkOcGn04dmRv25caeFErId7W1RboHcAEUJyG7P2NFYYjXM8jNueW4bR5cs2TfFu+aoYjm5c
rn1nIVpV8RMv8UpPxfjbq3P8ZqE6DEkKs4c4HscC41yVHtf3TGzgEVwnjjU7gqp3uRe8ydw+oeJm
3NwMmqoGtkEYM6gHRfRWBd1m8ObsVAmDOsnBpQRAWRcj4wwV+lOyVqn/IvLyy7TaY5f2uzYzt55F
8DdZPMoDW+lsaKxLVnEUY+6BpNHW+iyU8SxtpbaFk3zKbWmcTLqeT1Zd+ZfFHm3txKancykQz+BV
r1rOwPs6lNbKSsrfMVdPnssUi/EZA7aNBloo4a8xMD/NHf62RZZER1pSVNCpAtT8AZUUf8zOGfGb
9wqalMJbA+Up3S1GdC5684nLxBasOnoH2dRNPnbDvjS86da0ahAJAg9rjGsI1DI2c9Pk/BQ0PkFe
0iNPvPttvAsNJQGhnM/4GS40ptEWoVI60mZ33epyi5HuoAckWLGJFGsxp7wdQIw+3sQeoy5Bn+q5
D4KrahPKUUmZrHOIBJQuIo7GfAdHz/P3IqMBL/ImvpnKE29lgcUXile3MRfZbkxeBSu3aup4bwVL
RReidzOHc34os/GJ0mddVI11l6ccPyAn9O/0gSiWS3syXTn9tJagRa+OqMsI8DRbkXUuy+41spYc
7pspbkEf2a+VW1w6J0nJjEa8SP0yvC9JUs9cMNaIpNkRxHS5TxeRnovQP3Ptldu6rT5toIIbVxML
KaN4jqFN4HxGoiCsUmw5ER4htpen3BhPE6g/Lu7OvddYtJ92AaQ0tdxkVq92AZblbu06IJ8mN3tl
yrRPXoPoaHjOHWIz1Htu+M6twp276s15x/164w9FvSOz4u343fC3KWZBysWynmZm4WfN1fBkceOK
2b7xJ/QnJXLFE7E+N3mrQGBUZIAX3lT4o1d+uzCfMthtMSW3K2moX0C2fqes/OjFPbuQMvi6wCL6
fOBeZx0atVT94qIJBZDhTsjvwSmS87uDh3UT4Zxa1qRGaW+LBu8gmQv1D3QC9JCB4ENgeelbxYRQ
AepudSnSKVns8sAkW8YHfvuHW3Aj5AfN/CkOVXcVMWVNEg0PYFmd3pWyG9q177UesMjkDT+Au8Y9
xjFcGpCiTKc8KkwJiDaBuUsTMVxG3yP4Gs+3TiyH9VLm9jqxW9jOBr5/PoVcm83Rju9i8mXBBPoi
mTu5HiX0O2xz5hlXW/zAXG8cQC+TzCV8Gz/ItM0I2/ck6yIZVIc2hgy3qoH1f1LMEZ9qR8jXJm6t
+xo3EdZcLiUjAjU0heKr7cJ79EhWMA4O1CR2KXOSkZKM5B8YSpR2ArbDM/xpwfe5d455EhQsXGp8
tKe6bVeNcvMbK5nI8nXNzWDE3mGueLTIQehEsTcctYLyDuy62xK5uFMwXlOLX8PIs/C8F1W8mxXs
Nq9s6InRnMoi4MBrJN4jvVHQ4CIXzdZEUemgVz/AnoZ8Fyoe+bUothEUnuNsB4/YGfJHyarO3Tn4
gQ45/rAoMDt6COP3uTvlq2Jmk1adNa4UTxxq56K52I2OJ+8olGM4j+sgvhql1zONdHeDG7av3IPS
x7gpot95y82pa7i6iGQQ+8UIh9s0x9g7ukRJ45YOAFnP5q61ZfIjI1aCLW30bgdhFwS55itnLHc/
qnFYoTe3e9gl2ZZIK75n4S5o0D4JJ0E+xmpUurF7t36sQ3d4WYIAf68VzttGJ9CwYoCNH5N4R98j
hnZTnurFDQ6mHVtPRHOp8SV0UW7mBqM3qqxcEzMl0WRGP9OMGVwUA0cHFFhaw6oV8AVKo2mw21eT
ER5mKzcvI2fnnZktzk2GIovw4I77IHCLfRGHvIsdomm2ym4hC6mz6+Mkd6DsvDaULN5kQdOkyF5F
BOKw7MbHYa4Ic1qFsJ5sf8w2c6xY9Gxhcd6swnuIl/GNl9UWCnCzqizoDRCOvROKgvhtZU55W1XS
iXd8homx99GM7ViZh1gCqwWeRAFhj/cMKiVVBQw3+2wektfCS+qPwrfw7CSFvHEaARmkiB47O2eF
YHhnCHLyak876LjHMtofoaBPP92OfTjDb33jD7Fau0WdfIwdHsd5SceVk3O1Rp3NDpLR984bA30n
4nesj6A/YYIgWOXlr9JHNIlTxcUmJNHDiZIzztwr4+c4zs+Zn/VHESt6pTqJYQBf985OmacCOzkQ
Y6JkiM3wpmujayvLh4jUzq7j1tYGwQfvQAipBoXIwJNL7FCcsTOi4Osx64uVs1i/k5zYrx+yyOAg
OUCqsvf9UBm7ZFo4q0xjs3JoQYaZs6h90objvjFsZgulvdT4ip0YpM4+K2ccOP5SjnhHa2cT5sNL
NsZEJPkcHhyf4r5cZtcl6MZdNOg4wgKpqzaIQYJwe6VrMeFgG6qP0oFBPcgAv0S72LsoQWGWhdG8
Fq0rrgZr0s6kHGrFi/xrnu2Mum0z+aSAE+2jM9WpUcnMR5w+o8mKjKNKYuigUboXFDU8em6zssL0
Qx8l8XVnu35KPMCUqUUQdCjitZNSzITN5kDsp8bF5If09CYQHcOs+2zafNoFAhYB37GGGy84rGDI
Unwztq54t3EXkDvaE/OSm1KjehcclWvXjF8LZ5rBO8F84PfrzhdEYdHZ+501INisw8b5sJwsPvF0
6TmLhfOhK0bySm0hn6cgkCtaXZdVDPV15aU1D5wOKeyOTE2H0F6SPpk6cJ7KLg5ma2PHKMzlhKnb
fjUpBr7SSQpWxPSo3CyYrP+Nr5fnl+KVvIRDuK8yw16LMj7jfIpJVbf+1vRQ4znUaXazbK6NsKhD
hdp/SajB/Sxi/rlenD/7sGI3ktf6iQ8tIayh9o2fAzZ0qgEX1d8EvRpeAlu7RAqnfePNnEI1puwL
qw2XI8OCj1CzHtIApRz5wiF1urhlHXDEoHtKiT7f0fgo9rXR97dph6V0Q3zhZyYSTDQTNG6/xFsX
9Zyw+yC39invJ9LG/U0SRR9UmcISCA34FFmGVa5cz0vPxE/dbB5atyBkkts84itWi6O2lIRAmBav
7DrzYfBnsBFJlsJwTNXVFJDSusD4MVYcbzPiPo8c27xLOijCbEZjb63IdW8CEzRm3vUzcVniZkfp
UZTRGE1Fah2P+C6gkHHlpHX6CJJ+PizOWKy8BktMOrecSoi7HQHtMsBYZYqWIpK1u+S6y3q0OviR
tntPQymOZ0OQKPJJ9bPDyyPEK/Q9MkXknrvjnEMbqgvDW6VtbN72qQ33SwW0kymU4WAB7ORa9a+Z
iJA3JPEPZt+rTPzwh90AbCqXZlzTcROvgrpxIHQq6D8YvP1oIgqPizzEoihqXmcmEGr0pMq7MRKB
ZqG/VWXYgz3jh+14JQN+35LCGJ2H1pMvC7v82mdow87iAOd4FZM73rcwSFaDGM5s2GIf1JXchqLv
LnysH+Kq8Q++dJ0H/OTZLxla7Z0qyK4kHK+2TPK/Usv37hurS/G9V69Bm6YvLbZivlDj3Dl+dj8W
5JjxKzJnyLxhZPY6Uj4+viNK2kp+Rb1c3EapfTGXOYDWoMxrQbcJ6y7zFJKTw4rDkNVHVbO3TGN8
cPI5vfed8s5LMA9g+PzwW3mszAw+C86xxl1e+3x6z5Qi0IERksMoD4pJLzd07HbmqXHEjwn8fcoU
TiMmP+vOSI4zKnHbpeWeRBoecSIIW3afL6fIrHMytyD3uiTd0E/eg8Zooj2OQ1qds03ZUQ+Adeft
f05F/xXntLBcUPr/1Dz99DHVlN7/ryr5KP7Bdf33P/t3zqgFwZFQk0Obounr09+f1mnL/MMLQo7A
GjdKYYEN5PP/HotM17FA/ni0GFAg8Ze6M/MP/r9tk9ZMz9FXpH/BOR2EmiP6j5ciy7XICFCiGpAd
8zSH9C+XojjDeW/YWKWKYHRIoFfJnsnrEEHIR97j1XCKmGLXFUMsjGWxSqQgj5Z7d/ZSfXHzQYOq
+w9+K1jzi8TWJdXvRkY4KRi9ikgvFYrjlGx03D8aucqPkXvvljd5GOvCTLRoK83AVjSm2FRoLDzr
wuR5iOvsOLDXI4FlrAY5dci0clazONmLY37FQ4alJfWDDQaaBaJAhQsJFM4NAbZi5bttecd56yXq
7QgXUv0DlTg+YBgYjmPJP4i08QqATbqftbYU+yFkItf+FXa8wlv7doiz5g6ECkQxNd8h3g6vo+M2
ey6CT3j3aG3MjOs4VWqT0v+DOtasSY8xlrK2CDa5NaYhMIc6fEggjb+/hIKa99dwBqos+vcZYvNR
GZOm77FSdk58IWmCSlGx+4xNcuniPN/lqSgOnTv4O1qXvrgOdQ+t2XlrYH/hk++PEmrx9MhhpduV
OenwoCofpoLztovsATU0s266RjMSxiXaiAbwYyQNRlUmOqKRan7uGtPcEahXZwI97nMdeOemTpa7
sus9cA7mxcZE9iECiUhP/L0tRmoHJAOFz8XAqrqfrOmnltsejQZ5j7DIf7TOUuAaaL21n7NhZIIm
79nkMNTanbfpwyl8Eo73mBbN/CkEzRRVVs2g58rl6JhGsBlC8YU3d7zgluG5O0SCjL2RzxvXMdJT
bOXklltF5g90yLDBGr+CAsbmD0pueI0gbGwYjg/W6L8SFaCXskziA+mlfGXZyccchc05SGFQIy9f
mgWQgymADcilHjdtHiWPcaXsnQwrY4MzcCdgxG4DxdBW5jjcJgaUneGy9GDvE8dFGukdH9vkvuZD
wbsjwG0Z6kGY9O1LqkfjSg/Jrh6XZz048ws44UjXw7Qeq+kVgY/DpB2aPuem3v2NT4xonx7Haz2Y
UyRHpQJy4qZhdIJBGX3kqU8mkoFeMtkL+gVixajf66E/HhbYGtEEs1OvBZBjELT1qhDX47OvjOhn
PLNm2X9uFB4/e6OehrWXV+D6WTyUXkG6BciCr9eSTi8oLF/ZwdVLy5zyEZv0IuPplQa/U792zIIa
Br3w5Hr14bDF7KnXIcQEtCX44Rh0FITxlr3J1QtUqVepUi9VpV6vcr1oUQ1K+EsvX8J23HUCJYj5
BlZFtpTmoRcQewL+LZoj0dLDVWEkdWfUWqW3O6H3vFpvfAarXxMoa1f2Mr4R7Op+MM8Y6fWq6Oit
ka3Cehq/V0nAv+MjVXgsmPn3stnqvdPVG6jbs2v531sp0tVt44wZN8v+zWLr2NMtDoZZ77N5FAAb
yNtu5w+DeXGgUWz9/8PemS1HiqzZ+lXOC7DNAQeH25gVodAQmlK6wZRSJjM48/D0/VG123ZlZnXW
OXZu+7asUiER4Livf61vAUVcytXIhVTVtdejdfYMSorliCyXwzLG5zu6BRtww933OJYVDRjL0drB
oCcan/M2YwiO3n6zHHTDjFNeHp0w/bwJWMq7brHnSQPJlaY4G7ptMm97OzRA3HLCD7JUX6zl1I+b
BD7GFI37pmj0tuyZ2IQeMqDbaRSDpVqtWVQEPzYf5zLO72M3d87pojVMrh++Nov+QA6Av9IH2qrq
glnHolOgiHv7etEuUh9hdtCm/91dlI06xfOU2N1NWKLhBYM7flij5GRS5J28bgeTeSgaCVFJcMHC
wLeTg2ZcJYuaIhddRfuueQXSxdk5RTGdq0V+cRYhJo7jB+Ey3ckWkcZe5JrRxBnWsi27t02KZYJF
1sExAyAndi75IvkMinXPXWQg+C8OgVIuHlAg/L+xfItHD7t9SVdapHFHoyjli7bULCpTJdjSAx12
DiNrOQJfxlOHKsXOD2URE+NwSQmc7suW3gd/UbK0nfZPwaJuhT353XRRvBArYTQtKlhateb71Ki7
Sjnp54iYu25zYjRGk6gL+7+FAIuupheFrf5DbDMW3W2sAyS4PmLuwiVGp/tDohsWtS5ZdDtzUfDC
MaUmmu0ExIMp2shcfjcXxS+fM2vN5R737exQhi4WbVD+oRK6oClk5D1Cc+pv54EloEYK3rmS6kx8
6pxtc3fVWmmfrWZjvhddfZSNkDtnENnFnoZhG8vC3bqcYtoVhOnqtgxk+2Kmamp2ftvcVC4k5Clh
HJq6M8dMwu/Fm5qHnmA0WWJ7QSPTlSAP/Wi4VN7jpu5d5iM2Q2gAU5n7FpixxITJoWOwRma7hN5D
RqUg0KLabx5kuyj2c0d0sCjs7ElRT43bfZLlXczgnyoZ13yzYt5ZntLTVVAn+NH7MrIm+mHw3g95
0nJT4m40yRattWhTXtvoMaaXk8IodXSPuBtvucf7zTiOHHl8zICf87xIUkgYBtJHn+KoRrLyLqVh
h4eeNQKOy0DBTh0XWOzTmpkWBOpsSwNS8MCRnKg/L5OpX/e2S44+t72rmvzldyNtmeuSS3jxNU3b
+6hrkPrMiQhELZYHImdiNKssWiUBR9agAkfrsyk7EP0CCWpyQjBNtL9+XKaDY3UsoZANjEnjV/pB
jLvSltGVs+zN2j4wN0wX2ZMYctjyDT7WXaMObTMxKBghcBudMSFGRQSiSeiG9J10xZYYDWZXS+W3
5PqbC2uEv8DSu3pxsgA7bqdxZhjvF8v59ntSOMmliHG2Ki/KbkjImmJrjAm4xgS/HUEqzKOVnmjc
rgsypus8rB0QH+Ii42J8aux6eJr6oNiPwzywIpbdTaoHHC5G5N6m5LvWbmvVeyPgq5VRBBmTxvV1
AGHgpTfgXmdDQY5J5qxDvacuoRB6y9ureZrDCCDLGNY+vRgG4ggbnbXhkMcJvOpMfj1/xqIMjLpI
9fekHEBwNqPJxc2EcxPpzr3uXSzDbQMntIVxc3KmmXL43M3m96oaup3IUAa8dqLYMWXg1eduf0M8
hlEBkKRDhBJ2VinGKS/z3Be+dWIlk7LkFzGQRa/NTD8GblteJUVyqksnf66SfLhEC3qrE0lHJn/E
GDIzjJl5X2/KnGRJ3bJBqmOfcauVOu1lqCL/VdkpJTEil/cBDBrmCtlTPYCjpDQRYKxLI0ngzjSR
c2wnitepG9HBWDWU/RLB6iFolPbyS2WRx4lR0DdkMESAvOw+9jOjtVy2D4YN/ycJx/62y7LxVDV2
+6VXPdNcYKRkvcIzOFZjC5j9gjH8kdHXUpIrIal1oHcPfT4yji98nB/5As6lL4NUUnE/6v48xeHN
ZNZbVdrXtbAfx94FxoTiEglNc3z4PFXiUDoEIYbISe/K0H8Ls5m4vWWQXGQ/tu4nc3gTAWUGKz0T
XJ8qe8m1hx2+J+CMFtVchuVtmmF4DQTUznAqbmvgdGfdxFhwhEf9ka2GKz36b2qcNNT3rt9xLlih
GMF+y6pxw3IqtnMC2hYDFD7aNCy2TZhlzBHddtt0yrkLpRtuUi/qiFHMwKRVVRHK68KD0QPhsyLL
X4WOdXBm6PSIjYXEnMwvbRwov0VDN9JgHVGOd4iGjIReFS+iZPuSlfra51x278Kay0JXvwd193WA
zsOIxLwppbeqxZxsqJXBQ6YxRFcdzV2Vl2a7GpvtpiLkCFdhQN7L1nYY0/TGo9lqM94oA8Qp4h6A
OQpLRvqXH6ases4L0LG68ecrawwCSGrpte9CWQBe+9IFvMigiHQHqpUQMA2qVQLyjbOz8HdE/Eqx
VAdMzDjFGvEzsCNrU83iMzEpqwpzs76NFTjYaWq612jIvddywh2bV8anNIZ2HXgQX3sJvZGOnr4F
4lRi12EKSz0LTHO89G7NXkLYgsAJxA8Joo/3Cf/JjaZNLzKcFDVSNWa7eFrXaN5fpyiBuw/Gi0Zp
DkntlUhxyg+zX72qsqnwINEmasb3zRicoxgSiKuGEiuz0d8YvIaegZJn22gG4fa/Gsv/ncbiwq74
ba/8DcSA6P9cMNJ9M16+Na1Ga/mp1MX89w/5U2zx/wW2y1vEVcJNlo8B/7/FFudfdK27WHZJnQsQ
I4IalP8WW6x/YcmW/GfLNKXF6e0/zlzxL9t2BJxhKD74Y1zr/0Vu8eRSIP+D3EKGXuG4tBbtZinZ
/FFuERmR1ABhetUzW3hwvMC+q+1Jn+FExC/I2famhaGPJXbKvnlzkl03WM3Gkfy0UZAEHDUEM9sZ
eFbbEPxyT1VV4HfbkKTAWUVqYs8QO+ssnAi1DRnmmMDyXgqjfCM27+M3SL96RBNeLKhcZ0yIRACy
WkArdmrkgVFeW8p6GWcO4jY+NZQdvTZJ7K0wELVbWH97n9qFVzbbzeuQIoyQGGDJGMkVafoVtlYU
2ORWGuMSLZZ83xhR+Idk7Wrxhlc52zkRCDtzdCgxxrW6Lkr9YeN22CIIYCwlvP0Y4Hs6NUOfXQdZ
WNwiCucPDIbiYxurYZ+1i8KR+x6DatwNGVCZePnF4ukBXh17Pa4Z09aklJ8YTqxDjbgDeIltwqpS
nXEh0YhlprGSq4YeFyQm5gmpM9M8YwWCOYIoW368oSWhllg/M1gRpJf8+htqFh5c5uqrio3Qji4D
Z4M+njN6ktlij5WdOsRJYrxIN/F3siMMRDY7FJeaXcPK9mKLU3JZnaRuIPzY4G+InMb1A97reGuF
OKiTuDCJnDbzlTc7BgZkke91Xn1WCDKICkW3TPfRQV5r4okbQ3v6zlOu+9aSsf0cC5IozZi2BFMA
gM2W630BTt5e4SWg0psQDBUvSaIXa5Z5BLDX4mVp3PvCyzkOzl1jfxPJwDGabNB7GTBVB/PKlKCy
nY9R16TR06AqnyozrM4c76vrIO2/Bng97lUUj89gH6NHJo3hsYsaM1xZo4UTKjUBG4JQs0HElpNq
LlT8sHMPBLurjULn2Hp1r7+GJMtxgpnkI60oVIzShX89ZUsSDxmkOzjV8Kz1IM9Wn25Jf4XAkXQF
v2aiGA++xKYragMpx+rvc5zFfLpNprsMO/+5ysanrmt4QxdLuL9ebk9GQTur53A7cVc5ZHIox5lp
HXNaxECBu4CESBOW70HMcZtxZkSvDE41YfbW2eW8d6kcLwWqRDlBibkaNz2+amkHVI0AZ9ginFBc
2SS9+cqM0mGWOplMvr0SWQq3Bewf8u3UuqeturaMGaKRUDRaVst3kZVPommMk6UYH6zCGeqHnjmm
ZWQNtkBdjFd0EnE7aXMu8IjOEHFy5TDfdvEmMRLW0GUQaqfQMxlr2dOrNuGWI8wM7rZoQ2apKWM2
3pHETGJIu0xTLWLvm7wr6JTDOgytL8ieTVzHxOEzxXm2MrdZ4jl3sHRxs2ZpxSlcGGW74bzznSQe
3aGc8hAJeAQ9I6bqc67H64EA4Rs1bmg1Uor9wMZ5O3SBfCwtYmw90aRN2LXt2poodRqqhZSIWdp6
JFi/C52ivJpUoW7lxD5XMhm7zrnmp2aW5ZMbe+hDRu+dqc1x4q2JMx9DZFLhqWptdPfSCIkns7vx
aJt7SJ06+eIS8N71AyS61dIgRNDHda6HwWVyUhJvbdOcRQH65W7EuXG0eHjwYMiEbXKB4UmHX0hI
6R0nCZ5+gn+fwlMLP2M8sVYBWOiyaXyoWhtpC0cFhla370j1fkIolK/sjy0inJw7P4gxsSgMvGpe
Sm2FzyV5vKshbYIHK20a+hjLmMC9foEK96IGMm8IJRfXXxTgxeEoJT87ykpKLTkdfB+t7HGJfJZa
OgTD0b0Hzy33Q2VMG8ykcu+mEU+6ctOz6alwC/2426BFxRcgj9uRt+RezEb2lnPKOI9CfGaa8EBf
ldeyZiLfddW8TttWrYa4Hi4YM6tdRWvEc9Mmag0oJgPLGylYAdiH7VSNYPXCAuIoHF5Msj76v+LV
UM7TLrQLzvA20UlsPtnFLJviTmVEbPO2nA6BFbpbSq2gWHiNeerSqyrn/VhYQXJqVIwX2gNDT6kw
wm4ObtWqOYLSHKXvEhkkazsS5rYiWrN1XYd+Qlz1xlVUGPlhZmNLmHSpUuRW2xnB6F/M1DWuBpex
qIWstQ3ECH8PN/eD2fpibZC3+ug1ZT52xwsRUGq4htHo3MjM4RbJjWg6GIOMETjN5auiKWrIe5eH
qo6+ukN5lEQiUL7nAUS5wjnoGz4du6PdPOdlI548V0Hujg0FDS+SWh4cwzHWHemVfVXZCrYekUcW
8W225GhkV3lbnJFyFSeACIMCG3U1hrAeFZovYAF1VVND/WK4VEmENGw+Fa5IA3DMC4GK9MvorT3i
m98cDsz3zoiFoRo0Hfdp1r2HUV9jB2/BPXdz8lQZVX2i6cza+A1zANla3V3b9Idg6psbbkPOZ6G/
Q+a7cnWL2qEIj78U2mqtVdAQOPBN7UEomqbwMck91GSYnOFnDZ/jBjwWRwMf/XeNf+vdM7DyWD3h
/3Ws+/A5DEy1GeZ0bjjTzPYqIWrx6KbkZ8JRhG+yGfy1EZNGhu3p4Nh1BmuHjkFbalCUe6bIQb+d
6FAH/+J6NJYiW4DTdD503HgPCRL6kXhSBKQO48Y2VgVR+TzFAlDJIFc4aDqz2shKmE9+IdT32QEk
02NZOROUSe6Ix9J+zswZbynihl4jr4oNggBQGWmEB8tFBcCzBTbTxPIjDbBZDoFwcoh2cK0TWe8A
UcS3MrKBsJlW89UGjPPdM2FCV34YEg6lS/xk9n5WAQkv6i/ZwIlmRVA6WPYUcfVQJn5mbKxYzAtq
1g2j40I57Teqk9hXOrCgGJVH5+QotInMEAoHkXtVBPh8MGqU7JKy/FoATdiKbjBH6JzsFdnEtDyX
5Mo3OPfjnYhmMAkjqDQ46u6wB9iTvLtUvZ1yjXBZZlBoVlblWc2WE7aQZJDs/uC0UOZ7vHTPjLRr
TmC5dbGM0cOL53bPOqRreyhI7Re2V3yMnJa35IquYd8A1p9kdY/bPrjPVUajWRXr6txlVPC25fw4
pM6I/0vExJgUIEl7Cj6rTPHYZ00Ai9tvdkbYWUe6OnuqfcqOmrfRmIy91WXfshCysENlKelmF0Np
DZkyybT60s5JeVS8j651kVt3neNFRxhzbz6wzYeIKrC3NC6QnSC8b1oiczzCDvCXOoKhQJpXqU1n
VcM6Z8tYTEPwONdCAkC0gU+aAXZTdLU7cgHZ2rdsxk82nI1pTE9RpvUFRit7CS+dHnXuN0TWZ29v
humVpmPuJB3fuiK/YT7TzYW/i2tLDtnKLv1Q9i8gpoJtaKqerTRNHhmE2E3IS2NgqEQjY9zE4yVV
3lvqTXcG0vieYVX3mpqdv67L1rudpiw4a6GfJqf02EJ1Ex4Yja0+K9tsU7rVH8AXRG3PTf2vQ5e1
e80HX5tD0dzYAd6GoKNsvO3jc26CkHMjA05QFT2bIrBPSndfsabTFjExBQ0rrPbBeD2NlbvphN3e
pHOdXPl194g7rNrkRa3fVZzS/WNWjMuqGE5A5cHt4CH9o6kp3svE7pkhdKG9dXDOeAjYrPCOsuVX
RpTlgVJfgVVGhCSTM8yM+DFtP7ytMrffw2qfjxZc7aNZzAz9csqTWjfwl3y/fWX4RbBNAsM6tm0S
3xl+6Ny4Vl6u26jSX4bM6+nAEfdQeOwzM55xk6jlS+e4RZVVZJlHjXXZx9oypzeDxonbMIv5lE7V
3Bdz1JCf67A/K5Z0OsCG64kvd9UC0gJNkpjulykjOmQmjoxwnM72a1Txx7WTB0ah1nikPMdHygjF
oS4D54HxO1gKTnAzDWdLr1FND9vQmB7v9Xk6CvAwb+y3sE87fkGEDi7UyiE4wkob+XfCopxjqvru
RXpMJHONXXeILFJAdQK3Xco9CVYLC2rOsDFsVXfTjCW1EcUACMlDBseQUk0PtkAxJOEw7auFXr5x
M/nE9z/vJ7vLecuydQHOaK7LhGTfnGq2kwheR9OSh9Do66+KXqiNU1tL0LEBhihdWp0gQtzlbv7O
4Vmwo8TZ1KHI0LreuyeTqThT2xKZGGDnyhiC7tT2t2bMlx3MAjApXHPmjYtMiGdd3o+WWrQ8f341
CzAGsuMB4LxSX+aOBsBJUzEGvu3g1zrbVmbbbGYDyFRHDx9Q0uDQO/MhhOy8wyxIGlaMFy8B9FPQ
HnboywWX4GSQsPoEJnlc7ibI7Gv8WsnOo8TuK6uC3pUVOJgOCzl18E5OvEKhUtFa81hp9zZUORwv
PLvbIKYL1SNSQbkkpV+xiYypKcI5eCLQb1Wgb+oyKo4yiYa1qXzu3gQK1s5RozgbMmg2Skcer0dO
ZkXnJhdr4m0RmuG7qQ0CCNV8m9AzQsNmmr8QNeK3ycdjlxnfQ+n3pzhna9QwLL7xZ4VoCU1Vjdkb
1Un+jtxJc0iId66BvEf7BMMYaMz029h2nwzxd/8rdv1F7Poou6Ktp8s3kgfFX1GMPnLT/xw733+r
8/di+vkf/NtA5PxL2JAVMBB5FruYRTT600D0O02Lf+SaNJYJ7EOmZf7FQPT/V1T8C3pRoCUgZfmm
qxzPsfk7/2ogYqdCn2G79IlMQcjhu3FZROiHCMDaxHJ06rPrO+MHeebm6i+X6G+YCqhyP2ppwuKq
LCwFQjUuI/YfP1nRPpoYIcwlgul5gGAhxNeKOg9FyZKeOurf3YXFjnH0W5N3SL+//3hzgUr+oOUJ
Qm/SsW2fShziZT9BJ1vZEGlxk3KN4lcyPU0y+tY9lwbwkt6zp3Yys2+S55TJS4pdPEZpL/ctA9U/
cQ5QFv6+KnpBR/z0eyiYl9iP+GW4PZbr9BcLVy9KXhOTgWMigW0i7DT6IukaRIoZjfgf/uhFn/zp
s1wKXVFWXQf10vrpmutBD3PP+HoNS0/2j7waPJyTGKLOSAFc8750xn9AZ/x6g9nKwoHkgxgxbUf9
dIM148BKRMpwzZt0US0akkdXWdszAG0xdu3rMRb6Rs2N+Pr7L/jvrisQOGEK0KA+MvCP17UpcJBY
2kwhcwS1S89MEiRHezRI3Rkh+47ff9qvdzMCNCZA8A/cTPKXbxGHTTemdM2kWeacmrwBl9CRpZpH
NsC9ifl5mjn5M+Ms/uE5+psLjCrOk4sBiT/U+en+0V1r0xJj50TZXOfUJxxAw94UmyxMPgkX+Ffp
cl/9/q9dvrSf7iNMjxbivcc3Cjfmx2s7zkzLcIHnjOAd8dUxS+7UxMXM8/uP+fUrlIKJnYC7wT92
FcOGvz4ahU0PhKVHGp0YG4qVkS5xIWoZPkFFcaL//Yf9yngRXD4+xnEka6/384IAojAtKstC4Epk
8qyYAoc0ioluj1zQNdtRuzJFcI8iXu6djT1maNvWW0MrZG5cLoj9PCqG6h9+rV+vAdVlrJLMNgQv
EPOn5yf1sGcTemGUzNhsOgnafgDA+elwjmP6HX9/Df7uw2zspKxFS3n9zx82T0JGY5ixJuqBBE4l
4r0T2lG0auSgX3//Wb/eQ8vLzZQouyxJtuP/+OVyxJPEUSHfDnHn7+1k4B7KNWmB9e8/59cnU5ms
8thATb5V4fx0AdvARJmj5mBdDzQbJZMBkW4YnE020yOwch0//BB03jzm0LCSf/jsX9dbZXL7StzD
rO14kn/8G9uiCdtRL3UFyuLt1sUzIGHmreR+rMSifE9bvHp+//f+zXXFeyAtrMn4j395aCqTAweg
i5xEITFKmJjZMyuvt/n9p/yy6vwJROJNwrK34HV+/Mt+AiJ5MgnOQeXJ4x8spFF6aHI8vH+OWv/H
V6X5i92ZtRWx3V1I1sunLtf7L+/KsjZ6w+5Hqt5QL/1TQOT7wAFBr9Immr2Dkc1TuMfYlZFcKjtu
qAkwx2dc5MWhEf3sk/JSqX1Iu8Sc/+Gr/uPZ+GFN5It2ffKL8HeYYv68n6E72W8nmBcchnW599Ce
+n3iOsSmTAunD4p4cqKwGLxeHvpU92DkYMyA4SKe02+x8ivcnCN56q1nd/E/Pde/PARKeB7jdMta
1jhX/nTh+pGUAlG6eU06lGBM2+dvs++RsIHoGt/jDjHEOc4Mbkz2iWwDTcYA1naaLYXfStsvjhqK
g0WBs9r4YW8dySPiJ5M185pNAyVxQqHTLMnYX11A20mHiNj5AxMOvkaQBZMuEKJqbqZ1j0Nt3k0j
3SC7ASkHWc6gDmclAc80K4FueMaB6H2Dd1OMhyZwkwRlH/8y3AGP/w9TOnKxxfT/GE5+h8q0PFtI
qZzXdTTyS/hdexlrM74j01jsrDxOI7rGxuxDgchbOGEYKLwRc/EatYKfGBv9eEckbml9Gm1M6qGs
ihVoA3ZE7Zx76SuhvZGOApsx6u8fo5+/F1Z1xdKn+HJMgE/ezy/SLKXuC47/2sBvtcPpSXOnRNbp
/mFRWN4WPBt/uT+ZVvPzGQATWGDe5Mmf1sFkJBWNtcYDkh270bthGX7NMHcqEbRETOvDXEN87Asz
3s4i0RDcWvsuiAl0AUGhnwB+vX3tjovqUoSchpE1ojvKOXZZGl1TgwSzmyl8uhqGRK55pwWXOWVi
uLF58BAkclwec5Fne0aLFobSYK53Qxu/zVZvGNjkYDs3Q+xuSz1k0Py0IHg5HcqxSr6IGu44VJx0
eIhlD/iBDQ+DO64mjCJt4YedTJwzblXdL0tiDP8gkIcgUPqO2CGZpDhOk7X2SrfeJ1iiwNvi7imx
0Qf2kfVAbaJCgowIlCpmUkYpciuNCOp+0Jiq0wzFOzWEC13IEPUm8I1KkxnV7j6KpnEnlVPTNg82
8QVXzpWWdHS986Wba9m4Dq4ZfKjN3mCmQwkFbx5c6FnePwpkAkQRMguNxlbbtVNyb2JGBJ3Nb0GT
eOUa7sGfPeNInXKJNJA194GY9KViXPTACCX/Jok8YHGMKoaCcGcaQq3Y2/aob7edryt7X2ce3dMM
Jf3vtTbrkkfNcL4EfTHSaghuMsSGjPra2g3In1qN3R1B9+redPrsyuU+uS6qgFhYS8tY7VNTbENL
4OKLm2KSNVANI9nHHtPntWEyf2WMUeEgxYfxLQomciSLYbTtBv9LzR11gcGuVyWTKSZJMXVy2WDa
r62oYKD43rwqsuDZKQbrDu8kBPDZ+jQTzFl04HmQvGcDRw8ezGnn15kvVqFU1nnK3eREFsy5aN8c
agbhoUuUIbGhbsEb+D5OqvTWJT3R1h7gtpneZIH+UJG7VDBBH6utYdr3Y87gQs4ZSp9nm896SItw
D63d2ulEi3srkVimhDNCa9L2UgD3UQ+Ltc+hcx5c+rzSqd1dVKbbbUZ/3D6gyi2Fho0WJssEdBg3
Ysu8l0ZZMLpcwcQwXNJiRnukEKEFLhqQXaTYr1aPUG4eIytowyOHluwqxUgXobvG4HjJJSTbuZ0o
ZSKky5VM4cPgjQ55jRgyW48o6Xf5bIg9/cpi05lyPlODOB45ZoNLq+PX3o7gAST1Q7DEYFrcU1UH
vIj29jpxnhNOjiuuqsMAsLiaxgAwM+/x1cDCRcfLALXIyNNdVnVMs+fedz6txJ9Bg2OnzsAlFeOt
Lps+wIccUp+aLmVeaK+YQ8huzulYb3sE8vt+NI1b0vF3UMXAuVshZDMneiocx7xSfvigCRved1MV
f0agCK4KEDpJ2zz6sRNu3JwWgNp51+P8nqqavDGVd/0bu51PX/JyG43+az1W8gstdIAgOLlcjbNF
g2afX4Ae3QJsL074wIwXCHO3zqjwRYTxqzl/1kX85IVYLRiyrGdvOk4iPLNIkZ7s+q1qm301M2ry
qTbdgjJ9DUMfVItj3ZoGtLTW0bukmJ9s1Y7rXIyn0B3PtFFmvE3BSRumvafC6ns3OUx1rFck1K8i
ip98PHaUb5WA2hkWgsoa30EwdAk2kumD/d1ltOdHT6T4OuCqrCzTwOaggaaXRU4cFtia5h4DLbfq
a/NSBfBvIl681yW+ltrU7crqR5cxQhJuIte8zeTENzRTPh0l4TXbz2wVZPBCYu2Sg6KD8QZGMFSE
nCyrSfMsnyCcI0gkAWh3gHSUUzTMbHZdUZF+g8ZKSqxikNHamjFza+NxSqlWsJPHcHD3bHVmNghO
tR15Trp4Ge7q8MGyeYa8osQQLOjLGqDrWPE3D1EbRtzseJu6siSpdtP5hA9vw8PLjfGzzZz2i9Oa
xTHgObuGNIWzoKD4Xsf86gu1wND9bdqYmEgNa3yQRt2uzbx4ElN/mlVdb4mjc8ggGLq2nArk3XzF
buI8N7hy/Aq5bjY1fGdfbjMrP/Vm84VZ+7HBq7OPRxqdKcDc0uaJ+cAmze44o70JKS0ExwAjgrLf
J4WiSLm6KfhicvVIcQaY9aZ7SlpzZzjhfcb+a4VKMWLvHu7TxPsIXRzlrLEh8C+n3Woj+misENeu
xYpYFGpaKYBxODOJXvkQM86J1h9WVFP0k3pHv7VpjsqK757R0UpR5vF3jofEjLNAbEGkRZ84tIsT
wb18h1SfPUinzZ5mcvhbaRFp6jXeUKELzQJtRps0THdzKvbsmvd6sFDOXeubBc2Guw5Ro2um+Bzn
BcZ3PeFslrhh+oe80Ndtpy9FMyZfxrG6p8vBWRv42NaW9j7MKSNVGGX21dzXFnrWRIYFBvzKrChm
yiC7Rm18M7M6X+qqvwinZPwxQMNzp7Usx7Nd4bN2NNm2lMOFh//fo10UetuxMpzreezvrYiK0K7r
byyZ3hAFegzmnh0nqsUhHfrv5dyWK4Bq11Fosm4UxXVvdUxSQqxi0hDfXdjt9IDbln2Kbbi1WJpO
KRT3VZnTomRlA4WiIeQnuqvZZairoBnvbdrm4A1xIZlc8oXn7asijLhRIxUkLDjVyiii9EaEGKjs
xbTkF8WT3+YfnGwoPsOKBbqGesRNjfDHvThLMDhquqma6djWPk1snf/KAu7gLZ7fgj6OaYaCdbEi
Bc0+xQivzdgSZzlmmnnqUn46d/dDzk2JdEGDcJpNqygOFqNs0JONWyroSorCiiDZLQX2lUj3EUMb
W1JegTKOrdrnTU5GZF3r/H0wfGxDZENFbLQr1AB/53UtjZoAMnMJWa3p7duCffR6YIYKvfPaJcJB
VyB4N2zt74yZTvCJx9s0SLF+hXJhVmLOZbz70ms3Pv9ZDq+Dm7LEd2QiMCxt8ALnoAoPwTD90QQv
K/NEBzOWyGQrvJq3cVF0wPhwIoA4wxP+75L3uI8+XBVfhcu1xab/6FAVBKtDqqvBqeFKU4W5qnJk
uNrKzA1OkSWT/Zf6doZbd575R3d75UCGGKtm79rGc8CpbcDswSgMO7gi0wWPW6Z6g6LxaWV0Zsbl
aRbGvhZE940u9aHS/KdzHVX5SeTBZ1KQvvl30brEBlOW6mFw8tu5wUIJQOIVKwhun+GphCERdbxh
m9LcSghgO5ISS2dmdod+mu3Gri+3Vk5XxX8q082Or4Nc1KYskuYmSQY27C7jpYj13Q6Ggw9UgUCw
vY8ckgfhUD9UFVUuhqF3HnoaNcHLhsegt7P13BWDqmv8BxcrVDcyR25yRwNUWAuxTKTt0Z1sevB6
CRI+C09QaIt96cxcoNbAiG+4/luM2rMNaMBeXgXOZvSnOzrhTiDNSRON/U1flB9qYrrKDDC5Lj12
5OymX7y8ulPeUNDt6UYHx4p5anDCK6IztWXEB8wDxlPMqeQx9PyvROCQi9RVL6qL5xqPDra9tkEg
HF35PVYeronZ5uim1Jvw8YrGLpPHQVUkhO35TN4X5igvAbbY/Svy+nvXemqBJemtS9uBO5jWit6a
XblAPCGmJEcQ/I9p6D1EEQjBEdcDnuR7hWX2RlhUEMzl/CYH41i3GoITjNhNZqvLmC3UhSYItnmo
74x0Mbou1IXEVQThwNQmeFCpXHIYejjZBtH8Ng56epkZ5+8Yt9yXVfI1rTuXaofotlwgCXM7ZnB7
muq7NLN7+jlZ/NGRMDxicxVkFquJMmJ7uDdJE0Ibnewnw6Q11RpI0GVBiJvBbMZjP8y3rXJauAm0
NjhhAkS4mnDSeFH1nuTdNWTcM4ludazAFmxsTj0b3lf4CdEC03NQxPNpjPvXtsjcNUEs1jm2IzNL
6LXyobsTPHaLQ0C9iAE9gUG9365xmN5WbXBLL/px6LsOHEPi73XZ8taZFFkTOaSUzYHGNb3Iws9F
eE5Yc71NbNqbmGyaKz8hUzM3B+WNLGesLCtRqe2UGwW1lsBU0D0wERZPZW58wwPk3Ymwic7Cq6Zj
qSprl8d8zbiwjW3mDuHZ7qvdYrWKBov0LpbcvuCD3czY+7niCfJoqae44C7x/ou789iNI0m38Ks0
Zp9AegPc6UU5lqF3orRJFKnq9C7S57PN7r7Y/bKKlEg1SfW0BsLobhpoksqqSBMZ8f/nfCdd2GV/
6zXVLQkF5bQFbQzB5YjZbCZXCNnKDuxjVV5k4FomqFqPtcGdOwbuyqhPDV5eLHKixL+sHeuaFEB9
agzivJCNuz51zuCkLGvUESthc5rAIXeQ79t56JU3xF7fKEEhb5B3XLS2d1koUF1pU5PCEnyUm+KI
8F+YioZ+DHatw3CsrgnHWg9DN7eLHEGgYFvCDoZX9cIHjDMhVmmUNR+12LuoY6yIWYXzhwzt1DYy
VZmadtofq8IggaFxVkHiXigwgKeNNWpnW3fl5BjskvY2gbg682Jljp/6SOoim52y8keVd+OzmysT
n5S5uRVb6AhjhcbaRLgY0S+LrNFGQ5YaZTM8LK25kFohCF02WueGDWN15ciuH2PhlKKE+IAcYqQU
hm4O1gjHyakRs4C+RPnHa7qvnLhcGuA+TwqClS86LyuAuDZMfpIoWTIWWqCdqrHIqGYFlS6Rhk7N
Z+plhvqZSo5xK+FjWkqy355WmulVRwp5orc54sezPKChj1g4kGKCGmv1HF6vy8taadCbZ1oczwli
J5qJR8qGBVi20GZq5TrbCxVro7KuUdj55ypVZVirPZxF99qx+wsg4PI9jkRsPPaW+Y4E1f5eEwOg
LRiipEuHa9PrY971Pj7ahSzL1ceOE8QdVhKcReoVO16/uTDUBD4f9SypZLMQ+ieu5F13ujIZAPdP
uy6+dNk8x0N9rnrOBYVgLDqiradwoc86n+wT4prCE7yZ6AU8t3TvDT+MzvwQn/HIkQ4zGUIBAEuS
x+4LYVtz4oPaFVBQEElR1iKsJ4BhKkvcu1Pgx+1StN6aeHaSzxDAnoF92TR184HQg2xSFnIN8Ez9
mNr5rWUFFOEwvFKx8a37sDMk9hxgDWhTDZvAwUAeWv4HHw4n1UchN8uEuQSxv3Eb93Z8RXrvnZrw
wHJvZAZYBOhcEn4LvMKAiptRQOxmaUXq3oC4E/gxokFEku0sAUBslc1K0orLoNbOKjzTM79T3Q3J
MUAQwuwIi1F35edS0kCvrtMt+zLvvkiFfR5DJ1x0oBygv2FCHYIOd2UlgdBo20sKlLDM7LXfmsN5
16D5lITXH+GZZz4LR74c9txjOfWMKx7w7QjdDljNnz1jbYcQ124OeG2Xxs5VD/prxWtRTAQvVtRm
7PHIwAjPrSeY9iCn0tpWrHNPC5EaO/UBne2jObnd47IHFm3lvCxt+SZGHj3ZI7Fb/IE3zkABwQwS
40qBSUG8heKjusbM2lWFM+u+MK5tfAkPRmM0t/U+wKPSbwtFtjc+MhSCQSTW4UYXnsS2i0bWpouO
wlWehAUmR6dXN5gC6mmXG+SwP3Gp67J7CK3yZM+kxtq6pbN94FG3RdZu98BpnpjFnjat4mLd7BHT
osiTFazwemUTQLUcrTfLLDeaG63r0Q4Lx7zDCaHOCxbRU5ZSykJ3EgUpgVrP8b5HcwId5gGlIdIE
e3WppaaN1xbKLNK+A9LZbAJ/mqlaRMhk2Sx4ACMSQJxmYhHKNBF2edf27R+hli56W3PnIAj8Kekk
0OF9TZvFWV+GRyNkK7vyhJxIs0Q1xUmFIRxYnNbIN7rh8l5Qc0DGnhOiJk97Ciqm3E33oGQ16OQj
zEvUz94AJVeYm+JJIbpm0ch5uexzw5p1SasIpvdYWmW9GZ6KxMzXgYfxDtJuny0yE+Vzb3veFcRK
4yQN62MpIVrK1Iz4Y1wF/kfIcWg0lZJcywQp3FaFzLZwKBzvkEcpNAm0DjKsF4it44S+fhyWrj6n
jz5amUWpPORjpZn9UkEQuFuzUOHZ8fRpp/ohN2RvODYheFHPchEbpqktoHUg4MfVXY05YLAFrItM
DtIUECNwc0iRQlCpkKha83xjPETUFjrbQW56k83J4Dv7lPrcBTAZiGzVuBXhPoNMbXetVHjOd1XV
Njy9VQ2Q3UyGVHwKOWZ7pzmCd4FC8rh376iYm4/loTLBWiY1Rl8cPfFtCdR37EqQCzGvYSRIk1C1
c+TkDas3WNcRhRSllkeRt6sZK94VJiR5y/SCKznRzXsv8cxzhH6Dt7T27QSBiThcsTwFVuwkabms
5SC3L2IyWhooFY2lLdyqjOB9Y9r9kJkxN1UamfygazoNhzvG1H0hxJLCta92vZj6fa1pZHCrIEnX
I8w1OdUKvTuP+zoUOPFlbek3DWYpYfiuNa2pO1LPFkkv3ydFIk/JarazXaVKpX7WN6aezEMjIQGo
iVBizgqvlboFqCxIIZTlYcl1vilLc5qXiQOoEeTDBD28E621wK3seUhVdYZLYMZ2+0gZpIte76jI
2sV9YllHmtoeOW1+2bVRe5eFlJ8d5UHCRoaI/gx4F1rIEjJslYPUhwS2RPpoXAyUW2d26SvQFPyP
Pqtav6l3dkWmXmS1w8cyJpXcphrZlwheo4HaHTsu6g3zHl/GrOpac9aHFFzGTby/0LPcYqv5SZD2
6U1lU6Jt5JWAFhv0TpOGnOmpJz4Hjr1spPaT4lXmaWY2ePudDhKEV5zxT/QrSubRNdAK41ZW8nBZ
G929XZGCGo5W6ILV9pwtFGzwuFCtdcZ3BZlq2VxiypRzNORYgYGS47U40uUqMy/aOLZhHjkNs0En
zB69aAMqkYzxjkfELBLtmCid9N6DqV5MI1Sh+roocalRaxjzZxYQIsJ2SUYsG3rdiKAcpz6p7SN3
j+0J+0ZoZboKmZ3Aol4/hgfbZ/MiR5o69QVQhLnWFqYFKV5CWZulaposuGHscqE1TSdvYH5KIGzJ
9DSXaobRYa5LSAzcFNv6idJ4srlpMQpmKy5vMCxxVKnDzO0qvrdlQUWaoBmhC4uaw2sRVoKiuGDF
3HnXVdzH2nHUYc8CuCLx355ZCG2wnMGZ0/ISae2QuseC5LVq0aVO6S98+I7y6PD37Ekm4LsfJwro
uSuCKYWyIQiEpHTA8EO7RDgZ5YDh9tNEY4d18qkxzSI410myTE4iyJnpTG7rkiwVLffKYeJA95BO
HDNXgyVHdilgCD/eKBUKeoxAxZmnC3ZYqkWcuZEl/oOtR+UZ9zDQQdFolTTXECq0t7UD3VgTHZJ8
R/LLJdZDVPx4Y9zzSM7FEh1ZO/Z8bgvSNe2Jixd7Jlq6lx7rztPBS4MVvbg/HGv4wCuVTRYL8E2B
o/SMybvaBLq5SRs4UtjCzCPkCqPyo6WWoxnVUaJmA3ZmKHrE8epTpXBYG6V6u8K/6U/E2HzvO/pa
U8Ostc+1DaqOnrl756YquUWU1fw7onf9dlG2iJLY5QsRLilBs7ZsiJY/Ruvts6jD5b00Sq3YxJZG
IciPTec06fpuqQY2ctzaCQ22ISizXfS2IRCwnpV7ArnmemyrLGrize46EcHW3vsICmhQ81oYjz4C
T+kvJMVRL8B5tcFRa2NpsySSbAZZvqpVoCZ7HwHyDMAbr3kIABnJxfqleyBy3OJKFSq7GgpyOiPp
Uaf/Ba+AnEmcU1TCrGa/axHQ00ENpnRq1fuYKgKNM6tSZ3sLQESj9RYSa3YRKdad1lLYaRXI+EnX
uBfEO8LDHOX+iXBlZoYsnlpqmp/YAtmvGDX/kVO34KYpZ0/IuI3oTpZRsxJO9Y7K36JCye77bYU/
Ur/VN+p+B6LpGnlR/idlfySICJ080/KTNO0Gs72Mv5Z80Lio8fEWllHCHRa1Zr8lUC1sAZ086fMd
Gnd3vt5X30jzNWUwzw6q/NpLh7VM5/gvqfJxtgA82QvyDaFRKHpVjK9lZLEedPgWOgBQx6MGX6kJ
f0hCOZ6bCHU8Jh70975r2oCnoCLjMoBVhzkzZ161XyjuJcD9g0/N8Jnivs0Nmer+KLZvhG3PVCzt
z8T2NCQdmnq+qx75scqe3ZJiYvbadFiQilCcHLT1faidhlGzq8FpFOyVhhV7Gm+KsboKZloiyauv
QnripY3NVxW9XrSBNPkqoM/LHGOD28AHUh3ZuEw9UBF7zTw8MPuUAg6pKG/L5XszrS4EXTGWry9U
8kUcaB9KxRh3buRsrjz83+UEO7t1+VUPDx/cWeaEtS/r0KJCFziz0JazNY/sigzG4SNqOqraHrVH
OTTFxV4N77PsZ0dbhtFVrbXKXWuAPjKigKRjTfWp45jqmdo5t5E51leVJAmPagPQhZyhLUCO55Py
5CTs7Up1GQVgekEL1+cDSYAsM2KXt73v7LTWLT8nUbqLwxQZP4T3bROq1mmR6UU5yUcEj1XWfA49
PZrdJMjREofGSZQxe+B4jeV5gQOvmdDcXuiFtOzIS1hBtR+olhprVW2JxrGCfOpk/UdM6eEcIclN
kkQPRoXMJJNA/PS5PjFS8osMh7TPZkAv6KoSa6LCJGwQ2BjOxmRc30hSPEv7NIePVXbHEbtx+Eud
f0kpPN10AJwaVs6NnQTmLCvZTkg17UgN2e066zCQTYyeLbOXSL2/KUURLJym8TboPCouBI4qhzzm
4yihhhU3w9UgEwgZYcSaN9zEU5LskFLJztyr9WuLoMwEvdjCsBVvRkNwztpLuamUCOdiEK4Tp/+U
l0o5tzk3OynjfRRoLdgnU+tvBjtvlUketEgGge73xFB1+LSkIXHg+7kJBUurD0aUechc2SRlOLNd
NgZ1y5tsUhjgRmKJbXVGWuU1EK9qrdYtGTq8nifCr6OlQzWNInxXnpWFTUHJgrhMm9jf2JGVTn2E
mqfEkVJDp+zc67Z8RE2RTQjbrmlqayj/HBIvwyLJrwNZQq7EpEpm+xhawFtwoQ9qOO+lxJrl1F5O
PMWkFiwnlAQDpZxivXY2VSp4CxqecSmT0Xo89HVxY7hsYhMqlXcS/tS+l9ZZX8vqDCdidkwVeypX
4lNQG8l5XRvOxgyTYK0qhrIshFTeENGubEQh28eZVxSfKR7Lm0AqvI2iwIpztQB8jQfOAYWX5M6Z
z+g60Caj6eMR7VmFyTLvERE69rhmzAbyvDoNNHWc4g1RJaOib2FU57WZSgRw0rbw2Phf5wAIzl0U
p3MsprzMvaEbMHbH2aWs5lubkOLjMuZ1uCj7JltaOTHRgd6HgNv66t4BRwUtRlCfzk1MU8RDAJio
xUlPmfvSa306wwPeamXaUOpdSw2lxnHJSAcoa+ZuoZDrTTLkETUTZW21sTTxXUYABgAic0tlcxHF
ZUlOROfkE9H39jqLiOKiyZ196plpuiVPtXMlsgjKd5gn3cy3Snz/INazZd8pzAFkKs175GrLxOqr
+RvRno3ckPeOxfgx19OjpqJO93GeuqfKf+yjPCvBmqzpfV2+yQ0onq3+pwDPsLCTk44t1sU7AZ6I
BQYs+DTHXg/vbCjjZ6tDZKfZeAr1a6hv+kwi0WRqmhUZO5mRpw+9lvr1/LUczg4SeTytKnmMC3Qa
uKYEc8vO5FnqJqo4AEr7wE3HVMpN9TVrMzYGNGDsG1skvyRsltVgUU8YEHKO6ZoR4QznhDHAn0ta
Zj+zRxk3dSXNPiso6IUIaBSBBRJNBYun0Bwhjqk7ZUduakuiZGAQ5gmhDp2f0fLQu8bIJn6TK/1U
0WtvJ1chSAdyhaZ57kdrVUuVe61si3XlDMwPhtbRxdCG49yhB+gBpTohKR4QyjDc+11q05Gn9x0Z
zGNtEBxHGNpPtU4mICCXWmz35rhL1rPPut2uKhmyYOGEJ5lVfwy4yakmdoE6DTIf7ltg4Nru9IiN
TZ4DbUN1lZ4ZKKY8wrAEsx6r7SUw+mISqAGVpVoLCzAWboYhNCmCidknGWMinhgJkq1PGtN6oIwX
LATW5NKA/UKobjmGBYwo/EimfYVFAUm2OZEV1C0hZfyF34tkpbJpmGqd/eBYHiIHxJTgn5TqQygp
3sqBv1LO4qoQS8pRhNPCvp6x2ZUmPSbzc843OiL0eJuoC6GTplhRFwNGnEXkA3mSBi6S5Ff5bKCL
IW0ceUium4y958xMWlvhl+nJoCvDuQ3Onqo8eQDDmnmVHq1F95gVFEUv+qM6zaBJAp3KnndBBZbF
S/H58jt5XjJJ00BOCpmKGRIVNiTA9kxNg9Utt83Iw/AXlP+kGtuiftnSZlxgoaA/ZOmIsDrjU6MZ
Bil82AmnIG6tJTus6m5Ig3apaHnMwsFOCQQqpfwOvz8N1TzTCVoyJLSCluiTk8o1wk0rd3wPFn0u
PS/2y14NwkRqygtfo6RZxj010DrNhlVAAfa7oss/SS5HFbYMUEKz2fva38i/s6yudBJiHuX0A8iT
btomJkmRFOYR9egsEZizxl1nBbS1hxO2pVlv0QiuSoFBxmEXvCTTNuaO7VIErsyG3blDR5LVWNiB
zh0qrVZnkIJ9aZdUPc2ZqM6S9qAf/n8TOfs4kNm22kJCCar+ot6NNr4Sv3P5BNieQhT6vP91sCv/
nT94+wC/7faftvr8z3/gEHzxd7hTd4ePPvzN+P+/bz8nQF8CpLLBQ/U/47d+9sv9/+MZ23/Px3/+
OLA/f/UXn/U0qKcfLoOd2IoHv9//on/8lqfbZPfPf0y2BORKH/73X6Kqdsn9TnjPbYuqoaHk//ql
/vmPF1/5mbj5vc9YbpP7+uWBCZbUcHj86JGPs3Ynfjuw25+ONp59lcPjDvrRw+9RZTEZwtL5Nt5W
Qbqtdk9H3X+MhW/u6QfjJfp75+dquxXjpzwdaX9om2Dupx/8/UNPxC7ZvbCu4gsz0YL/6KmZ7ASB
30/HGb+xjWERy9nTj/7+d7724Sal3rdkONUwZPXHj3714Mc7pOPgdbO4rHbfDELRFVTY/4GP2X43
T+CZ0fjvPFV/vusPUQV4Cn704p7+G6C+HxzFye4hig8R3Xsm4G/nWcJslX579S3DUv8Dl2W5K8sX
jzDGGwJk/wN37eR7WeM/eKIm22YrvjkrPBKqziri/ev92kvj9xdvl/n43V6+Bb/7B1/eo+dbwee/
cojv/8XTC+qVQzyOaZxYcOzqz7mS+496+RajRpzlX67rYep5oL8PaTKtnr2lnn3Q0wHGT9CwkTEn
4uh/PFfP/u7b0/LoTntr0H95SFheZC7dF4rAK6O6qrafq99ezrSvTKs8Fl+O8uyLPx/gl7n5Jw+R
HKpnX+7NIX6zQPh7Y3xcUvzEER7WMF/O/SvD+/7Anp2eN67dI2viJ92Zjyun9wZ1Guw+70S5ffDL
r0uLV67Zf93Q9ovZ90b29mL4VxjeYTH63vgufZY7h/XsH9t4+N6L409T3fMp5Sfflofl8HuD+3YV
/Qtcsq/vncOpfmUGeXmNci7e7vBC+0nzweN24b0T/3KP8QucdgsIiMVyUrN0krIcTbcwlr83wlen
8Th7AF9d9c/+6RszOAsY0DaPr8KfdN0YIzFklgLyhG0TRB/5O0uo15YZ/+YQnxY0P2mIzxc1bz4/
rw3rrd3WG5fv5850bOIOO9D3bsi3N7G/wON32KZSV3p3hIflhfQykO+XGR2b8L8wupeT+3/5bflI
5n9vWNQNPotxjbHfyrPE+KXWh8ikD0WG94b4vF5xm4k8SyhXfKmD/Qr351PB471R7sskv9aoYM6M
lK33RvVKieaXuGCPVZ53h7btf63b8PGl+uZ7e7arq5JS7bOy+OFafcNk/HJS3nh5fy0efX9V8r2/
oKA1/slDvNuK3/8PAAD//w==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colors2.xml><?xml version="1.0" encoding="utf-8"?>
<cs:colorStyle xmlns:cs="http://schemas.microsoft.com/office/drawing/2012/chartStyle" xmlns:a="http://schemas.openxmlformats.org/drawingml/2006/main" meth="acrossLinear" id="2">
  <a:schemeClr val="accent1"/>
  <a:schemeClr val="accent2"/>
  <a:schemeClr val="accent3"/>
  <a:schemeClr val="accent4"/>
  <a:schemeClr val="accent5"/>
  <a:schemeClr val="accent6"/>
</cs:colorStyle>
</file>

<file path=xl/charts/style1.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7" Type="http://schemas.microsoft.com/office/2014/relationships/chartEx" Target="../charts/chartEx2.xml"/><Relationship Id="rId2" Type="http://schemas.microsoft.com/office/2014/relationships/chartEx" Target="../charts/chartEx1.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1</xdr:col>
      <xdr:colOff>24268</xdr:colOff>
      <xdr:row>11</xdr:row>
      <xdr:rowOff>0</xdr:rowOff>
    </xdr:from>
    <xdr:ext cx="6422802" cy="2992994"/>
    <xdr:graphicFrame macro="">
      <xdr:nvGraphicFramePr>
        <xdr:cNvPr id="2" name="Chart 1">
          <a:extLst>
            <a:ext uri="{FF2B5EF4-FFF2-40B4-BE49-F238E27FC236}">
              <a16:creationId xmlns:a16="http://schemas.microsoft.com/office/drawing/2014/main" id="{00000000-0008-0000-0E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7</xdr:col>
      <xdr:colOff>0</xdr:colOff>
      <xdr:row>11</xdr:row>
      <xdr:rowOff>0</xdr:rowOff>
    </xdr:from>
    <xdr:ext cx="5544000" cy="2951999"/>
    <mc:AlternateContent xmlns:mc="http://schemas.openxmlformats.org/markup-compatibility/2006">
      <mc:Choice xmlns:cx2="http://schemas.microsoft.com/office/drawing/2015/10/21/chartex" Requires="cx2">
        <xdr:graphicFrame macro="">
          <xdr:nvGraphicFramePr>
            <xdr:cNvPr id="3" name="Chart 2">
              <a:extLst>
                <a:ext uri="{FF2B5EF4-FFF2-40B4-BE49-F238E27FC236}">
                  <a16:creationId xmlns:a16="http://schemas.microsoft.com/office/drawing/2014/main" id="{00000000-0008-0000-0E00-00000300000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7924800" y="2222500"/>
              <a:ext cx="5544000" cy="295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oneCellAnchor>
    <xdr:from>
      <xdr:col>1</xdr:col>
      <xdr:colOff>0</xdr:colOff>
      <xdr:row>29</xdr:row>
      <xdr:rowOff>0</xdr:rowOff>
    </xdr:from>
    <xdr:ext cx="6435298" cy="2975970"/>
    <xdr:graphicFrame macro="">
      <xdr:nvGraphicFramePr>
        <xdr:cNvPr id="4" name="Chart 3">
          <a:extLst>
            <a:ext uri="{FF2B5EF4-FFF2-40B4-BE49-F238E27FC236}">
              <a16:creationId xmlns:a16="http://schemas.microsoft.com/office/drawing/2014/main" id="{00000000-0008-0000-0E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oneCellAnchor>
  <xdr:oneCellAnchor>
    <xdr:from>
      <xdr:col>7</xdr:col>
      <xdr:colOff>0</xdr:colOff>
      <xdr:row>29</xdr:row>
      <xdr:rowOff>0</xdr:rowOff>
    </xdr:from>
    <xdr:ext cx="5544000" cy="2951999"/>
    <xdr:graphicFrame macro="">
      <xdr:nvGraphicFramePr>
        <xdr:cNvPr id="5" name="Chart 4">
          <a:extLst>
            <a:ext uri="{FF2B5EF4-FFF2-40B4-BE49-F238E27FC236}">
              <a16:creationId xmlns:a16="http://schemas.microsoft.com/office/drawing/2014/main" id="{00000000-0008-0000-0E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oneCellAnchor>
  <xdr:oneCellAnchor>
    <xdr:from>
      <xdr:col>1</xdr:col>
      <xdr:colOff>0</xdr:colOff>
      <xdr:row>47</xdr:row>
      <xdr:rowOff>0</xdr:rowOff>
    </xdr:from>
    <xdr:ext cx="5544000" cy="3311999"/>
    <xdr:graphicFrame macro="">
      <xdr:nvGraphicFramePr>
        <xdr:cNvPr id="6" name="Chart 5">
          <a:extLst>
            <a:ext uri="{FF2B5EF4-FFF2-40B4-BE49-F238E27FC236}">
              <a16:creationId xmlns:a16="http://schemas.microsoft.com/office/drawing/2014/main" id="{00000000-0008-0000-0E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oneCellAnchor>
  <xdr:oneCellAnchor>
    <xdr:from>
      <xdr:col>7</xdr:col>
      <xdr:colOff>0</xdr:colOff>
      <xdr:row>47</xdr:row>
      <xdr:rowOff>0</xdr:rowOff>
    </xdr:from>
    <xdr:ext cx="5544000" cy="3311999"/>
    <xdr:graphicFrame macro="">
      <xdr:nvGraphicFramePr>
        <xdr:cNvPr id="7" name="Chart 6">
          <a:extLst>
            <a:ext uri="{FF2B5EF4-FFF2-40B4-BE49-F238E27FC236}">
              <a16:creationId xmlns:a16="http://schemas.microsoft.com/office/drawing/2014/main" id="{00000000-0008-0000-0E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oneCellAnchor>
  <xdr:oneCellAnchor>
    <xdr:from>
      <xdr:col>0</xdr:col>
      <xdr:colOff>101600</xdr:colOff>
      <xdr:row>68</xdr:row>
      <xdr:rowOff>152400</xdr:rowOff>
    </xdr:from>
    <xdr:ext cx="5544000" cy="3311999"/>
    <mc:AlternateContent xmlns:mc="http://schemas.openxmlformats.org/markup-compatibility/2006">
      <mc:Choice xmlns:cx6="http://schemas.microsoft.com/office/drawing/2016/5/12/chartex" Requires="cx6">
        <xdr:graphicFrame macro="">
          <xdr:nvGraphicFramePr>
            <xdr:cNvPr id="8" name="Chart 7">
              <a:extLst>
                <a:ext uri="{FF2B5EF4-FFF2-40B4-BE49-F238E27FC236}">
                  <a16:creationId xmlns:a16="http://schemas.microsoft.com/office/drawing/2014/main" id="{7B619EA2-BE00-894A-B076-C0466C919799}"/>
                </a:ext>
              </a:extLst>
            </xdr:cNvPr>
            <xdr:cNvGraphicFramePr>
              <a:graphicFrameLocks/>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101600" y="13233400"/>
              <a:ext cx="5544000" cy="3311999"/>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oneCellAnchor>
</xdr:wsDr>
</file>

<file path=xl/richData/_rels/rdRichValueWebImage.xml.rels><?xml version="1.0" encoding="UTF-8" standalone="yes"?>
<Relationships xmlns="http://schemas.openxmlformats.org/package/2006/relationships"><Relationship Id="rId8" Type="http://schemas.openxmlformats.org/officeDocument/2006/relationships/hyperlink" Target="https://www.bing.com/images/search?form=xlimg&amp;q=Brandenburg" TargetMode="External"/><Relationship Id="rId13" Type="http://schemas.openxmlformats.org/officeDocument/2006/relationships/hyperlink" Target="https://www.bing.com/th?id=OSK.q8ipaaou0irzylzuJT_2cGwkLTGGlN1nzAjCv0mMLWk&amp;qlt=95" TargetMode="External"/><Relationship Id="rId18" Type="http://schemas.openxmlformats.org/officeDocument/2006/relationships/hyperlink" Target="https://www.bing.com/images/search?form=xlimg&amp;q=Mecklenburg-Vorpommern" TargetMode="External"/><Relationship Id="rId26" Type="http://schemas.openxmlformats.org/officeDocument/2006/relationships/hyperlink" Target="https://www.bing.com/images/search?form=xlimg&amp;q=Saxony" TargetMode="External"/><Relationship Id="rId3" Type="http://schemas.openxmlformats.org/officeDocument/2006/relationships/hyperlink" Target="https://www.bing.com/th?id=OSK.PHTa9QO2wrse0j37sSjvu3QQf3b0bH7oQsKyun6LgpY&amp;qlt=95" TargetMode="External"/><Relationship Id="rId21" Type="http://schemas.openxmlformats.org/officeDocument/2006/relationships/hyperlink" Target="https://www.bing.com/th?id=OSK.ed95facaf16ea143c8d9a37cdbb1199a&amp;qlt=95" TargetMode="External"/><Relationship Id="rId7" Type="http://schemas.openxmlformats.org/officeDocument/2006/relationships/hyperlink" Target="https://www.bing.com/th?id=OSK.1f47d46b724ec8a58a758b1f19c59ef1&amp;qlt=95" TargetMode="External"/><Relationship Id="rId12" Type="http://schemas.openxmlformats.org/officeDocument/2006/relationships/hyperlink" Target="https://www.bing.com/images/search?form=xlimg&amp;q=Hamburg" TargetMode="External"/><Relationship Id="rId17" Type="http://schemas.openxmlformats.org/officeDocument/2006/relationships/hyperlink" Target="https://www.bing.com/th?id=OSK.FWEdXFuIlLFpeioS__UVUYuCTdr0Tvr5mZf4oSaW2FU&amp;qlt=95" TargetMode="External"/><Relationship Id="rId25" Type="http://schemas.openxmlformats.org/officeDocument/2006/relationships/hyperlink" Target="https://www.bing.com/th?id=OSK.Jnaf_afSF_ekVDzEGuFzyWcr0ui8vZBSY0ejwxUaJqk&amp;qlt=95" TargetMode="External"/><Relationship Id="rId2" Type="http://schemas.openxmlformats.org/officeDocument/2006/relationships/hyperlink" Target="https://www.bing.com/images/search?form=xlimg&amp;q=Baden-W%c3%bcrttemberg" TargetMode="External"/><Relationship Id="rId16" Type="http://schemas.openxmlformats.org/officeDocument/2006/relationships/hyperlink" Target="https://www.bing.com/images/search?form=xlimg&amp;q=Lower%20Saxony" TargetMode="External"/><Relationship Id="rId20" Type="http://schemas.openxmlformats.org/officeDocument/2006/relationships/hyperlink" Target="https://www.bing.com/images/search?form=xlimg&amp;q=North%20Rhine-Westphalia" TargetMode="External"/><Relationship Id="rId29" Type="http://schemas.openxmlformats.org/officeDocument/2006/relationships/hyperlink" Target="https://www.bing.com/th?id=OSK.Cr1SrwUTk0Nqf2ZCy45b4mmKEMYqw8XzmuzATnPCv8I&amp;qlt=95" TargetMode="External"/><Relationship Id="rId1" Type="http://schemas.openxmlformats.org/officeDocument/2006/relationships/hyperlink" Target="https://www.bing.com/th?id=OSK.OOt7ElPSyoLhi8xNfAzKW-l1cloY-9mntVwdkOeXzd0&amp;qlt=95" TargetMode="External"/><Relationship Id="rId6" Type="http://schemas.openxmlformats.org/officeDocument/2006/relationships/hyperlink" Target="https://www.bing.com/images/search?form=xlimg&amp;q=Berlin" TargetMode="External"/><Relationship Id="rId11" Type="http://schemas.openxmlformats.org/officeDocument/2006/relationships/hyperlink" Target="https://www.bing.com/th?id=OSK.4d3d6a309dd136998adb581c307a1d3a&amp;qlt=95" TargetMode="External"/><Relationship Id="rId24" Type="http://schemas.openxmlformats.org/officeDocument/2006/relationships/hyperlink" Target="https://www.bing.com/images/search?form=xlimg&amp;q=Saarland" TargetMode="External"/><Relationship Id="rId5" Type="http://schemas.openxmlformats.org/officeDocument/2006/relationships/hyperlink" Target="https://www.bing.com/th?id=OSK.a1512a61cf778ac466208259f8dc24f5&amp;qlt=95" TargetMode="External"/><Relationship Id="rId15" Type="http://schemas.openxmlformats.org/officeDocument/2006/relationships/hyperlink" Target="https://www.bing.com/th?id=OSK.b375baab95e32e36601a20a4ed323a73&amp;qlt=95" TargetMode="External"/><Relationship Id="rId23" Type="http://schemas.openxmlformats.org/officeDocument/2006/relationships/hyperlink" Target="https://www.bing.com/th?id=OSK.94a4884b2c73fcd347a80d6b3c036a97&amp;qlt=95" TargetMode="External"/><Relationship Id="rId28" Type="http://schemas.openxmlformats.org/officeDocument/2006/relationships/hyperlink" Target="https://www.bing.com/images/search?form=xlimg&amp;q=Saxony-Anhalt" TargetMode="External"/><Relationship Id="rId10" Type="http://schemas.openxmlformats.org/officeDocument/2006/relationships/hyperlink" Target="https://www.bing.com/images/search?form=xlimg&amp;q=Bremen%20(state)" TargetMode="External"/><Relationship Id="rId19" Type="http://schemas.openxmlformats.org/officeDocument/2006/relationships/hyperlink" Target="https://www.bing.com/th?id=OSK.SI-ZdQ7XngmKYXCKFOu2J7j6W7yy3st0Uu3vT9_8tdw&amp;qlt=95" TargetMode="External"/><Relationship Id="rId4" Type="http://schemas.openxmlformats.org/officeDocument/2006/relationships/hyperlink" Target="https://www.bing.com/images/search?form=xlimg&amp;q=Bavaria" TargetMode="External"/><Relationship Id="rId9" Type="http://schemas.openxmlformats.org/officeDocument/2006/relationships/hyperlink" Target="https://www.bing.com/th?id=OSK.e13870ca9e6e823ba1e274e02ccefa0f&amp;qlt=95" TargetMode="External"/><Relationship Id="rId14" Type="http://schemas.openxmlformats.org/officeDocument/2006/relationships/hyperlink" Target="https://www.bing.com/images/search?form=xlimg&amp;q=Hesse" TargetMode="External"/><Relationship Id="rId22" Type="http://schemas.openxmlformats.org/officeDocument/2006/relationships/hyperlink" Target="https://www.bing.com/images/search?form=xlimg&amp;q=Rhineland-Palatinate" TargetMode="External"/><Relationship Id="rId27" Type="http://schemas.openxmlformats.org/officeDocument/2006/relationships/hyperlink" Target="https://www.bing.com/th?id=OSK.a59d47b961ae27322366e72c541c772c&amp;qlt=95" TargetMode="External"/><Relationship Id="rId30" Type="http://schemas.openxmlformats.org/officeDocument/2006/relationships/hyperlink" Target="https://www.bing.com/images/search?form=xlimg&amp;q=Schleswig-Holstein" TargetMode="External"/></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2">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cvi">
          <flag name="ShowInCardView" value="0"/>
          <flag name="ShowInDotNotation" value="0"/>
          <flag name="ShowInAutoComplete" value="0"/>
          <flag name="ExcludeFromCalcComparison" value="1"/>
        </key>
      </keyFlags>
    </type>
    <type name="_linkedentity2core">
      <keyFlags>
        <key name="%EntityService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DataRetrievedTime">
          <flag name="ShowInCardView" value="0"/>
          <flag name="ShowInDotNotation" value="0"/>
          <flag name="ShowInAutoComplete" value="0"/>
          <flag name="ExcludeFromCalcComparison" value="1"/>
        </key>
        <key name="%EntityDomainIdString">
          <flag name="ShowInCardView" value="0"/>
          <flag name="ShowInDotNotation" value="0"/>
          <flag name="ShowInAutoComplete" value="0"/>
        </key>
        <key name="%InfoToolTipLabelNames">
          <flag name="ShowInCardView" value="0"/>
          <flag name="ShowInDotNotation" value="0"/>
          <flag name="ShowInAutoComplete" value="0"/>
        </key>
        <key name="%InfoToolTipLabelValues">
          <flag name="ShowInCardView" value="0"/>
          <flag name="ShowInDotNotation" value="0"/>
          <flag name="ShowInAutoComplete" value="0"/>
        </key>
        <key name="%InfoToolTipLabelValuesType">
          <flag name="ShowInCardView" value="0"/>
          <flag name="ShowInDotNotation" value="0"/>
          <flag name="ShowInAutoComplete" value="0"/>
        </key>
        <key name="%DataProviderString">
          <flag name="ShowInCardView" value="0"/>
          <flag name="ShowInDotNotation" value="0"/>
          <flag name="ShowInAutoComplete" value="0"/>
        </key>
        <key name="%ClassificationId">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 name="_webimage">
      <keyFlags>
        <key name="WebImageIdentifier">
          <flag name="ShowInCardView" value="0"/>
        </key>
      </keyFlags>
    </type>
  </types>
</rvTypesInfo>
</file>

<file path=xl/richData/rdRichValueWebImage.xml><?xml version="1.0" encoding="utf-8"?>
<webImagesSrd xmlns="http://schemas.microsoft.com/office/spreadsheetml/2020/richdatawebimage" xmlns:r="http://schemas.openxmlformats.org/officeDocument/2006/relationships">
  <webImageSrd>
    <address r:id="rId1"/>
    <moreImagesAddress r:id="rId2"/>
  </webImageSrd>
  <webImageSrd>
    <address r:id="rId3"/>
    <moreImagesAddress r:id="rId4"/>
  </webImageSrd>
  <webImageSrd>
    <address r:id="rId5"/>
    <moreImagesAddress r:id="rId6"/>
  </webImageSrd>
  <webImageSrd>
    <address r:id="rId7"/>
    <moreImagesAddress r:id="rId8"/>
  </webImageSrd>
  <webImageSrd>
    <address r:id="rId9"/>
    <moreImagesAddress r:id="rId10"/>
  </webImageSrd>
  <webImageSrd>
    <address r:id="rId11"/>
    <moreImagesAddress r:id="rId12"/>
  </webImageSrd>
  <webImageSrd>
    <address r:id="rId13"/>
    <moreImagesAddress r:id="rId14"/>
  </webImageSrd>
  <webImageSrd>
    <address r:id="rId15"/>
    <moreImagesAddress r:id="rId16"/>
  </webImageSrd>
  <webImageSrd>
    <address r:id="rId17"/>
    <moreImagesAddress r:id="rId18"/>
  </webImageSrd>
  <webImageSrd>
    <address r:id="rId19"/>
    <moreImagesAddress r:id="rId20"/>
  </webImageSrd>
  <webImageSrd>
    <address r:id="rId21"/>
    <moreImagesAddress r:id="rId22"/>
  </webImageSrd>
  <webImageSrd>
    <address r:id="rId23"/>
    <moreImagesAddress r:id="rId24"/>
  </webImageSrd>
  <webImageSrd>
    <address r:id="rId25"/>
    <moreImagesAddress r:id="rId26"/>
  </webImageSrd>
  <webImageSrd>
    <address r:id="rId27"/>
    <moreImagesAddress r:id="rId28"/>
  </webImageSrd>
  <webImageSrd>
    <address r:id="rId29"/>
    <moreImagesAddress r:id="rId30"/>
  </webImageSrd>
</webImagesSrd>
</file>

<file path=xl/richData/rdarray.xml><?xml version="1.0" encoding="utf-8"?>
<arrayData xmlns="http://schemas.microsoft.com/office/spreadsheetml/2017/richdata2" count="7">
  <a r="2">
    <v t="s">Standard German</v>
    <v t="s">Bavarian language</v>
  </a>
  <a r="1">
    <v t="s">Central European Time</v>
  </a>
  <a r="1">
    <v t="r">30</v>
  </a>
  <a r="1">
    <v t="s">German language</v>
  </a>
  <a r="2">
    <v t="s">UTC+02:00</v>
    <v t="s">UTC+01:00</v>
  </a>
  <a r="2">
    <v t="r">64</v>
    <v t="r">65</v>
  </a>
  <a r="1">
    <v t="r">121</v>
  </a>
</arrayData>
</file>

<file path=xl/richData/rdrichvalue.xml><?xml version="1.0" encoding="utf-8"?>
<rvData xmlns="http://schemas.microsoft.com/office/spreadsheetml/2017/richdata" count="168">
  <rv s="0">
    <v>536870912</v>
    <v>Baden-Württemberg</v>
    <v>e4767d1d-15fd-a8bd-1fcd-f8214d3c189f</v>
    <v>en-GB</v>
    <v>Map</v>
  </rv>
  <rv s="1">
    <fb>35751.65</fb>
    <v>10</v>
  </rv>
  <rv s="0">
    <v>536870912</v>
    <v>Stuttgart</v>
    <v>6323a450-61f6-0308-0285-94efb41bdd40</v>
    <v>en-GB</v>
    <v>Map</v>
  </rv>
  <rv s="0">
    <v>536870912</v>
    <v>Germany</v>
    <v>75c62d8e-1449-4e4d-b188-d9e88f878dd9</v>
    <v>en-GB</v>
    <v>Map</v>
  </rv>
  <rv s="1">
    <fb>4709228</fb>
    <v>10</v>
  </rv>
  <rv s="1">
    <fb>5049037</fb>
    <v>10</v>
  </rv>
  <rv s="2">
    <v>0</v>
    <v>8</v>
    <v>0</v>
    <v>7</v>
    <v>0</v>
    <v>Image of Baden-Württemberg</v>
  </rv>
  <rv s="3">
    <v>https://www.bing.com/search?q=baden-w%c3%bcrttemberg&amp;form=skydnc</v>
    <v>Learn more on Bing</v>
  </rv>
  <rv s="1">
    <fb>2.23</fb>
    <v>11</v>
  </rv>
  <rv s="1">
    <fb>11069533</fb>
    <v>10</v>
  </rv>
  <rv s="4">
    <v>#VALUE!</v>
    <v>3</v>
    <v>4</v>
    <v>Baden-Württemberg</v>
    <v>6</v>
    <v>7</v>
    <v>Map</v>
    <v>8</v>
    <v>9</v>
    <v>en-GB</v>
    <v>e4767d1d-15fd-a8bd-1fcd-f8214d3c189f</v>
    <v>536870912</v>
    <v>1</v>
    <v>DE-BW</v>
    <v>1</v>
    <v>2</v>
    <v>3</v>
    <v>Baden-Württemberg, commonly shortened to BW or BaWü, is a German state in Southwest Germany, east of the Rhine, which forms the southern part of Germany's western border with France. With more than 11.07 million inhabitants as of 2019 across a ...</v>
    <v>4</v>
    <v>5</v>
    <v>6</v>
    <v>2</v>
    <v>7</v>
    <v>Baden-Württemberg</v>
    <v>8</v>
    <v>9</v>
    <v>Baden-Württemberg</v>
    <v>mdp/vdpid/2537</v>
  </rv>
  <rv s="0">
    <v>536870912</v>
    <v>Bavaria</v>
    <v>e4f7e69f-e1bc-189a-d23d-b2ecee6a88d5</v>
    <v>en-GB</v>
    <v>Map</v>
  </rv>
  <rv s="1">
    <fb>70551</fb>
    <v>10</v>
  </rv>
  <rv s="0">
    <v>536870912</v>
    <v>Munich</v>
    <v>7f38f401-452d-d25b-059c-487e14b70a85</v>
    <v>en-GB</v>
    <v>Map</v>
  </rv>
  <rv s="0">
    <v>536870912</v>
    <v>Weimar Republic</v>
    <v>1b97a3af-5813-4734-bd56-920f4af2449c</v>
    <v>en-GB</v>
    <v>Map</v>
  </rv>
  <rv s="1">
    <fb>5679508</fb>
    <v>10</v>
  </rv>
  <rv s="1">
    <fb>6058211</fb>
    <v>10</v>
  </rv>
  <rv s="2">
    <v>1</v>
    <v>8</v>
    <v>12</v>
    <v>7</v>
    <v>0</v>
    <v>Image of Bavaria</v>
  </rv>
  <rv s="3">
    <v>https://www.bing.com/search?q=bavaria+germany&amp;form=skydnc</v>
    <v>Learn more on Bing</v>
  </rv>
  <rv s="5">
    <v>0</v>
  </rv>
  <rv s="1">
    <fb>2.1800000000000002</fb>
    <v>11</v>
  </rv>
  <rv s="1">
    <fb>13124737</fb>
    <v>10</v>
  </rv>
  <rv s="5">
    <v>1</v>
  </rv>
  <rv s="6">
    <v>#VALUE!</v>
    <v>14</v>
    <v>15</v>
    <v>Bavaria</v>
    <v>6</v>
    <v>7</v>
    <v>Map</v>
    <v>8</v>
    <v>16</v>
    <v>en-GB</v>
    <v>e4f7e69f-e1bc-189a-d23d-b2ecee6a88d5</v>
    <v>536870912</v>
    <v>1</v>
    <v>DE-BY</v>
    <v>12</v>
    <v>13</v>
    <v>14</v>
    <v>Bavaria, officially the Free State of Bavaria, is a state in the south-east of Germany. With an area of 70,550.19 km², Bavaria is the largest German state by land area, comprising roughly a fifth of the total land area of Germany. With over 13 ...</v>
    <v>15</v>
    <v>16</v>
    <v>17</v>
    <v>13</v>
    <v>18</v>
    <v>Bavaria</v>
    <v>19</v>
    <v>20</v>
    <v>21</v>
    <v>22</v>
    <v>Bavaria</v>
    <v>mdp/vdpid/8255245</v>
  </rv>
  <rv s="0">
    <v>536870912</v>
    <v>Berlin</v>
    <v>42784943-7c23-7672-5527-06f89b965cdf</v>
    <v>en-GB</v>
    <v>Map</v>
  </rv>
  <rv s="1">
    <fb>891.12</fb>
    <v>10</v>
  </rv>
  <rv s="0">
    <v>536870912</v>
    <v>North German Confederation</v>
    <v>0fdff00d-df45-056a-304e-eca9fa962669</v>
    <v>en-GB</v>
    <v>Map</v>
  </rv>
  <rv s="1">
    <fb>1794936</fb>
    <v>10</v>
  </rv>
  <rv s="1">
    <fb>1868905</fb>
    <v>10</v>
  </rv>
  <rv s="2">
    <v>2</v>
    <v>8</v>
    <v>17</v>
    <v>7</v>
    <v>0</v>
    <v>Image of Berlin</v>
  </rv>
  <rv s="0">
    <v>805306368</v>
    <v>Franziska Giffey (Mayor)</v>
    <v>0f36a115-cd69-74b0-1ad8-5ee6074d7916</v>
    <v>en-GB</v>
    <v>Generic</v>
  </rv>
  <rv s="5">
    <v>2</v>
  </rv>
  <rv s="3">
    <v>https://www.bing.com/search?q=berlin+germany&amp;form=skydnc</v>
    <v>Learn more on Bing</v>
  </rv>
  <rv s="5">
    <v>3</v>
  </rv>
  <rv s="1">
    <fb>1.83</fb>
    <v>11</v>
  </rv>
  <rv s="1">
    <fb>3755251</fb>
    <v>10</v>
  </rv>
  <rv s="7">
    <v>#VALUE!</v>
    <v>19</v>
    <v>20</v>
    <v>Berlin</v>
    <v>6</v>
    <v>7</v>
    <v>Map</v>
    <v>8</v>
    <v>21</v>
    <v>en-GB</v>
    <v>42784943-7c23-7672-5527-06f89b965cdf</v>
    <v>536870912</v>
    <v>1</v>
    <v>DE-BE</v>
    <v>25</v>
    <v>26</v>
    <v>Berlin is the capital and largest city of Germany by both area and population. Its more than 3.85 million inhabitants make it the European Union's most populous city, according to population within city limits. One of Germany's sixteen ...</v>
    <v>27</v>
    <v>28</v>
    <v>29</v>
    <v>31</v>
    <v>32</v>
    <v>Berlin</v>
    <v>33</v>
    <v>34</v>
    <v>35</v>
    <v>Berlin</v>
    <v>mdp/vdpid/7017957146650214401</v>
  </rv>
  <rv s="0">
    <v>536870912</v>
    <v>Brandenburg</v>
    <v>c841173c-24ae-1249-8be1-c2ff2ec02111</v>
    <v>en-GB</v>
    <v>Map</v>
  </rv>
  <rv s="1">
    <fb>29478.63</fb>
    <v>10</v>
  </rv>
  <rv s="0">
    <v>536870912</v>
    <v>Potsdam</v>
    <v>8f8e6665-06cf-c444-7bab-197052cf61c8</v>
    <v>en-GB</v>
    <v>Map</v>
  </rv>
  <rv s="0">
    <v>536870912</v>
    <v>Germany</v>
    <v>2909b0d8-c6de-425d-2303-256336ada04f</v>
    <v>en-GB</v>
    <v>Map</v>
  </rv>
  <rv s="1">
    <fb>1182470</fb>
    <v>10</v>
  </rv>
  <rv s="1">
    <fb>1275510</fb>
    <v>10</v>
  </rv>
  <rv s="2">
    <v>3</v>
    <v>8</v>
    <v>22</v>
    <v>7</v>
    <v>0</v>
    <v>Image of Brandenburg</v>
  </rv>
  <rv s="3">
    <v>https://www.bing.com/search?q=brandenburg&amp;form=skydnc</v>
    <v>Learn more on Bing</v>
  </rv>
  <rv s="1">
    <fb>2.08</fb>
    <v>11</v>
  </rv>
  <rv s="1">
    <fb>2556747</fb>
    <v>10</v>
  </rv>
  <rv s="5">
    <v>4</v>
  </rv>
  <rv s="8">
    <v>#VALUE!</v>
    <v>25</v>
    <v>26</v>
    <v>Brandenburg</v>
    <v>6</v>
    <v>7</v>
    <v>Map</v>
    <v>8</v>
    <v>27</v>
    <v>en-GB</v>
    <v>c841173c-24ae-1249-8be1-c2ff2ec02111</v>
    <v>536870912</v>
    <v>1</v>
    <v>DE-BB</v>
    <v>38</v>
    <v>39</v>
    <v>40</v>
    <v>Brandenburg, officially the State of Brandenburg, is a landlocked state in northeastern Germany. Brandenburg borders Poland and the states of Berlin, Mecklenburg-Vorpommern, Lower Saxony, Saxony-Anhalt, and Saxony. It is the fifth-largest German ...</v>
    <v>41</v>
    <v>42</v>
    <v>43</v>
    <v>39</v>
    <v>44</v>
    <v>Brandenburg</v>
    <v>45</v>
    <v>46</v>
    <v>47</v>
    <v>Brandenburg</v>
    <v>mdp/vdpid/8248738</v>
  </rv>
  <rv s="0">
    <v>536870912</v>
    <v>Bremen</v>
    <v>70a6262d-6ded-6a1a-8a3d-e24538d50a05</v>
    <v>en-GB</v>
    <v>Map</v>
  </rv>
  <rv s="1">
    <fb>419.38</fb>
    <v>10</v>
  </rv>
  <rv s="0">
    <v>536870912</v>
    <v>Bremen</v>
    <v>4967dd9c-327f-ff07-e2e6-cdfc773ecd1e</v>
    <v>en-GB</v>
    <v>Map</v>
  </rv>
  <rv s="1">
    <fb>331078</fb>
    <v>10</v>
  </rv>
  <rv s="1">
    <fb>347340</fb>
    <v>10</v>
  </rv>
  <rv s="2">
    <v>4</v>
    <v>8</v>
    <v>28</v>
    <v>7</v>
    <v>0</v>
    <v>Image of Bremen</v>
  </rv>
  <rv s="3">
    <v>https://www.bing.com/search?q=bremen+state&amp;form=skydnc</v>
    <v>Learn more on Bing</v>
  </rv>
  <rv s="1">
    <fb>1.97</fb>
    <v>11</v>
  </rv>
  <rv s="1">
    <fb>661000</fb>
    <v>10</v>
  </rv>
  <rv s="4">
    <v>#VALUE!</v>
    <v>30</v>
    <v>4</v>
    <v>Bremen</v>
    <v>6</v>
    <v>7</v>
    <v>Map</v>
    <v>8</v>
    <v>31</v>
    <v>en-GB</v>
    <v>70a6262d-6ded-6a1a-8a3d-e24538d50a05</v>
    <v>536870912</v>
    <v>1</v>
    <v>DE-HB</v>
    <v>50</v>
    <v>51</v>
    <v>14</v>
    <v>Bremen, officially the Free Hanseatic City of Bremen, is the smallest and least populous of Germany's 16 states. It is informally called Land Bremen, although the term is sometimes used in official contexts. The state consists of the city of ...</v>
    <v>52</v>
    <v>53</v>
    <v>54</v>
    <v>51</v>
    <v>55</v>
    <v>Bremen</v>
    <v>56</v>
    <v>57</v>
    <v>Bremen</v>
    <v>mdp/vdpid/41760</v>
  </rv>
  <rv s="0">
    <v>536870912</v>
    <v>Hamburg</v>
    <v>0937ec8c-54f7-94c7-d7b8-0ea8c6cfce6f</v>
    <v>en-GB</v>
    <v>Map</v>
  </rv>
  <rv s="1">
    <fb>755.09</fb>
    <v>10</v>
  </rv>
  <rv s="1">
    <fb>876502</fb>
    <v>10</v>
  </rv>
  <rv s="1">
    <fb>905782</fb>
    <v>10</v>
  </rv>
  <rv s="2">
    <v>5</v>
    <v>8</v>
    <v>32</v>
    <v>7</v>
    <v>0</v>
    <v>Image of Hamburg</v>
  </rv>
  <rv s="0">
    <v>805306368</v>
    <v>Peter Tschentscher (Mayor)</v>
    <v>2a23602d-45be-0630-2650-95fb175275d3</v>
    <v>en-GB</v>
    <v>Generic</v>
  </rv>
  <rv s="0">
    <v>805306368</v>
    <v>Katharina Fegebank (Mayor)</v>
    <v>c377ae49-ff24-92fa-c4f2-73ce1e206693</v>
    <v>en-GB</v>
    <v>Generic</v>
  </rv>
  <rv s="5">
    <v>5</v>
  </rv>
  <rv s="3">
    <v>https://www.bing.com/search?q=hamburg+germany&amp;form=skydnc</v>
    <v>Learn more on Bing</v>
  </rv>
  <rv s="1">
    <fb>1.95</fb>
    <v>11</v>
  </rv>
  <rv s="1">
    <fb>1892122</fb>
    <v>10</v>
  </rv>
  <rv s="9">
    <v>#VALUE!</v>
    <v>34</v>
    <v>35</v>
    <v>Hamburg</v>
    <v>6</v>
    <v>7</v>
    <v>Map</v>
    <v>8</v>
    <v>21</v>
    <v>en-GB</v>
    <v>0937ec8c-54f7-94c7-d7b8-0ea8c6cfce6f</v>
    <v>536870912</v>
    <v>1</v>
    <v>DE-HH</v>
    <v>60</v>
    <v>26</v>
    <v>Hamburg, officially the Free and Hanseatic City of Hamburg, is the second-largest city in Germany after Berlin, as well as the overall 8th-largest city and largest non-capital city within the European Union with a population of over 1.9 million. ...</v>
    <v>61</v>
    <v>62</v>
    <v>63</v>
    <v>66</v>
    <v>67</v>
    <v>Hamburg</v>
    <v>68</v>
    <v>69</v>
    <v>Hamburg</v>
    <v>mdp/vdpid/7010772237493993473</v>
  </rv>
  <rv s="0">
    <v>536870912</v>
    <v>Hesse</v>
    <v>90fbe078-3753-40db-ff12-40aa58e76c5f</v>
    <v>en-GB</v>
    <v>Map</v>
  </rv>
  <rv s="1">
    <fb>21100</fb>
    <v>10</v>
  </rv>
  <rv s="0">
    <v>536870912</v>
    <v>Wiesbaden</v>
    <v>02543f78-c4b6-5ca8-1ebf-df5ce4a9c1db</v>
    <v>en-GB</v>
    <v>Map</v>
  </rv>
  <rv s="1">
    <fb>2751100</fb>
    <v>10</v>
  </rv>
  <rv s="1">
    <fb>2925152</fb>
    <v>10</v>
  </rv>
  <rv s="2">
    <v>6</v>
    <v>8</v>
    <v>36</v>
    <v>7</v>
    <v>0</v>
    <v>Image of Hesse</v>
  </rv>
  <rv s="0">
    <v>536870912</v>
    <v>Frankfurt am Main</v>
    <v>f8c5588a-2360-3601-8d88-1b98e4763711</v>
    <v>en-GB</v>
    <v>Map</v>
  </rv>
  <rv s="3">
    <v>https://www.bing.com/search?q=hesse&amp;form=skydnc</v>
    <v>Learn more on Bing</v>
  </rv>
  <rv s="1">
    <fb>2.17</fb>
    <v>11</v>
  </rv>
  <rv s="1">
    <fb>6265809</fb>
    <v>10</v>
  </rv>
  <rv s="4">
    <v>#VALUE!</v>
    <v>39</v>
    <v>4</v>
    <v>Hesse</v>
    <v>6</v>
    <v>7</v>
    <v>Map</v>
    <v>8</v>
    <v>9</v>
    <v>en-GB</v>
    <v>90fbe078-3753-40db-ff12-40aa58e76c5f</v>
    <v>536870912</v>
    <v>1</v>
    <v>DE-HE</v>
    <v>72</v>
    <v>73</v>
    <v>3</v>
    <v>Hesse or Hessia, officially the State of Hesse, is a state in Germany. Its capital city is Wiesbaden, and the largest urban area is Frankfurt, which is also the country's principal financial centre. Two other major historic cities are Darmstadt ...</v>
    <v>74</v>
    <v>75</v>
    <v>76</v>
    <v>77</v>
    <v>78</v>
    <v>Hesse</v>
    <v>79</v>
    <v>80</v>
    <v>Hesse</v>
    <v>mdp/vdpid/8208586</v>
  </rv>
  <rv s="0">
    <v>536870912</v>
    <v>Lower Saxony</v>
    <v>c91589e2-9db8-e9f2-b60d-1000c3502bc2</v>
    <v>en-GB</v>
    <v>Map</v>
  </rv>
  <rv s="1">
    <fb>47614.07</fb>
    <v>10</v>
  </rv>
  <rv s="0">
    <v>536870912</v>
    <v>Hanover</v>
    <v>8cbec06b-1881-ae51-6d9c-230e82b37dd8</v>
    <v>en-GB</v>
    <v>Map</v>
  </rv>
  <rv s="1">
    <fb>3517840</fb>
    <v>10</v>
  </rv>
  <rv s="1">
    <fb>3816626</fb>
    <v>10</v>
  </rv>
  <rv s="2">
    <v>7</v>
    <v>8</v>
    <v>40</v>
    <v>7</v>
    <v>0</v>
    <v>Image of Lower Saxony</v>
  </rv>
  <rv s="3">
    <v>https://www.bing.com/search?q=lower+saxony&amp;form=skydnc</v>
    <v>Learn more on Bing</v>
  </rv>
  <rv s="1">
    <fb>2.21</fb>
    <v>11</v>
  </rv>
  <rv s="1">
    <fb>7982448</fb>
    <v>10</v>
  </rv>
  <rv s="4">
    <v>#VALUE!</v>
    <v>43</v>
    <v>4</v>
    <v>Lower Saxony</v>
    <v>6</v>
    <v>7</v>
    <v>Map</v>
    <v>8</v>
    <v>9</v>
    <v>en-GB</v>
    <v>c91589e2-9db8-e9f2-b60d-1000c3502bc2</v>
    <v>536870912</v>
    <v>1</v>
    <v>DE-NI</v>
    <v>83</v>
    <v>84</v>
    <v>3</v>
    <v>Lower Saxony is a German state in northwestern Germany. It is the second-largest state by land area, with 47,614 km², and fourth-largest in population among the 16 Länder federated as the Federal Republic of Germany. In rural areas, Northern Low ...</v>
    <v>85</v>
    <v>86</v>
    <v>87</v>
    <v>84</v>
    <v>88</v>
    <v>Lower Saxony</v>
    <v>89</v>
    <v>90</v>
    <v>Lower Saxony</v>
    <v>mdp/vdpid/23331</v>
  </rv>
  <rv s="0">
    <v>536870912</v>
    <v>Mecklenburg-Vorpommern</v>
    <v>b0adc1b4-6fe2-3ad0-81e1-78c9ba53cedb</v>
    <v>en-GB</v>
    <v>Map</v>
  </rv>
  <rv s="1">
    <fb>23174</fb>
    <v>10</v>
  </rv>
  <rv s="0">
    <v>536870912</v>
    <v>Schwerin</v>
    <v>db6e2483-5bb5-ae5b-eea6-5e7832e57c60</v>
    <v>en-GB</v>
    <v>Map</v>
  </rv>
  <rv s="1">
    <fb>803002</fb>
    <v>10</v>
  </rv>
  <rv s="1">
    <fb>877014</fb>
    <v>10</v>
  </rv>
  <rv s="2">
    <v>8</v>
    <v>8</v>
    <v>44</v>
    <v>7</v>
    <v>0</v>
    <v>Image of Mecklenburg-Vorpommern</v>
  </rv>
  <rv s="0">
    <v>536870912</v>
    <v>Rostock</v>
    <v>24eab0bd-c5cc-d320-e384-08370cdc8d63</v>
    <v>en-GB</v>
    <v>Map</v>
  </rv>
  <rv s="3">
    <v>https://www.bing.com/search?q=mecklenburg-vorpommern&amp;form=skydnc</v>
    <v>Learn more on Bing</v>
  </rv>
  <rv s="1">
    <fb>2</fb>
    <v>11</v>
  </rv>
  <rv s="1">
    <fb>1628378</fb>
    <v>10</v>
  </rv>
  <rv s="4">
    <v>#VALUE!</v>
    <v>47</v>
    <v>4</v>
    <v>Mecklenburg-Vorpommern</v>
    <v>6</v>
    <v>7</v>
    <v>Map</v>
    <v>8</v>
    <v>21</v>
    <v>en-GB</v>
    <v>b0adc1b4-6fe2-3ad0-81e1-78c9ba53cedb</v>
    <v>536870912</v>
    <v>1</v>
    <v>DE-MV</v>
    <v>93</v>
    <v>94</v>
    <v>3</v>
    <v>Mecklenburg-Vorpommern ; also known by its anglicized name Mecklenburg–Western Pomerania, is a state in the north-east of Germany. Of the country's sixteen states, Mecklenburg-Vorpommern ranks 14th in population; it covers an area of 23,213 km², ...</v>
    <v>95</v>
    <v>96</v>
    <v>97</v>
    <v>98</v>
    <v>99</v>
    <v>Mecklenburg-Vorpommern</v>
    <v>100</v>
    <v>101</v>
    <v>Mecklenburg-Vorpommern</v>
    <v>mdp/vdpid/8175722</v>
  </rv>
  <rv s="0">
    <v>536870912</v>
    <v>North Rhine-Westphalia</v>
    <v>7192ac29-308b-9018-2da7-1d16b5afb233</v>
    <v>en-GB</v>
    <v>Map</v>
  </rv>
  <rv s="1">
    <fb>34112.519999999997</fb>
    <v>10</v>
  </rv>
  <rv s="0">
    <v>536870912</v>
    <v>Düsseldorf</v>
    <v>33a4f320-ea2a-2172-d7c1-31073fc29598</v>
    <v>en-GB</v>
    <v>Map</v>
  </rv>
  <rv s="1">
    <fb>8130738</fb>
    <v>10</v>
  </rv>
  <rv s="1">
    <fb>8719851</fb>
    <v>10</v>
  </rv>
  <rv s="2">
    <v>9</v>
    <v>8</v>
    <v>48</v>
    <v>7</v>
    <v>0</v>
    <v>Image of North Rhine-Westphalia</v>
  </rv>
  <rv s="0">
    <v>536870912</v>
    <v>Cologne</v>
    <v>3d208265-8862-6a4c-8a0e-9c0291fae4ee</v>
    <v>en-GB</v>
    <v>Map</v>
  </rv>
  <rv s="3">
    <v>https://www.bing.com/search?q=north+rhine-westphalia&amp;form=skydnc</v>
    <v>Learn more on Bing</v>
  </rv>
  <rv s="1">
    <fb>2.16</fb>
    <v>11</v>
  </rv>
  <rv s="1">
    <fb>17932651</fb>
    <v>10</v>
  </rv>
  <rv s="4">
    <v>#VALUE!</v>
    <v>50</v>
    <v>4</v>
    <v>North Rhine-Westphalia</v>
    <v>6</v>
    <v>7</v>
    <v>Map</v>
    <v>8</v>
    <v>9</v>
    <v>en-GB</v>
    <v>7192ac29-308b-9018-2da7-1d16b5afb233</v>
    <v>536870912</v>
    <v>1</v>
    <v>DE-NW</v>
    <v>104</v>
    <v>105</v>
    <v>3</v>
    <v>North Rhine-Westphalia or North-Rhine/Westphalia, commonly shortened to NRW, is a state in Western Germany. With more than 18 million inhabitants, it is the most populous state in Germany. Apart from the city-states, it is also the most densely ...</v>
    <v>106</v>
    <v>107</v>
    <v>108</v>
    <v>109</v>
    <v>110</v>
    <v>North Rhine-Westphalia</v>
    <v>111</v>
    <v>112</v>
    <v>North Rhine-Westphalia</v>
    <v>mdp/vdpid/8164991</v>
  </rv>
  <rv s="0">
    <v>536870912</v>
    <v>Rhineland-Palatinate</v>
    <v>b2634da1-26f3-4709-d63d-9f9489a33d9c</v>
    <v>en-GB</v>
    <v>Map</v>
  </rv>
  <rv s="1">
    <fb>19853.36</fb>
    <v>10</v>
  </rv>
  <rv s="0">
    <v>536870912</v>
    <v>Mainz</v>
    <v>06b36c22-b533-291b-5735-d911574f1fc7</v>
    <v>en-GB</v>
    <v>Map</v>
  </rv>
  <rv s="0">
    <v>536870912</v>
    <v>French occupation zone in Germany</v>
    <v>0d2db827-4020-1779-0c71-bfaf8bd12a87</v>
    <v>en-GB</v>
    <v>Map</v>
  </rv>
  <rv s="1">
    <fb>1789030</fb>
    <v>10</v>
  </rv>
  <rv s="1">
    <fb>2002890</fb>
    <v>10</v>
  </rv>
  <rv s="2">
    <v>10</v>
    <v>8</v>
    <v>51</v>
    <v>7</v>
    <v>0</v>
    <v>Image of Rhineland-Palatinate</v>
  </rv>
  <rv s="0">
    <v>805306368</v>
    <v>Malu Dreyer (Prime Minister)</v>
    <v>98b268ad-3031-44e9-aed9-56103005bc18</v>
    <v>en-GB</v>
    <v>Generic</v>
  </rv>
  <rv s="5">
    <v>6</v>
  </rv>
  <rv s="3">
    <v>https://www.bing.com/search?q=rhineland-palatinate&amp;form=skydnc</v>
    <v>Learn more on Bing</v>
  </rv>
  <rv s="1">
    <fb>4084844</fb>
    <v>10</v>
  </rv>
  <rv s="10">
    <v>#VALUE!</v>
    <v>54</v>
    <v>55</v>
    <v>Rhineland-Palatinate</v>
    <v>6</v>
    <v>7</v>
    <v>Map</v>
    <v>8</v>
    <v>9</v>
    <v>en-GB</v>
    <v>b2634da1-26f3-4709-d63d-9f9489a33d9c</v>
    <v>536870912</v>
    <v>1</v>
    <v>DE-RP</v>
    <v>115</v>
    <v>116</v>
    <v>117</v>
    <v>Rhineland-Palatinate is a western state of Germany. It covers 19,846 km² and has about 4.05 million residents. It is the ninth largest and sixth most populous of the sixteen states. Mainz is the capital and largest city. Other cities are ...</v>
    <v>118</v>
    <v>119</v>
    <v>120</v>
    <v>116</v>
    <v>122</v>
    <v>123</v>
    <v>Rhineland-Palatinate</v>
    <v>8</v>
    <v>124</v>
    <v>Rhineland-Palatinate</v>
    <v>mdp/vdpid/27654</v>
  </rv>
  <rv s="0">
    <v>536870912</v>
    <v>Saarland</v>
    <v>077b3058-0078-d492-aee0-52b8d21ee39e</v>
    <v>en-GB</v>
    <v>Map</v>
  </rv>
  <rv s="1">
    <fb>2570</fb>
    <v>10</v>
  </rv>
  <rv s="0">
    <v>536870912</v>
    <v>Saarbrücken</v>
    <v>2088b471-d8b4-cd5d-11f9-fa7d193c9770</v>
    <v>en-GB</v>
    <v>Map</v>
  </rv>
  <rv s="1">
    <fb>459853</fb>
    <v>10</v>
  </rv>
  <rv s="1">
    <fb>503323</fb>
    <v>10</v>
  </rv>
  <rv s="2">
    <v>11</v>
    <v>8</v>
    <v>56</v>
    <v>7</v>
    <v>0</v>
    <v>Image of Saarland</v>
  </rv>
  <rv s="0">
    <v>536870912</v>
    <v>Neunkirchen</v>
    <v>6d5a1a7d-ac39-75ad-2f39-dbb5e502dee6</v>
    <v>en-GB</v>
    <v>Map</v>
  </rv>
  <rv s="3">
    <v>https://www.bing.com/search?q=saarland&amp;form=skydnc</v>
    <v>Learn more on Bing</v>
  </rv>
  <rv s="1">
    <fb>986887</fb>
    <v>10</v>
  </rv>
  <rv s="4">
    <v>#VALUE!</v>
    <v>59</v>
    <v>4</v>
    <v>Saarland</v>
    <v>6</v>
    <v>7</v>
    <v>Map</v>
    <v>8</v>
    <v>16</v>
    <v>en-GB</v>
    <v>077b3058-0078-d492-aee0-52b8d21ee39e</v>
    <v>536870912</v>
    <v>1</v>
    <v>DE-SL</v>
    <v>127</v>
    <v>128</v>
    <v>3</v>
    <v>Saarland is a state of Germany in the southwest of the country. With an area of 2,570 km² and population of 990,509 in 2018, it is the smallest German state in area apart from the city-states of Berlin, Bremen, and Hamburg, and the smallest in ...</v>
    <v>129</v>
    <v>130</v>
    <v>131</v>
    <v>132</v>
    <v>133</v>
    <v>Saarland</v>
    <v>79</v>
    <v>134</v>
    <v>Saarland</v>
    <v>mdp/vdpid/28479</v>
  </rv>
  <rv s="0">
    <v>536870912</v>
    <v>Saxony</v>
    <v>db04ed86-d227-952f-dbae-2881e92d2d0a</v>
    <v>en-GB</v>
    <v>Map</v>
  </rv>
  <rv s="1">
    <fb>18415.66</fb>
    <v>10</v>
  </rv>
  <rv s="0">
    <v>536870912</v>
    <v>Dresden</v>
    <v>491f25a2-d7d3-715c-d4ca-3d32d56a7670</v>
    <v>en-GB</v>
    <v>Map</v>
  </rv>
  <rv s="1">
    <fb>2048482</fb>
    <v>10</v>
  </rv>
  <rv s="1">
    <fb>2325844</fb>
    <v>10</v>
  </rv>
  <rv s="2">
    <v>12</v>
    <v>8</v>
    <v>60</v>
    <v>7</v>
    <v>0</v>
    <v>Image of Saxony</v>
  </rv>
  <rv s="0">
    <v>536870912</v>
    <v>Leipzig</v>
    <v>ff50f94c-10e8-9487-0ea8-49b8334c589c</v>
    <v>en-GB</v>
    <v>Map</v>
  </rv>
  <rv s="3">
    <v>https://www.bing.com/search?q=saxony&amp;form=skydnc</v>
    <v>Learn more on Bing</v>
  </rv>
  <rv s="1">
    <fb>1.98</fb>
    <v>11</v>
  </rv>
  <rv s="1">
    <fb>4086218</fb>
    <v>10</v>
  </rv>
  <rv s="4">
    <v>#VALUE!</v>
    <v>63</v>
    <v>4</v>
    <v>Saxony</v>
    <v>6</v>
    <v>7</v>
    <v>Map</v>
    <v>8</v>
    <v>21</v>
    <v>en-GB</v>
    <v>db04ed86-d227-952f-dbae-2881e92d2d0a</v>
    <v>536870912</v>
    <v>1</v>
    <v>DE-SN</v>
    <v>137</v>
    <v>138</v>
    <v>3</v>
    <v>Saxony, officially the Free State of Saxony, is a landlocked state of Germany, bordering the states of Brandenburg, Saxony-Anhalt, Thuringia, Bavaria, as well as the countries of Poland and the Czech Republic. Its capital is Dresden, and its ...</v>
    <v>139</v>
    <v>140</v>
    <v>141</v>
    <v>142</v>
    <v>143</v>
    <v>Saxony</v>
    <v>144</v>
    <v>145</v>
    <v>Saxony</v>
    <v>mdp/vdpid/8145598</v>
  </rv>
  <rv s="0">
    <v>536870912</v>
    <v>Saxony-Anhalt</v>
    <v>6af91c75-020d-7d63-0e2d-ab73f9f73280</v>
    <v>en-GB</v>
    <v>Map</v>
  </rv>
  <rv s="1">
    <fb>20454</fb>
    <v>10</v>
  </rv>
  <rv s="0">
    <v>536870912</v>
    <v>Magdeburg</v>
    <v>6b436202-9997-300f-81f6-a3a14c1faf6f</v>
    <v>en-GB</v>
    <v>Map</v>
  </rv>
  <rv s="1">
    <fb>1127332</fb>
    <v>10</v>
  </rv>
  <rv s="1">
    <fb>1289856</fb>
    <v>10</v>
  </rv>
  <rv s="2">
    <v>13</v>
    <v>8</v>
    <v>64</v>
    <v>7</v>
    <v>0</v>
    <v>Image of Saxony-Anhalt</v>
  </rv>
  <rv s="0">
    <v>536870912</v>
    <v>Halle (Saale)</v>
    <v>9e837cd0-512a-b10c-a9d0-aacc86a0c940</v>
    <v>en-GB</v>
    <v>Map</v>
  </rv>
  <rv s="3">
    <v>https://www.bing.com/search?q=saxony-anhalt&amp;form=skydnc</v>
    <v>Learn more on Bing</v>
  </rv>
  <rv s="1">
    <fb>2.0299999999999998</fb>
    <v>11</v>
  </rv>
  <rv s="1">
    <fb>2194782</fb>
    <v>10</v>
  </rv>
  <rv s="4">
    <v>#VALUE!</v>
    <v>67</v>
    <v>4</v>
    <v>Saxony-Anhalt</v>
    <v>6</v>
    <v>7</v>
    <v>Map</v>
    <v>8</v>
    <v>16</v>
    <v>en-GB</v>
    <v>6af91c75-020d-7d63-0e2d-ab73f9f73280</v>
    <v>536870912</v>
    <v>1</v>
    <v>DE-ST</v>
    <v>148</v>
    <v>149</v>
    <v>3</v>
    <v>Saxony-Anhalt is a state of Germany, bordering the states of Brandenburg, Saxony, Thuringia and Lower Saxony. It covers an area of 20,451.7 square kilometres and has a population of 2.17 million inhabitants, making it the 8th-largest state in ...</v>
    <v>150</v>
    <v>151</v>
    <v>152</v>
    <v>153</v>
    <v>154</v>
    <v>Saxony-Anhalt</v>
    <v>155</v>
    <v>156</v>
    <v>Saxony-Anhalt</v>
    <v>mdp/vdpid/8145597</v>
  </rv>
  <rv s="0">
    <v>536870912</v>
    <v>Schleswig-Holstein</v>
    <v>6dde426c-96c7-18bd-f4e1-b41b7575557a</v>
    <v>en-GB</v>
    <v>Map</v>
  </rv>
  <rv s="1">
    <fb>15804.28</fb>
    <v>10</v>
  </rv>
  <rv s="0">
    <v>536870912</v>
    <v>Kiel</v>
    <v>f2218f64-d98f-3cab-60d5-8f0d625f9ddf</v>
    <v>en-GB</v>
    <v>Map</v>
  </rv>
  <rv s="1">
    <fb>1316303</fb>
    <v>10</v>
  </rv>
  <rv s="1">
    <fb>1417948</fb>
    <v>10</v>
  </rv>
  <rv s="2">
    <v>14</v>
    <v>8</v>
    <v>68</v>
    <v>7</v>
    <v>0</v>
    <v>Image of Schleswig-Holstein</v>
  </rv>
  <rv s="3">
    <v>https://www.bing.com/search?q=schleswig-holstein&amp;form=skydnc</v>
    <v>Learn more on Bing</v>
  </rv>
  <rv s="1">
    <fb>2.13</fb>
    <v>11</v>
  </rv>
  <rv s="1">
    <fb>2953270</fb>
    <v>10</v>
  </rv>
  <rv s="4">
    <v>#VALUE!</v>
    <v>71</v>
    <v>4</v>
    <v>Schleswig-Holstein</v>
    <v>6</v>
    <v>7</v>
    <v>Map</v>
    <v>8</v>
    <v>21</v>
    <v>en-GB</v>
    <v>6dde426c-96c7-18bd-f4e1-b41b7575557a</v>
    <v>536870912</v>
    <v>1</v>
    <v>DE-SH</v>
    <v>159</v>
    <v>160</v>
    <v>3</v>
    <v>Schleswig-Holstein is the northernmost of the 16 states of Germany, comprising most of the historical Duchy of Holstein and the southern part of the former Duchy of Schleswig. Its capital city is Kiel; other notable cities are Lübeck and Flensburg.</v>
    <v>161</v>
    <v>162</v>
    <v>163</v>
    <v>160</v>
    <v>164</v>
    <v>Schleswig-Holstein</v>
    <v>165</v>
    <v>166</v>
    <v>Schleswig-Holstein</v>
    <v>mdp/vdpid/8141652</v>
  </rv>
</rvData>
</file>

<file path=xl/richData/rdrichvaluestructure.xml><?xml version="1.0" encoding="utf-8"?>
<rvStructures xmlns="http://schemas.microsoft.com/office/spreadsheetml/2017/richdata" count="11">
  <s t="_linkedentity2">
    <k n="%EntityServiceId" t="i"/>
    <k n="_DisplayString" t="s"/>
    <k n="%EntityId" t="s"/>
    <k n="%EntityCulture" t="s"/>
    <k n="_Icon" t="s"/>
  </s>
  <s t="_formattednumber">
    <k n="_Format" t="spb"/>
  </s>
  <s t="_webimage">
    <k n="WebImageIdentifier" t="i"/>
    <k n="_Provider" t="spb"/>
    <k n="Attribution" t="spb"/>
    <k n="CalcOrigin" t="i"/>
    <k n="ComputedImage" t="b"/>
    <k n="Text" t="s"/>
  </s>
  <s t="_hyperlink">
    <k n="Address" t="s"/>
    <k n="Text"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UniqueName" t="s"/>
    <k n="VDPID/VSID" t="s"/>
  </s>
  <s t="_array">
    <k n="array" t="a"/>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Official language" t="r"/>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Official language" t="r"/>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rnMoreOnLink" t="r"/>
    <k n="Name" t="s"/>
    <k n="Persons per household" t="r"/>
    <k n="Population" t="r"/>
    <k n="Time zone(s)"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ountry/region" t="r"/>
    <k n="Description" t="s"/>
    <k n="Households" t="r"/>
    <k n="Housing units" t="r"/>
    <k n="Image" t="r"/>
    <k n="Leader(s)" t="r"/>
    <k n="LearnMoreOnLink" t="r"/>
    <k n="Name" t="s"/>
    <k n="Persons per household" t="r"/>
    <k n="Population" t="r"/>
    <k n="UniqueName" t="s"/>
    <k n="VDPID/VSID" t="s"/>
  </s>
  <s t="_linkedentity2core">
    <k n="_CRID" t="e"/>
    <k n="_Attribution" t="spb"/>
    <k n="_Display" t="spb"/>
    <k n="_DisplayString" t="s"/>
    <k n="_Flags" t="spb"/>
    <k n="_Format" t="spb"/>
    <k n="_Icon" t="s"/>
    <k n="_Provider" t="spb"/>
    <k n="_SubLabel" t="spb"/>
    <k n="%EntityCulture" t="s"/>
    <k n="%EntityId" t="s"/>
    <k n="%EntityServiceId" t="i"/>
    <k n="%IsRefreshable" t="b"/>
    <k n="Abbreviation" t="s"/>
    <k n="Area" t="r"/>
    <k n="Capital/Major City" t="r"/>
    <k n="Country/region" t="r"/>
    <k n="Description" t="s"/>
    <k n="Households" t="r"/>
    <k n="Housing units" t="r"/>
    <k n="Image" t="r"/>
    <k n="Largest city" t="r"/>
    <k n="Leader(s)" t="r"/>
    <k n="LearnMoreOnLink" t="r"/>
    <k n="Name" t="s"/>
    <k n="Persons per household" t="r"/>
    <k n="Population" t="r"/>
    <k n="UniqueName" t="s"/>
    <k n="VDPID/VSID" t="s"/>
  </s>
</rvStructures>
</file>

<file path=xl/richData/rdsupportingpropertybag.xml><?xml version="1.0" encoding="utf-8"?>
<supportingPropertyBags xmlns="http://schemas.microsoft.com/office/spreadsheetml/2017/richdata2">
  <spbArrays count="6">
    <a count="27">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_Flags</v>
      <v t="s">VDPID/VSID</v>
      <v t="s">UniqueName</v>
      <v t="s">_DisplayString</v>
      <v t="s">LearnMoreOnLink</v>
      <v t="s">Image</v>
      <v t="s">Description</v>
    </a>
    <a count="29">
      <v t="s">%EntityServiceId</v>
      <v t="s">%IsRefreshable</v>
      <v t="s">%EntityCulture</v>
      <v t="s">%EntityId</v>
      <v t="s">_Icon</v>
      <v t="s">_Provider</v>
      <v t="s">_Attribution</v>
      <v t="s">_Display</v>
      <v t="s">Name</v>
      <v t="s">_Format</v>
      <v t="s">Capital/Major City</v>
      <v t="s">Country/region</v>
      <v t="s">_SubLabel</v>
      <v t="s">Population</v>
      <v t="s">Area</v>
      <v t="s">Abbreviation</v>
      <v t="s">Largest city</v>
      <v t="s">Official language</v>
      <v t="s">Households</v>
      <v t="s">Housing units</v>
      <v t="s">Persons per household</v>
      <v t="s">Time zone(s)</v>
      <v t="s">_Flags</v>
      <v t="s">VDPID/VSID</v>
      <v t="s">UniqueName</v>
      <v t="s">_DisplayString</v>
      <v t="s">LearnMoreOnLink</v>
      <v t="s">Image</v>
      <v t="s">Description</v>
    </a>
    <a count="27">
      <v t="s">%EntityServiceId</v>
      <v t="s">%IsRefreshable</v>
      <v t="s">%EntityCulture</v>
      <v t="s">%EntityId</v>
      <v t="s">_Icon</v>
      <v t="s">_Provider</v>
      <v t="s">_Attribution</v>
      <v t="s">_Display</v>
      <v t="s">Name</v>
      <v t="s">_Format</v>
      <v t="s">Leader(s)</v>
      <v t="s">Country/region</v>
      <v t="s">_SubLabel</v>
      <v t="s">Population</v>
      <v t="s">Area</v>
      <v t="s">Abbreviation</v>
      <v t="s">Official language</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Country/region</v>
      <v t="s">_SubLabel</v>
      <v t="s">Population</v>
      <v t="s">Area</v>
      <v t="s">Abbreviation</v>
      <v t="s">Largest city</v>
      <v t="s">Households</v>
      <v t="s">Housing units</v>
      <v t="s">Persons per household</v>
      <v t="s">Time zone(s)</v>
      <v t="s">_Flags</v>
      <v t="s">VDPID/VSID</v>
      <v t="s">UniqueName</v>
      <v t="s">_DisplayString</v>
      <v t="s">LearnMoreOnLink</v>
      <v t="s">Image</v>
      <v t="s">Description</v>
    </a>
    <a count="26">
      <v t="s">%EntityServiceId</v>
      <v t="s">%IsRefreshable</v>
      <v t="s">%EntityCulture</v>
      <v t="s">%EntityId</v>
      <v t="s">_Icon</v>
      <v t="s">_Provider</v>
      <v t="s">_Attribution</v>
      <v t="s">_Display</v>
      <v t="s">Name</v>
      <v t="s">_Format</v>
      <v t="s">Leader(s)</v>
      <v t="s">Country/region</v>
      <v t="s">_SubLabel</v>
      <v t="s">Population</v>
      <v t="s">Area</v>
      <v t="s">Abbreviation</v>
      <v t="s">Households</v>
      <v t="s">Housing units</v>
      <v t="s">Persons per household</v>
      <v t="s">_Flags</v>
      <v t="s">VDPID/VSID</v>
      <v t="s">UniqueName</v>
      <v t="s">_DisplayString</v>
      <v t="s">LearnMoreOnLink</v>
      <v t="s">Image</v>
      <v t="s">Description</v>
    </a>
    <a count="28">
      <v t="s">%EntityServiceId</v>
      <v t="s">%IsRefreshable</v>
      <v t="s">%EntityCulture</v>
      <v t="s">%EntityId</v>
      <v t="s">_Icon</v>
      <v t="s">_Provider</v>
      <v t="s">_Attribution</v>
      <v t="s">_Display</v>
      <v t="s">Name</v>
      <v t="s">_Format</v>
      <v t="s">Capital/Major City</v>
      <v t="s">Leader(s)</v>
      <v t="s">Country/region</v>
      <v t="s">_SubLabel</v>
      <v t="s">Population</v>
      <v t="s">Area</v>
      <v t="s">Abbreviation</v>
      <v t="s">Largest city</v>
      <v t="s">Households</v>
      <v t="s">Housing units</v>
      <v t="s">Persons per household</v>
      <v t="s">_Flags</v>
      <v t="s">VDPID/VSID</v>
      <v t="s">UniqueName</v>
      <v t="s">_DisplayString</v>
      <v t="s">LearnMoreOnLink</v>
      <v t="s">Image</v>
      <v t="s">Description</v>
    </a>
  </spbArrays>
  <spbData count="72">
    <spb s="0">
      <v xml:space="preserve">Wikipedia	</v>
      <v xml:space="preserve">CC BY-SA 3.0	</v>
      <v xml:space="preserve">https://en.wikipedia.org/wiki/Baden-W%C3%BCrttemberg	</v>
      <v xml:space="preserve">https://creativecommons.org/licenses/by-sa/3.0	</v>
    </spb>
    <spb s="0">
      <v xml:space="preserve">ergebnisse.zensus2011.de	</v>
      <v xml:space="preserve">	</v>
      <v xml:space="preserve">https://ergebnisse.zensus2011.de/?locale=en#dynTable:statUnit=WOHNUNG;absRel=ANZAHL;ags=01,02,03,04,05,06,07,08,09,10,11,12,13,14,15,16;agsAxis=X;yAxis=ZAHLWOHNGN_HHG	</v>
      <v xml:space="preserve">	</v>
    </spb>
    <spb s="0">
      <v xml:space="preserve">Wikipedia	</v>
      <v xml:space="preserve">CC-BY-SA	</v>
      <v xml:space="preserve">http://en.wikipedia.org/wiki/Baden-Württemberg	</v>
      <v xml:space="preserve">http://creativecommons.org/licenses/by-sa/3.0/	</v>
    </spb>
    <spb s="1">
      <v>0</v>
      <v>0</v>
      <v>1</v>
      <v>0</v>
      <v>0</v>
      <v>0</v>
      <v>2</v>
      <v>0</v>
      <v>1</v>
      <v>0</v>
      <v>0</v>
      <v>1</v>
    </spb>
    <spb s="2">
      <v>0</v>
      <v>Name</v>
      <v>LearnMoreOnLink</v>
    </spb>
    <spb s="3">
      <v>0</v>
      <v>0</v>
      <v>0</v>
    </spb>
    <spb s="4">
      <v>5</v>
      <v>5</v>
      <v>5</v>
    </spb>
    <spb s="5">
      <v>1</v>
      <v>2</v>
    </spb>
    <spb s="6">
      <v>https://www.bing.com</v>
      <v>https://www.bing.com/th?id=Ga%5Cbing_yt.png&amp;w=100&amp;h=40&amp;c=0&amp;pid=0.1</v>
      <v>Powered by Bing</v>
    </spb>
    <spb s="7">
      <v>square km</v>
      <v>2011</v>
      <v>2018</v>
      <v>2011</v>
      <v>2011</v>
    </spb>
    <spb s="8">
      <v>3</v>
    </spb>
    <spb s="8">
      <v>4</v>
    </spb>
    <spb s="0">
      <v xml:space="preserve">Wikipedia	</v>
      <v xml:space="preserve">CC BY-SA 3.0	</v>
      <v xml:space="preserve">https://en.wikipedia.org/wiki/Bavaria	</v>
      <v xml:space="preserve">https://creativecommons.org/licenses/by-sa/3.0	</v>
    </spb>
    <spb s="0">
      <v xml:space="preserve">Wikipedia	</v>
      <v xml:space="preserve">CC-BY-SA	</v>
      <v xml:space="preserve">http://en.wikipedia.org/wiki/Bavaria	</v>
      <v xml:space="preserve">http://creativecommons.org/licenses/by-sa/3.0/	</v>
    </spb>
    <spb s="1">
      <v>12</v>
      <v>12</v>
      <v>1</v>
      <v>12</v>
      <v>12</v>
      <v>12</v>
      <v>13</v>
      <v>12</v>
      <v>1</v>
      <v>12</v>
      <v>12</v>
      <v>1</v>
    </spb>
    <spb s="2">
      <v>1</v>
      <v>Name</v>
      <v>LearnMoreOnLink</v>
    </spb>
    <spb s="7">
      <v>square km</v>
      <v>2011</v>
      <v>2019</v>
      <v>2011</v>
      <v>2011</v>
    </spb>
    <spb s="0">
      <v xml:space="preserve">Wikipedia	</v>
      <v xml:space="preserve">CC BY-SA 3.0	</v>
      <v xml:space="preserve">https://en.wikipedia.org/wiki/Berlin	</v>
      <v xml:space="preserve">https://creativecommons.org/licenses/by-sa/3.0	</v>
    </spb>
    <spb s="0">
      <v xml:space="preserve">Wikipedia	</v>
      <v xml:space="preserve">CC-BY-SA	</v>
      <v xml:space="preserve">http://en.wikipedia.org/wiki/Berlin	</v>
      <v xml:space="preserve">http://creativecommons.org/licenses/by-sa/3.0/	</v>
    </spb>
    <spb s="9">
      <v>17</v>
      <v>17</v>
      <v>1</v>
      <v>17</v>
      <v>17</v>
      <v>17</v>
      <v>18</v>
      <v>1</v>
      <v>17</v>
      <v>1</v>
    </spb>
    <spb s="2">
      <v>2</v>
      <v>Name</v>
      <v>LearnMoreOnLink</v>
    </spb>
    <spb s="7">
      <v>square km</v>
      <v>2011</v>
      <v>2022</v>
      <v>2011</v>
      <v>2011</v>
    </spb>
    <spb s="0">
      <v xml:space="preserve">Wikipedia	</v>
      <v xml:space="preserve">CC BY-SA 3.0	</v>
      <v xml:space="preserve">https://en.wikipedia.org/wiki/Brandenburg	</v>
      <v xml:space="preserve">https://creativecommons.org/licenses/by-sa/3.0	</v>
    </spb>
    <spb s="0">
      <v xml:space="preserve">Britannica	</v>
      <v xml:space="preserve">	</v>
      <v xml:space="preserve">https://www.britannica.com/place/Brandenburg-state-Germany	</v>
      <v xml:space="preserve">	</v>
    </spb>
    <spb s="0">
      <v xml:space="preserve">Wikipedia	</v>
      <v xml:space="preserve">CC-BY-SA	</v>
      <v xml:space="preserve">http://en.wikipedia.org/wiki/Brandenburg	</v>
      <v xml:space="preserve">http://creativecommons.org/licenses/by-sa/3.0/	</v>
    </spb>
    <spb s="1">
      <v>22</v>
      <v>22</v>
      <v>23</v>
      <v>22</v>
      <v>22</v>
      <v>22</v>
      <v>24</v>
      <v>22</v>
      <v>23</v>
      <v>22</v>
      <v>22</v>
      <v>23</v>
    </spb>
    <spb s="2">
      <v>3</v>
      <v>Name</v>
      <v>LearnMoreOnLink</v>
    </spb>
    <spb s="7">
      <v>square km</v>
      <v>2011</v>
      <v>2024</v>
      <v>2011</v>
      <v>2011</v>
    </spb>
    <spb s="0">
      <v xml:space="preserve">Wikipedia	</v>
      <v xml:space="preserve">CC BY-SA 3.0	</v>
      <v xml:space="preserve">https://en.wikipedia.org/wiki/Bremen_(state)	</v>
      <v xml:space="preserve">https://creativecommons.org/licenses/by-sa/3.0	</v>
    </spb>
    <spb s="0">
      <v xml:space="preserve">Wikipedia	</v>
      <v xml:space="preserve">CC-BY-SA	</v>
      <v xml:space="preserve">http://en.wikipedia.org/wiki/Bremen_(state)	</v>
      <v xml:space="preserve">http://creativecommons.org/licenses/by-sa/3.0/	</v>
    </spb>
    <spb s="1">
      <v>28</v>
      <v>28</v>
      <v>1</v>
      <v>28</v>
      <v>28</v>
      <v>28</v>
      <v>29</v>
      <v>28</v>
      <v>1</v>
      <v>28</v>
      <v>28</v>
      <v>1</v>
    </spb>
    <spb s="7">
      <v>square km</v>
      <v>2011</v>
      <v>2014</v>
      <v>2011</v>
      <v>2011</v>
    </spb>
    <spb s="0">
      <v xml:space="preserve">Wikipedia	</v>
      <v xml:space="preserve">CC BY-SA 3.0	</v>
      <v xml:space="preserve">https://en.wikipedia.org/wiki/Hamburg	</v>
      <v xml:space="preserve">https://creativecommons.org/licenses/by-sa/3.0	</v>
    </spb>
    <spb s="0">
      <v xml:space="preserve">Wikipedia	</v>
      <v xml:space="preserve">CC-BY-SA	</v>
      <v xml:space="preserve">http://en.wikipedia.org/wiki/Hamburg	</v>
      <v xml:space="preserve">http://creativecommons.org/licenses/by-sa/3.0/	</v>
    </spb>
    <spb s="9">
      <v>32</v>
      <v>32</v>
      <v>1</v>
      <v>32</v>
      <v>32</v>
      <v>32</v>
      <v>33</v>
      <v>1</v>
      <v>32</v>
      <v>1</v>
    </spb>
    <spb s="2">
      <v>4</v>
      <v>Name</v>
      <v>LearnMoreOnLink</v>
    </spb>
    <spb s="0">
      <v xml:space="preserve">Wikipedia	</v>
      <v xml:space="preserve">CC BY-SA 3.0	</v>
      <v xml:space="preserve">https://en.wikipedia.org/wiki/Hesse	</v>
      <v xml:space="preserve">https://creativecommons.org/licenses/by-sa/3.0	</v>
    </spb>
    <spb s="0">
      <v xml:space="preserve">Wikipedia	</v>
      <v xml:space="preserve">CC-BY-SA	</v>
      <v xml:space="preserve">https://en.wikipedia.org/wiki/Hesse	</v>
      <v xml:space="preserve">http://creativecommons.org/licenses/by-sa/3.0/	</v>
    </spb>
    <spb s="0">
      <v xml:space="preserve">Wikipedia	</v>
      <v xml:space="preserve">CC-BY-SA	</v>
      <v xml:space="preserve">http://en.wikipedia.org/wiki/Hesse	</v>
      <v xml:space="preserve">http://creativecommons.org/licenses/by-sa/3.0/	</v>
    </spb>
    <spb s="1">
      <v>36</v>
      <v>36</v>
      <v>37</v>
      <v>36</v>
      <v>36</v>
      <v>36</v>
      <v>38</v>
      <v>36</v>
      <v>37</v>
      <v>36</v>
      <v>36</v>
      <v>37</v>
    </spb>
    <spb s="0">
      <v xml:space="preserve">Wikipedia	</v>
      <v xml:space="preserve">CC BY-SA 3.0	</v>
      <v xml:space="preserve">https://en.wikipedia.org/wiki/Lower_Saxony	</v>
      <v xml:space="preserve">https://creativecommons.org/licenses/by-sa/3.0	</v>
    </spb>
    <spb s="0">
      <v xml:space="preserve">Wikipedia	</v>
      <v xml:space="preserve">CC-BY-SA	</v>
      <v xml:space="preserve">https://en.wikipedia.org/wiki/Lower_Saxony	</v>
      <v xml:space="preserve">http://creativecommons.org/licenses/by-sa/3.0/	</v>
    </spb>
    <spb s="0">
      <v xml:space="preserve">Wikipedia	</v>
      <v xml:space="preserve">CC-BY-SA	</v>
      <v xml:space="preserve">http://en.wikipedia.org/wiki/Lower_Saxony	</v>
      <v xml:space="preserve">http://creativecommons.org/licenses/by-sa/3.0/	</v>
    </spb>
    <spb s="1">
      <v>40</v>
      <v>40</v>
      <v>41</v>
      <v>40</v>
      <v>40</v>
      <v>40</v>
      <v>42</v>
      <v>40</v>
      <v>41</v>
      <v>40</v>
      <v>40</v>
      <v>41</v>
    </spb>
    <spb s="0">
      <v xml:space="preserve">Wikipedia	</v>
      <v xml:space="preserve">CC BY-SA 3.0	</v>
      <v xml:space="preserve">https://en.wikipedia.org/wiki/Mecklenburg-Vorpommern	</v>
      <v xml:space="preserve">https://creativecommons.org/licenses/by-sa/3.0	</v>
    </spb>
    <spb s="0">
      <v xml:space="preserve">Britannica	</v>
      <v xml:space="preserve">	</v>
      <v xml:space="preserve">https://www.britannica.com/place/Mecklenburg-West-Pomerania	</v>
      <v xml:space="preserve">	</v>
    </spb>
    <spb s="0">
      <v xml:space="preserve">Wikipedia	</v>
      <v xml:space="preserve">CC-BY-SA	</v>
      <v xml:space="preserve">http://en.wikipedia.org/wiki/Mecklenburg-Vorpommern	</v>
      <v xml:space="preserve">http://creativecommons.org/licenses/by-sa/3.0/	</v>
    </spb>
    <spb s="1">
      <v>44</v>
      <v>44</v>
      <v>45</v>
      <v>44</v>
      <v>44</v>
      <v>44</v>
      <v>46</v>
      <v>44</v>
      <v>45</v>
      <v>44</v>
      <v>44</v>
      <v>45</v>
    </spb>
    <spb s="0">
      <v xml:space="preserve">Wikipedia	</v>
      <v xml:space="preserve">CC BY-SA 3.0	</v>
      <v xml:space="preserve">https://en.wikipedia.org/wiki/North_Rhine-Westphalia	</v>
      <v xml:space="preserve">https://creativecommons.org/licenses/by-sa/3.0	</v>
    </spb>
    <spb s="0">
      <v xml:space="preserve">Wikipedia	</v>
      <v xml:space="preserve">CC-BY-SA	</v>
      <v xml:space="preserve">http://en.wikipedia.org/wiki/North_Rhine-Westphalia	</v>
      <v xml:space="preserve">http://creativecommons.org/licenses/by-sa/3.0/	</v>
    </spb>
    <spb s="1">
      <v>48</v>
      <v>48</v>
      <v>1</v>
      <v>48</v>
      <v>48</v>
      <v>48</v>
      <v>49</v>
      <v>48</v>
      <v>1</v>
      <v>48</v>
      <v>48</v>
      <v>1</v>
    </spb>
    <spb s="0">
      <v xml:space="preserve">Wikipedia	</v>
      <v xml:space="preserve">CC BY-SA 3.0	</v>
      <v xml:space="preserve">https://en.wikipedia.org/wiki/Rhineland-Palatinate	</v>
      <v xml:space="preserve">https://creativecommons.org/licenses/by-sa/3.0	</v>
    </spb>
    <spb s="0">
      <v xml:space="preserve">Wikipedia	</v>
      <v xml:space="preserve">CC-BY-SA	</v>
      <v xml:space="preserve">https://en.wikipedia.org/wiki/Rhineland-Palatinate	</v>
      <v xml:space="preserve">http://creativecommons.org/licenses/by-sa/3.0/	</v>
    </spb>
    <spb s="0">
      <v xml:space="preserve">Wikipedia	</v>
      <v xml:space="preserve">CC-BY-SA	</v>
      <v xml:space="preserve">http://en.wikipedia.org/wiki/Rhineland-Palatinate	</v>
      <v xml:space="preserve">http://creativecommons.org/licenses/by-sa/3.0/	</v>
    </spb>
    <spb s="1">
      <v>51</v>
      <v>51</v>
      <v>52</v>
      <v>51</v>
      <v>51</v>
      <v>51</v>
      <v>53</v>
      <v>51</v>
      <v>52</v>
      <v>51</v>
      <v>51</v>
      <v>52</v>
    </spb>
    <spb s="2">
      <v>5</v>
      <v>Name</v>
      <v>LearnMoreOnLink</v>
    </spb>
    <spb s="0">
      <v xml:space="preserve">Wikipedia	</v>
      <v xml:space="preserve">CC BY-SA 3.0	</v>
      <v xml:space="preserve">https://en.wikipedia.org/wiki/Saarland	</v>
      <v xml:space="preserve">https://creativecommons.org/licenses/by-sa/3.0	</v>
    </spb>
    <spb s="0">
      <v xml:space="preserve">Wikipedia	</v>
      <v xml:space="preserve">CC-BY-SA	</v>
      <v xml:space="preserve">https://en.wikipedia.org/wiki/Saarland	</v>
      <v xml:space="preserve">http://creativecommons.org/licenses/by-sa/3.0/	</v>
    </spb>
    <spb s="0">
      <v xml:space="preserve">Wikipedia	</v>
      <v xml:space="preserve">CC-BY-SA	</v>
      <v xml:space="preserve">http://en.wikipedia.org/wiki/Saarland	</v>
      <v xml:space="preserve">http://creativecommons.org/licenses/by-sa/3.0/	</v>
    </spb>
    <spb s="10">
      <v>56</v>
      <v>56</v>
      <v>57</v>
      <v>56</v>
      <v>56</v>
      <v>56</v>
      <v>58</v>
      <v>57</v>
      <v>56</v>
      <v>56</v>
      <v>57</v>
    </spb>
    <spb s="0">
      <v xml:space="preserve">Wikipedia	</v>
      <v xml:space="preserve">CC BY-SA 3.0	</v>
      <v xml:space="preserve">https://en.wikipedia.org/wiki/Saxony	</v>
      <v xml:space="preserve">https://creativecommons.org/licenses/by-sa/3.0	</v>
    </spb>
    <spb s="0">
      <v xml:space="preserve">Britannica	</v>
      <v xml:space="preserve">	</v>
      <v xml:space="preserve">https://www.britannica.com/place/Saxony-state-Germany	</v>
      <v xml:space="preserve">	</v>
    </spb>
    <spb s="0">
      <v xml:space="preserve">Wikipedia	</v>
      <v xml:space="preserve">CC-BY-SA	</v>
      <v xml:space="preserve">http://en.wikipedia.org/wiki/Saxony	</v>
      <v xml:space="preserve">http://creativecommons.org/licenses/by-sa/3.0/	</v>
    </spb>
    <spb s="1">
      <v>60</v>
      <v>60</v>
      <v>61</v>
      <v>60</v>
      <v>60</v>
      <v>60</v>
      <v>62</v>
      <v>60</v>
      <v>61</v>
      <v>60</v>
      <v>60</v>
      <v>61</v>
    </spb>
    <spb s="0">
      <v xml:space="preserve">Wikipedia	</v>
      <v xml:space="preserve">CC BY-SA 3.0	</v>
      <v xml:space="preserve">https://en.wikipedia.org/wiki/Saxony-Anhalt	</v>
      <v xml:space="preserve">https://creativecommons.org/licenses/by-sa/3.0	</v>
    </spb>
    <spb s="0">
      <v xml:space="preserve">Wikipedia	</v>
      <v xml:space="preserve">CC-BY-SA	</v>
      <v xml:space="preserve">https://en.wikipedia.org/wiki/Saxony-Anhalt	</v>
      <v xml:space="preserve">http://creativecommons.org/licenses/by-sa/3.0/	</v>
    </spb>
    <spb s="0">
      <v xml:space="preserve">Wikipedia	</v>
      <v xml:space="preserve">CC-BY-SA	</v>
      <v xml:space="preserve">http://en.wikipedia.org/wiki/Saxony-Anhalt	</v>
      <v xml:space="preserve">http://creativecommons.org/licenses/by-sa/3.0/	</v>
    </spb>
    <spb s="1">
      <v>64</v>
      <v>64</v>
      <v>65</v>
      <v>64</v>
      <v>64</v>
      <v>64</v>
      <v>66</v>
      <v>64</v>
      <v>65</v>
      <v>64</v>
      <v>64</v>
      <v>65</v>
    </spb>
    <spb s="0">
      <v xml:space="preserve">Wikipedia	</v>
      <v xml:space="preserve">CC BY-SA 3.0	</v>
      <v xml:space="preserve">https://en.wikipedia.org/wiki/Schleswig-Holstein	</v>
      <v xml:space="preserve">https://creativecommons.org/licenses/by-sa/3.0	</v>
    </spb>
    <spb s="0">
      <v xml:space="preserve">Wikipedia	</v>
      <v xml:space="preserve">CC-BY-SA	</v>
      <v xml:space="preserve">https://en.wikipedia.org/wiki/Schleswig-Holstein	</v>
      <v xml:space="preserve">http://creativecommons.org/licenses/by-sa/3.0/	</v>
    </spb>
    <spb s="0">
      <v xml:space="preserve">Wikipedia	</v>
      <v xml:space="preserve">CC-BY-SA	</v>
      <v xml:space="preserve">http://en.wikipedia.org/wiki/Schleswig-Holstein	</v>
      <v xml:space="preserve">http://creativecommons.org/licenses/by-sa/3.0/	</v>
    </spb>
    <spb s="1">
      <v>68</v>
      <v>68</v>
      <v>69</v>
      <v>68</v>
      <v>68</v>
      <v>68</v>
      <v>70</v>
      <v>68</v>
      <v>69</v>
      <v>68</v>
      <v>68</v>
      <v>69</v>
    </spb>
  </spbData>
</supportingPropertyBags>
</file>

<file path=xl/richData/rdsupportingpropertybagstructure.xml><?xml version="1.0" encoding="utf-8"?>
<spbStructures xmlns="http://schemas.microsoft.com/office/spreadsheetml/2017/richdata2" count="11">
  <s>
    <k n="SourceText" t="s"/>
    <k n="LicenseText" t="s"/>
    <k n="SourceAddress" t="s"/>
    <k n="LicenseAddress" t="s"/>
  </s>
  <s>
    <k n="Area" t="spb"/>
    <k n="Name" t="spb"/>
    <k n="Households" t="spb"/>
    <k n="Population" t="spb"/>
    <k n="UniqueName" t="spb"/>
    <k n="Description" t="spb"/>
    <k n="Abbreviation" t="spb"/>
    <k n="Largest city" t="spb"/>
    <k n="Housing units" t="spb"/>
    <k n="Country/region" t="spb"/>
    <k n="Capital/Major City" t="spb"/>
    <k n="Persons per household" t="spb"/>
  </s>
  <s>
    <k n="^Order" t="spba"/>
    <k n="TitleProperty" t="s"/>
    <k n="SubTitleProperty" t="s"/>
  </s>
  <s>
    <k n="ShowInCardView" t="b"/>
    <k n="ShowInDotNotation" t="b"/>
    <k n="ShowInAutoComplete" t="b"/>
  </s>
  <s>
    <k n="UniqueName" t="spb"/>
    <k n="VDPID/VSID" t="spb"/>
    <k n="LearnMoreOnLink" t="spb"/>
  </s>
  <s>
    <k n="Name" t="i"/>
    <k n="Image" t="i"/>
  </s>
  <s>
    <k n="link" t="s"/>
    <k n="logo" t="s"/>
    <k n="name" t="s"/>
  </s>
  <s>
    <k n="Area" t="s"/>
    <k n="Households" t="s"/>
    <k n="Population" t="s"/>
    <k n="Housing units" t="s"/>
    <k n="Persons per household" t="s"/>
  </s>
  <s>
    <k n="_Self" t="i"/>
  </s>
  <s>
    <k n="Area" t="spb"/>
    <k n="Name" t="spb"/>
    <k n="Households" t="spb"/>
    <k n="Population" t="spb"/>
    <k n="UniqueName" t="spb"/>
    <k n="Description" t="spb"/>
    <k n="Abbreviation" t="spb"/>
    <k n="Housing units" t="spb"/>
    <k n="Country/region" t="spb"/>
    <k n="Persons per household" t="spb"/>
  </s>
  <s>
    <k n="Area" t="spb"/>
    <k n="Name" t="spb"/>
    <k n="Households" t="spb"/>
    <k n="Population" t="spb"/>
    <k n="UniqueName" t="spb"/>
    <k n="Description" t="spb"/>
    <k n="Abbreviation" t="spb"/>
    <k n="Housing units" t="spb"/>
    <k n="Country/region" t="spb"/>
    <k n="Capital/Major City" t="spb"/>
    <k n="Persons per household"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2">
    <x:dxf>
      <x:numFmt numFmtId="3" formatCode="#,##0"/>
    </x:dxf>
    <x:dxf>
      <x:numFmt numFmtId="2" formatCode="0.00"/>
    </x:dxf>
  </dxfs>
  <richProperties>
    <rPr n="IsTitleField" t="b"/>
    <rPr n="IsHeroField" t="b"/>
    <rPr n="NumberFormat" t="s"/>
  </richProperties>
  <richStyles>
    <rSty>
      <rpv i="0">1</rpv>
    </rSty>
    <rSty>
      <rpv i="1">1</rpv>
    </rSty>
    <rSty dxfid="0">
      <rpv i="2">#,##0</rpv>
    </rSty>
    <rSty dxfid="1">
      <rpv i="2">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3"/>
  <sheetViews>
    <sheetView topLeftCell="A14" workbookViewId="0"/>
  </sheetViews>
  <sheetFormatPr baseColWidth="10" defaultColWidth="8.83203125" defaultRowHeight="15" x14ac:dyDescent="0.2"/>
  <cols>
    <col min="1" max="1" width="28" customWidth="1"/>
    <col min="2" max="2" width="95" customWidth="1"/>
  </cols>
  <sheetData>
    <row r="1" spans="1:2" ht="19" x14ac:dyDescent="0.25">
      <c r="A1" s="1" t="s">
        <v>12</v>
      </c>
    </row>
    <row r="2" spans="1:2" x14ac:dyDescent="0.2">
      <c r="A2" s="2" t="s">
        <v>13</v>
      </c>
    </row>
    <row r="4" spans="1:2" x14ac:dyDescent="0.2">
      <c r="A4" s="3"/>
      <c r="B4" s="4"/>
    </row>
    <row r="5" spans="1:2" ht="30" customHeight="1" x14ac:dyDescent="0.2">
      <c r="A5" s="3" t="s">
        <v>14</v>
      </c>
      <c r="B5" s="4" t="s">
        <v>15</v>
      </c>
    </row>
    <row r="6" spans="1:2" ht="16" x14ac:dyDescent="0.2">
      <c r="A6" s="3" t="s">
        <v>16</v>
      </c>
      <c r="B6" s="4" t="s">
        <v>17</v>
      </c>
    </row>
    <row r="7" spans="1:2" ht="16" x14ac:dyDescent="0.2">
      <c r="A7" s="3" t="s">
        <v>18</v>
      </c>
      <c r="B7" s="4" t="s">
        <v>19</v>
      </c>
    </row>
    <row r="8" spans="1:2" ht="16" x14ac:dyDescent="0.2">
      <c r="A8" s="3" t="s">
        <v>20</v>
      </c>
      <c r="B8" s="4" t="s">
        <v>21</v>
      </c>
    </row>
    <row r="9" spans="1:2" x14ac:dyDescent="0.2">
      <c r="A9" s="3"/>
      <c r="B9" s="4"/>
    </row>
    <row r="10" spans="1:2" x14ac:dyDescent="0.2">
      <c r="A10" s="3" t="s">
        <v>22</v>
      </c>
      <c r="B10" s="4"/>
    </row>
    <row r="11" spans="1:2" ht="30" customHeight="1" x14ac:dyDescent="0.2">
      <c r="A11" s="3" t="s">
        <v>23</v>
      </c>
      <c r="B11" s="4" t="s">
        <v>24</v>
      </c>
    </row>
    <row r="12" spans="1:2" ht="30" customHeight="1" x14ac:dyDescent="0.2">
      <c r="A12" s="3" t="s">
        <v>25</v>
      </c>
      <c r="B12" s="4" t="s">
        <v>26</v>
      </c>
    </row>
    <row r="13" spans="1:2" ht="30" customHeight="1" x14ac:dyDescent="0.2">
      <c r="A13" s="3" t="s">
        <v>27</v>
      </c>
      <c r="B13" s="4" t="s">
        <v>28</v>
      </c>
    </row>
    <row r="14" spans="1:2" ht="16" x14ac:dyDescent="0.2">
      <c r="A14" s="3" t="s">
        <v>29</v>
      </c>
      <c r="B14" s="4" t="s">
        <v>30</v>
      </c>
    </row>
    <row r="15" spans="1:2" ht="30" customHeight="1" x14ac:dyDescent="0.2">
      <c r="A15" s="3" t="s">
        <v>31</v>
      </c>
      <c r="B15" s="4" t="s">
        <v>32</v>
      </c>
    </row>
    <row r="16" spans="1:2" ht="30" customHeight="1" x14ac:dyDescent="0.2">
      <c r="A16" s="3" t="s">
        <v>33</v>
      </c>
      <c r="B16" s="4" t="s">
        <v>34</v>
      </c>
    </row>
    <row r="17" spans="1:2" ht="30" customHeight="1" x14ac:dyDescent="0.2">
      <c r="A17" s="3" t="s">
        <v>35</v>
      </c>
      <c r="B17" s="4" t="s">
        <v>36</v>
      </c>
    </row>
    <row r="18" spans="1:2" ht="30" customHeight="1" x14ac:dyDescent="0.2">
      <c r="A18" s="3" t="s">
        <v>37</v>
      </c>
      <c r="B18" s="4" t="s">
        <v>38</v>
      </c>
    </row>
    <row r="19" spans="1:2" ht="16" x14ac:dyDescent="0.2">
      <c r="A19" s="3" t="s">
        <v>39</v>
      </c>
      <c r="B19" s="4" t="s">
        <v>40</v>
      </c>
    </row>
    <row r="20" spans="1:2" ht="16" x14ac:dyDescent="0.2">
      <c r="A20" s="3" t="s">
        <v>41</v>
      </c>
      <c r="B20" s="4" t="s">
        <v>42</v>
      </c>
    </row>
    <row r="21" spans="1:2" ht="16" x14ac:dyDescent="0.2">
      <c r="A21" s="3" t="s">
        <v>43</v>
      </c>
      <c r="B21" s="4" t="s">
        <v>44</v>
      </c>
    </row>
    <row r="22" spans="1:2" ht="30" customHeight="1" x14ac:dyDescent="0.2">
      <c r="A22" s="3" t="s">
        <v>45</v>
      </c>
      <c r="B22" s="4" t="s">
        <v>46</v>
      </c>
    </row>
    <row r="23" spans="1:2" x14ac:dyDescent="0.2">
      <c r="A23" s="3"/>
      <c r="B23" s="4"/>
    </row>
    <row r="24" spans="1:2" ht="30" customHeight="1" x14ac:dyDescent="0.2">
      <c r="A24" s="3" t="s">
        <v>47</v>
      </c>
      <c r="B24" s="4" t="s">
        <v>48</v>
      </c>
    </row>
    <row r="25" spans="1:2" ht="30" customHeight="1" x14ac:dyDescent="0.2">
      <c r="A25" s="3" t="s">
        <v>49</v>
      </c>
      <c r="B25" s="4" t="s">
        <v>50</v>
      </c>
    </row>
    <row r="26" spans="1:2" x14ac:dyDescent="0.2">
      <c r="A26" s="3"/>
      <c r="B26" s="4"/>
    </row>
    <row r="27" spans="1:2" ht="30" customHeight="1" x14ac:dyDescent="0.2">
      <c r="A27" s="3" t="s">
        <v>51</v>
      </c>
      <c r="B27" s="4" t="s">
        <v>52</v>
      </c>
    </row>
    <row r="28" spans="1:2" x14ac:dyDescent="0.2">
      <c r="A28" s="3"/>
      <c r="B28" s="4"/>
    </row>
    <row r="29" spans="1:2" x14ac:dyDescent="0.2">
      <c r="A29" s="3" t="s">
        <v>53</v>
      </c>
      <c r="B29" s="4"/>
    </row>
    <row r="30" spans="1:2" ht="16" x14ac:dyDescent="0.2">
      <c r="A30" s="3" t="s">
        <v>54</v>
      </c>
      <c r="B30" s="4" t="s">
        <v>55</v>
      </c>
    </row>
    <row r="31" spans="1:2" ht="16" x14ac:dyDescent="0.2">
      <c r="A31" s="3" t="s">
        <v>56</v>
      </c>
      <c r="B31" s="4" t="s">
        <v>57</v>
      </c>
    </row>
    <row r="32" spans="1:2" ht="16" x14ac:dyDescent="0.2">
      <c r="A32" s="3" t="s">
        <v>58</v>
      </c>
      <c r="B32" s="4" t="s">
        <v>59</v>
      </c>
    </row>
    <row r="33" spans="1:2" ht="16" x14ac:dyDescent="0.2">
      <c r="A33" s="3" t="s">
        <v>60</v>
      </c>
      <c r="B33" s="4" t="s">
        <v>61</v>
      </c>
    </row>
    <row r="34" spans="1:2" ht="16" x14ac:dyDescent="0.2">
      <c r="A34" s="3" t="s">
        <v>62</v>
      </c>
      <c r="B34" s="4" t="s">
        <v>63</v>
      </c>
    </row>
    <row r="35" spans="1:2" ht="16" x14ac:dyDescent="0.2">
      <c r="A35" s="3" t="s">
        <v>64</v>
      </c>
      <c r="B35" s="4" t="s">
        <v>65</v>
      </c>
    </row>
    <row r="36" spans="1:2" ht="16" x14ac:dyDescent="0.2">
      <c r="A36" s="3" t="s">
        <v>66</v>
      </c>
      <c r="B36" s="4" t="s">
        <v>67</v>
      </c>
    </row>
    <row r="37" spans="1:2" ht="16" x14ac:dyDescent="0.2">
      <c r="A37" s="3" t="s">
        <v>68</v>
      </c>
      <c r="B37" s="4" t="s">
        <v>69</v>
      </c>
    </row>
    <row r="38" spans="1:2" ht="16" x14ac:dyDescent="0.2">
      <c r="A38" s="3" t="s">
        <v>70</v>
      </c>
      <c r="B38" s="4" t="s">
        <v>71</v>
      </c>
    </row>
    <row r="39" spans="1:2" ht="16" x14ac:dyDescent="0.2">
      <c r="A39" s="3" t="s">
        <v>72</v>
      </c>
      <c r="B39" s="4" t="s">
        <v>73</v>
      </c>
    </row>
    <row r="40" spans="1:2" ht="16" x14ac:dyDescent="0.2">
      <c r="A40" s="3" t="s">
        <v>74</v>
      </c>
      <c r="B40" s="4" t="s">
        <v>75</v>
      </c>
    </row>
    <row r="41" spans="1:2" ht="16" x14ac:dyDescent="0.2">
      <c r="A41" s="3" t="s">
        <v>76</v>
      </c>
      <c r="B41" s="4" t="s">
        <v>77</v>
      </c>
    </row>
    <row r="42" spans="1:2" ht="16" x14ac:dyDescent="0.2">
      <c r="A42" s="3" t="s">
        <v>78</v>
      </c>
      <c r="B42" s="4" t="s">
        <v>79</v>
      </c>
    </row>
    <row r="43" spans="1:2" ht="16" x14ac:dyDescent="0.2">
      <c r="A43" s="3" t="s">
        <v>80</v>
      </c>
      <c r="B43" s="4" t="s">
        <v>81</v>
      </c>
    </row>
    <row r="44" spans="1:2" x14ac:dyDescent="0.2">
      <c r="A44" s="3"/>
      <c r="B44" s="4"/>
    </row>
    <row r="45" spans="1:2" ht="30" customHeight="1" x14ac:dyDescent="0.2">
      <c r="A45" s="3" t="s">
        <v>82</v>
      </c>
      <c r="B45" s="4" t="s">
        <v>83</v>
      </c>
    </row>
    <row r="46" spans="1:2" ht="30" customHeight="1" x14ac:dyDescent="0.2">
      <c r="A46" s="3" t="s">
        <v>84</v>
      </c>
      <c r="B46" s="4" t="s">
        <v>85</v>
      </c>
    </row>
    <row r="47" spans="1:2" ht="16" x14ac:dyDescent="0.2">
      <c r="A47" s="3" t="s">
        <v>86</v>
      </c>
      <c r="B47" s="4" t="s">
        <v>87</v>
      </c>
    </row>
    <row r="48" spans="1:2" ht="30" customHeight="1" x14ac:dyDescent="0.2">
      <c r="A48" s="3" t="s">
        <v>88</v>
      </c>
      <c r="B48" s="4" t="s">
        <v>89</v>
      </c>
    </row>
    <row r="49" spans="1:2" ht="30" customHeight="1" x14ac:dyDescent="0.2">
      <c r="A49" s="3" t="s">
        <v>90</v>
      </c>
      <c r="B49" s="4" t="s">
        <v>91</v>
      </c>
    </row>
    <row r="50" spans="1:2" ht="16" x14ac:dyDescent="0.2">
      <c r="A50" s="3" t="s">
        <v>92</v>
      </c>
      <c r="B50" s="4" t="s">
        <v>93</v>
      </c>
    </row>
    <row r="52" spans="1:2" ht="48" x14ac:dyDescent="0.2">
      <c r="A52" s="3" t="s">
        <v>242</v>
      </c>
      <c r="B52" s="4" t="s">
        <v>243</v>
      </c>
    </row>
    <row r="53" spans="1:2" ht="48" x14ac:dyDescent="0.2">
      <c r="B53" s="4" t="s">
        <v>244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4"/>
  <sheetViews>
    <sheetView workbookViewId="0"/>
  </sheetViews>
  <sheetFormatPr baseColWidth="10" defaultColWidth="8.83203125" defaultRowHeight="15" x14ac:dyDescent="0.2"/>
  <cols>
    <col min="1" max="1" width="9" customWidth="1"/>
    <col min="2" max="5" width="13" customWidth="1"/>
    <col min="6" max="6" width="11" customWidth="1"/>
    <col min="7" max="10" width="13" customWidth="1"/>
    <col min="11" max="11" width="14" customWidth="1"/>
  </cols>
  <sheetData>
    <row r="1" spans="1:11" ht="19" x14ac:dyDescent="0.25">
      <c r="A1" s="1" t="s">
        <v>94</v>
      </c>
    </row>
    <row r="2" spans="1:11" x14ac:dyDescent="0.2">
      <c r="A2" s="2" t="s">
        <v>95</v>
      </c>
    </row>
    <row r="4" spans="1:11" ht="30" customHeight="1" x14ac:dyDescent="0.2">
      <c r="A4" s="5" t="s">
        <v>96</v>
      </c>
      <c r="B4" s="5" t="s">
        <v>97</v>
      </c>
      <c r="C4" s="5" t="s">
        <v>98</v>
      </c>
      <c r="D4" s="5" t="s">
        <v>99</v>
      </c>
      <c r="E4" s="5" t="s">
        <v>100</v>
      </c>
      <c r="F4" s="5" t="s">
        <v>101</v>
      </c>
      <c r="G4" s="5" t="s">
        <v>102</v>
      </c>
      <c r="H4" s="5" t="s">
        <v>103</v>
      </c>
      <c r="I4" s="5" t="s">
        <v>104</v>
      </c>
      <c r="J4" s="5" t="s">
        <v>105</v>
      </c>
      <c r="K4" s="5" t="s">
        <v>106</v>
      </c>
    </row>
    <row r="5" spans="1:11" x14ac:dyDescent="0.2">
      <c r="A5" s="6">
        <v>2016</v>
      </c>
      <c r="B5" s="7">
        <v>643158</v>
      </c>
      <c r="C5" s="7">
        <v>406551</v>
      </c>
      <c r="D5" s="7">
        <v>236607</v>
      </c>
      <c r="E5" s="8">
        <f t="shared" ref="E5:E14" si="0">D5/B5</f>
        <v>0.36788316401257543</v>
      </c>
      <c r="F5" s="7"/>
      <c r="G5" s="9"/>
      <c r="H5" s="7">
        <v>847</v>
      </c>
      <c r="I5" s="7">
        <v>732</v>
      </c>
      <c r="J5" s="10">
        <f t="shared" ref="J5:J14" si="1">B5/I5</f>
        <v>878.63114754098365</v>
      </c>
      <c r="K5" s="10">
        <f t="shared" ref="K5:K14" si="2">B5/$B$5*100</f>
        <v>100</v>
      </c>
    </row>
    <row r="6" spans="1:11" x14ac:dyDescent="0.2">
      <c r="A6" s="6">
        <v>2017</v>
      </c>
      <c r="B6" s="7">
        <v>644943</v>
      </c>
      <c r="C6" s="7">
        <v>408960</v>
      </c>
      <c r="D6" s="7">
        <v>235983</v>
      </c>
      <c r="E6" s="8">
        <f t="shared" si="0"/>
        <v>0.36589745140268209</v>
      </c>
      <c r="F6" s="7">
        <f t="shared" ref="F6:F14" si="3">B6-B5</f>
        <v>1785</v>
      </c>
      <c r="G6" s="9">
        <f t="shared" ref="G6:G14" si="4">IFERROR(F6/B5,"")</f>
        <v>2.7753677945388227E-3</v>
      </c>
      <c r="H6" s="7">
        <v>843</v>
      </c>
      <c r="I6" s="7">
        <v>731</v>
      </c>
      <c r="J6" s="10">
        <f t="shared" si="1"/>
        <v>882.27496580027355</v>
      </c>
      <c r="K6" s="10">
        <f t="shared" si="2"/>
        <v>100.27753677945388</v>
      </c>
    </row>
    <row r="7" spans="1:11" x14ac:dyDescent="0.2">
      <c r="A7" s="6">
        <v>2018</v>
      </c>
      <c r="B7" s="7">
        <v>642240</v>
      </c>
      <c r="C7" s="7">
        <v>408103</v>
      </c>
      <c r="D7" s="7">
        <v>234137</v>
      </c>
      <c r="E7" s="8">
        <f t="shared" si="0"/>
        <v>0.3645630916791231</v>
      </c>
      <c r="F7" s="7">
        <f t="shared" si="3"/>
        <v>-2703</v>
      </c>
      <c r="G7" s="9">
        <f t="shared" si="4"/>
        <v>-4.1910680478739982E-3</v>
      </c>
      <c r="H7" s="7">
        <v>840</v>
      </c>
      <c r="I7" s="7">
        <v>730</v>
      </c>
      <c r="J7" s="10">
        <f t="shared" si="1"/>
        <v>879.78082191780823</v>
      </c>
      <c r="K7" s="10">
        <f t="shared" si="2"/>
        <v>99.857266799138003</v>
      </c>
    </row>
    <row r="8" spans="1:11" x14ac:dyDescent="0.2">
      <c r="A8" s="6">
        <v>2019</v>
      </c>
      <c r="B8" s="7">
        <v>642677</v>
      </c>
      <c r="C8" s="7">
        <v>409205</v>
      </c>
      <c r="D8" s="7">
        <v>233472</v>
      </c>
      <c r="E8" s="8">
        <f t="shared" si="0"/>
        <v>0.3632804659261184</v>
      </c>
      <c r="F8" s="7">
        <f t="shared" si="3"/>
        <v>437</v>
      </c>
      <c r="G8" s="9">
        <f t="shared" si="4"/>
        <v>6.8043099152964625E-4</v>
      </c>
      <c r="H8" s="7">
        <v>832</v>
      </c>
      <c r="I8" s="7">
        <v>722</v>
      </c>
      <c r="J8" s="10">
        <f t="shared" si="1"/>
        <v>890.13434903047096</v>
      </c>
      <c r="K8" s="10">
        <f t="shared" si="2"/>
        <v>99.925212778197576</v>
      </c>
    </row>
    <row r="9" spans="1:11" x14ac:dyDescent="0.2">
      <c r="A9" s="6">
        <v>2020</v>
      </c>
      <c r="B9" s="7">
        <v>651417</v>
      </c>
      <c r="C9" s="7">
        <v>416016</v>
      </c>
      <c r="D9" s="7">
        <v>235401</v>
      </c>
      <c r="E9" s="8">
        <f t="shared" si="0"/>
        <v>0.36136760324032069</v>
      </c>
      <c r="F9" s="7">
        <f t="shared" si="3"/>
        <v>8740</v>
      </c>
      <c r="G9" s="9">
        <f t="shared" si="4"/>
        <v>1.3599366400229043E-2</v>
      </c>
      <c r="H9" s="7">
        <v>825</v>
      </c>
      <c r="I9" s="7">
        <v>720</v>
      </c>
      <c r="J9" s="10">
        <f t="shared" si="1"/>
        <v>904.74583333333328</v>
      </c>
      <c r="K9" s="10">
        <f t="shared" si="2"/>
        <v>101.28413235938913</v>
      </c>
    </row>
    <row r="10" spans="1:11" x14ac:dyDescent="0.2">
      <c r="A10" s="6">
        <v>2021</v>
      </c>
      <c r="B10" s="7">
        <v>673983</v>
      </c>
      <c r="C10" s="7">
        <v>431818</v>
      </c>
      <c r="D10" s="7">
        <v>242165</v>
      </c>
      <c r="E10" s="8">
        <f t="shared" si="0"/>
        <v>0.3593043147972575</v>
      </c>
      <c r="F10" s="7">
        <f t="shared" si="3"/>
        <v>22566</v>
      </c>
      <c r="G10" s="9">
        <f t="shared" si="4"/>
        <v>3.4641404814427623E-2</v>
      </c>
      <c r="H10" s="7">
        <v>825</v>
      </c>
      <c r="I10" s="7">
        <v>720</v>
      </c>
      <c r="J10" s="10">
        <f t="shared" si="1"/>
        <v>936.08749999999998</v>
      </c>
      <c r="K10" s="10">
        <f t="shared" si="2"/>
        <v>104.79275698972882</v>
      </c>
    </row>
    <row r="11" spans="1:11" x14ac:dyDescent="0.2">
      <c r="A11" s="6">
        <v>2022</v>
      </c>
      <c r="B11" s="7">
        <v>682942</v>
      </c>
      <c r="C11" s="7">
        <v>438469</v>
      </c>
      <c r="D11" s="7">
        <v>244473</v>
      </c>
      <c r="E11" s="8">
        <f t="shared" si="0"/>
        <v>0.35797036937250892</v>
      </c>
      <c r="F11" s="7">
        <f t="shared" si="3"/>
        <v>8959</v>
      </c>
      <c r="G11" s="9">
        <f t="shared" si="4"/>
        <v>1.32926201402706E-2</v>
      </c>
      <c r="H11" s="7">
        <v>827</v>
      </c>
      <c r="I11" s="7">
        <v>729</v>
      </c>
      <c r="J11" s="10">
        <f t="shared" si="1"/>
        <v>936.82030178326477</v>
      </c>
      <c r="K11" s="10">
        <f t="shared" si="2"/>
        <v>106.18572730184496</v>
      </c>
    </row>
    <row r="12" spans="1:11" x14ac:dyDescent="0.2">
      <c r="A12" s="6">
        <v>2023</v>
      </c>
      <c r="B12" s="7">
        <v>682126</v>
      </c>
      <c r="C12" s="7">
        <v>439793</v>
      </c>
      <c r="D12" s="7">
        <v>242333</v>
      </c>
      <c r="E12" s="8">
        <f t="shared" si="0"/>
        <v>0.35526134467825593</v>
      </c>
      <c r="F12" s="7">
        <f t="shared" si="3"/>
        <v>-816</v>
      </c>
      <c r="G12" s="9">
        <f t="shared" si="4"/>
        <v>-1.1948306005488021E-3</v>
      </c>
      <c r="H12" s="7">
        <v>821</v>
      </c>
      <c r="I12" s="7">
        <v>725</v>
      </c>
      <c r="J12" s="10">
        <f t="shared" si="1"/>
        <v>940.86344827586208</v>
      </c>
      <c r="K12" s="10">
        <f t="shared" si="2"/>
        <v>106.05885334552319</v>
      </c>
    </row>
    <row r="13" spans="1:11" x14ac:dyDescent="0.2">
      <c r="A13" s="6">
        <v>2024</v>
      </c>
      <c r="B13" s="7">
        <v>686708</v>
      </c>
      <c r="C13" s="7">
        <v>445369</v>
      </c>
      <c r="D13" s="7">
        <v>241339</v>
      </c>
      <c r="E13" s="8">
        <f t="shared" si="0"/>
        <v>0.35144340826086196</v>
      </c>
      <c r="F13" s="7">
        <f t="shared" si="3"/>
        <v>4582</v>
      </c>
      <c r="G13" s="9">
        <f t="shared" si="4"/>
        <v>6.7172340593966507E-3</v>
      </c>
      <c r="H13" s="7">
        <v>821</v>
      </c>
      <c r="I13" s="7">
        <v>726</v>
      </c>
      <c r="J13" s="10">
        <f t="shared" si="1"/>
        <v>945.87878787878788</v>
      </c>
      <c r="K13" s="10">
        <f t="shared" si="2"/>
        <v>106.77127548751628</v>
      </c>
    </row>
    <row r="14" spans="1:11" x14ac:dyDescent="0.2">
      <c r="A14" s="6">
        <v>2025</v>
      </c>
      <c r="B14" s="7">
        <v>695617</v>
      </c>
      <c r="C14" s="7">
        <v>454062</v>
      </c>
      <c r="D14" s="7">
        <v>241555</v>
      </c>
      <c r="E14" s="8">
        <f t="shared" si="0"/>
        <v>0.34725287047326331</v>
      </c>
      <c r="F14" s="7">
        <f t="shared" si="3"/>
        <v>8909</v>
      </c>
      <c r="G14" s="9">
        <f t="shared" si="4"/>
        <v>1.297349091608078E-2</v>
      </c>
      <c r="H14" s="7">
        <v>812</v>
      </c>
      <c r="I14" s="7">
        <v>721</v>
      </c>
      <c r="J14" s="10">
        <f t="shared" si="1"/>
        <v>964.79472954230232</v>
      </c>
      <c r="K14" s="10">
        <f t="shared" si="2"/>
        <v>108.15647166015194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E17"/>
  <sheetViews>
    <sheetView workbookViewId="0">
      <selection activeCell="C22" sqref="C22"/>
    </sheetView>
  </sheetViews>
  <sheetFormatPr baseColWidth="10" defaultColWidth="8.83203125" defaultRowHeight="15" x14ac:dyDescent="0.2"/>
  <cols>
    <col min="1" max="1" width="16" customWidth="1"/>
    <col min="2" max="31" width="10" customWidth="1"/>
  </cols>
  <sheetData>
    <row r="1" spans="1:31" ht="19" x14ac:dyDescent="0.25">
      <c r="A1" s="1" t="s">
        <v>107</v>
      </c>
    </row>
    <row r="2" spans="1:31" x14ac:dyDescent="0.2">
      <c r="A2" s="2" t="s">
        <v>108</v>
      </c>
    </row>
    <row r="4" spans="1:31" x14ac:dyDescent="0.2">
      <c r="A4" s="11" t="s">
        <v>109</v>
      </c>
      <c r="B4" s="47">
        <v>2016</v>
      </c>
      <c r="C4" s="32"/>
      <c r="D4" s="32"/>
      <c r="E4" s="47">
        <v>2017</v>
      </c>
      <c r="F4" s="32"/>
      <c r="G4" s="32"/>
      <c r="H4" s="47">
        <v>2018</v>
      </c>
      <c r="I4" s="32"/>
      <c r="J4" s="32"/>
      <c r="K4" s="47">
        <v>2019</v>
      </c>
      <c r="L4" s="32"/>
      <c r="M4" s="32"/>
      <c r="N4" s="47">
        <v>2020</v>
      </c>
      <c r="O4" s="32"/>
      <c r="P4" s="32"/>
      <c r="Q4" s="47">
        <v>2021</v>
      </c>
      <c r="R4" s="32"/>
      <c r="S4" s="32"/>
      <c r="T4" s="47">
        <v>2022</v>
      </c>
      <c r="U4" s="32"/>
      <c r="V4" s="32"/>
      <c r="W4" s="47">
        <v>2023</v>
      </c>
      <c r="X4" s="32"/>
      <c r="Y4" s="32"/>
      <c r="Z4" s="47">
        <v>2024</v>
      </c>
      <c r="AA4" s="32"/>
      <c r="AB4" s="32"/>
      <c r="AC4" s="47">
        <v>2025</v>
      </c>
      <c r="AD4" s="32"/>
      <c r="AE4" s="32"/>
    </row>
    <row r="5" spans="1:31" ht="30" customHeight="1" x14ac:dyDescent="0.2">
      <c r="A5" s="5" t="s">
        <v>109</v>
      </c>
      <c r="B5" s="5" t="s">
        <v>98</v>
      </c>
      <c r="C5" s="5" t="s">
        <v>99</v>
      </c>
      <c r="D5" s="5" t="s">
        <v>110</v>
      </c>
      <c r="E5" s="5" t="s">
        <v>98</v>
      </c>
      <c r="F5" s="5" t="s">
        <v>99</v>
      </c>
      <c r="G5" s="5" t="s">
        <v>110</v>
      </c>
      <c r="H5" s="5" t="s">
        <v>98</v>
      </c>
      <c r="I5" s="5" t="s">
        <v>99</v>
      </c>
      <c r="J5" s="5" t="s">
        <v>110</v>
      </c>
      <c r="K5" s="5" t="s">
        <v>98</v>
      </c>
      <c r="L5" s="5" t="s">
        <v>99</v>
      </c>
      <c r="M5" s="5" t="s">
        <v>110</v>
      </c>
      <c r="N5" s="5" t="s">
        <v>98</v>
      </c>
      <c r="O5" s="5" t="s">
        <v>99</v>
      </c>
      <c r="P5" s="5" t="s">
        <v>110</v>
      </c>
      <c r="Q5" s="5" t="s">
        <v>98</v>
      </c>
      <c r="R5" s="5" t="s">
        <v>99</v>
      </c>
      <c r="S5" s="5" t="s">
        <v>110</v>
      </c>
      <c r="T5" s="5" t="s">
        <v>98</v>
      </c>
      <c r="U5" s="5" t="s">
        <v>99</v>
      </c>
      <c r="V5" s="5" t="s">
        <v>110</v>
      </c>
      <c r="W5" s="5" t="s">
        <v>98</v>
      </c>
      <c r="X5" s="5" t="s">
        <v>99</v>
      </c>
      <c r="Y5" s="5" t="s">
        <v>110</v>
      </c>
      <c r="Z5" s="5" t="s">
        <v>98</v>
      </c>
      <c r="AA5" s="5" t="s">
        <v>99</v>
      </c>
      <c r="AB5" s="5" t="s">
        <v>110</v>
      </c>
      <c r="AC5" s="5" t="s">
        <v>98</v>
      </c>
      <c r="AD5" s="5" t="s">
        <v>99</v>
      </c>
      <c r="AE5" s="5" t="s">
        <v>110</v>
      </c>
    </row>
    <row r="6" spans="1:31" x14ac:dyDescent="0.2">
      <c r="A6" s="12" t="s">
        <v>111</v>
      </c>
      <c r="B6" s="7">
        <v>1170</v>
      </c>
      <c r="C6" s="7">
        <v>703</v>
      </c>
      <c r="D6" s="7">
        <f t="shared" ref="D6:D16" si="0">B6+C6</f>
        <v>1873</v>
      </c>
      <c r="E6" s="7">
        <v>1112</v>
      </c>
      <c r="F6" s="7">
        <v>670</v>
      </c>
      <c r="G6" s="7">
        <f t="shared" ref="G6:G16" si="1">E6+F6</f>
        <v>1782</v>
      </c>
      <c r="H6" s="7">
        <v>1122</v>
      </c>
      <c r="I6" s="7">
        <v>701</v>
      </c>
      <c r="J6" s="7">
        <f t="shared" ref="J6:J16" si="2">H6+I6</f>
        <v>1823</v>
      </c>
      <c r="K6" s="7">
        <v>1058</v>
      </c>
      <c r="L6" s="7">
        <v>726</v>
      </c>
      <c r="M6" s="7">
        <f t="shared" ref="M6:M16" si="3">K6+L6</f>
        <v>1784</v>
      </c>
      <c r="N6" s="7">
        <v>1186</v>
      </c>
      <c r="O6" s="7">
        <v>754</v>
      </c>
      <c r="P6" s="7">
        <f t="shared" ref="P6:P16" si="4">N6+O6</f>
        <v>1940</v>
      </c>
      <c r="Q6" s="7">
        <v>1310</v>
      </c>
      <c r="R6" s="7">
        <v>861</v>
      </c>
      <c r="S6" s="7">
        <f t="shared" ref="S6:S16" si="5">Q6+R6</f>
        <v>2171</v>
      </c>
      <c r="T6" s="7">
        <v>1326</v>
      </c>
      <c r="U6" s="7">
        <v>886</v>
      </c>
      <c r="V6" s="7">
        <f t="shared" ref="V6:V16" si="6">T6+U6</f>
        <v>2212</v>
      </c>
      <c r="W6" s="7">
        <v>1265</v>
      </c>
      <c r="X6" s="7">
        <v>865</v>
      </c>
      <c r="Y6" s="7">
        <f t="shared" ref="Y6:Y16" si="7">W6+X6</f>
        <v>2130</v>
      </c>
      <c r="Z6" s="7">
        <v>1334</v>
      </c>
      <c r="AA6" s="7">
        <v>855</v>
      </c>
      <c r="AB6" s="7">
        <f t="shared" ref="AB6:AB16" si="8">Z6+AA6</f>
        <v>2189</v>
      </c>
      <c r="AC6" s="7">
        <v>1347</v>
      </c>
      <c r="AD6" s="7">
        <v>824</v>
      </c>
      <c r="AE6" s="7">
        <f t="shared" ref="AE6:AE16" si="9">AC6+AD6</f>
        <v>2171</v>
      </c>
    </row>
    <row r="7" spans="1:31" x14ac:dyDescent="0.2">
      <c r="A7" s="12" t="s">
        <v>112</v>
      </c>
      <c r="B7" s="7">
        <v>16114</v>
      </c>
      <c r="C7" s="7">
        <v>8202</v>
      </c>
      <c r="D7" s="7">
        <f t="shared" si="0"/>
        <v>24316</v>
      </c>
      <c r="E7" s="7">
        <v>15727</v>
      </c>
      <c r="F7" s="7">
        <v>7994</v>
      </c>
      <c r="G7" s="7">
        <f t="shared" si="1"/>
        <v>23721</v>
      </c>
      <c r="H7" s="7">
        <v>15133</v>
      </c>
      <c r="I7" s="7">
        <v>7887</v>
      </c>
      <c r="J7" s="7">
        <f t="shared" si="2"/>
        <v>23020</v>
      </c>
      <c r="K7" s="7">
        <v>14782</v>
      </c>
      <c r="L7" s="7">
        <v>7608</v>
      </c>
      <c r="M7" s="7">
        <f t="shared" si="3"/>
        <v>22390</v>
      </c>
      <c r="N7" s="7">
        <v>14729</v>
      </c>
      <c r="O7" s="7">
        <v>7726</v>
      </c>
      <c r="P7" s="7">
        <f t="shared" si="4"/>
        <v>22455</v>
      </c>
      <c r="Q7" s="7">
        <v>15438</v>
      </c>
      <c r="R7" s="7">
        <v>8137</v>
      </c>
      <c r="S7" s="7">
        <f t="shared" si="5"/>
        <v>23575</v>
      </c>
      <c r="T7" s="7">
        <v>15302</v>
      </c>
      <c r="U7" s="7">
        <v>8228</v>
      </c>
      <c r="V7" s="7">
        <f t="shared" si="6"/>
        <v>23530</v>
      </c>
      <c r="W7" s="7">
        <v>14582</v>
      </c>
      <c r="X7" s="7">
        <v>7791</v>
      </c>
      <c r="Y7" s="7">
        <f t="shared" si="7"/>
        <v>22373</v>
      </c>
      <c r="Z7" s="7">
        <v>14137</v>
      </c>
      <c r="AA7" s="7">
        <v>7655</v>
      </c>
      <c r="AB7" s="7">
        <f t="shared" si="8"/>
        <v>21792</v>
      </c>
      <c r="AC7" s="7">
        <v>14268</v>
      </c>
      <c r="AD7" s="7">
        <v>7472</v>
      </c>
      <c r="AE7" s="7">
        <f t="shared" si="9"/>
        <v>21740</v>
      </c>
    </row>
    <row r="8" spans="1:31" x14ac:dyDescent="0.2">
      <c r="A8" s="12" t="s">
        <v>113</v>
      </c>
      <c r="B8" s="7">
        <v>12578</v>
      </c>
      <c r="C8" s="7">
        <v>5186</v>
      </c>
      <c r="D8" s="7">
        <f t="shared" si="0"/>
        <v>17764</v>
      </c>
      <c r="E8" s="7">
        <v>12093</v>
      </c>
      <c r="F8" s="7">
        <v>5077</v>
      </c>
      <c r="G8" s="7">
        <f t="shared" si="1"/>
        <v>17170</v>
      </c>
      <c r="H8" s="7">
        <v>11643</v>
      </c>
      <c r="I8" s="7">
        <v>4919</v>
      </c>
      <c r="J8" s="7">
        <f t="shared" si="2"/>
        <v>16562</v>
      </c>
      <c r="K8" s="7">
        <v>11368</v>
      </c>
      <c r="L8" s="7">
        <v>4797</v>
      </c>
      <c r="M8" s="7">
        <f t="shared" si="3"/>
        <v>16165</v>
      </c>
      <c r="N8" s="7">
        <v>11761</v>
      </c>
      <c r="O8" s="7">
        <v>5056</v>
      </c>
      <c r="P8" s="7">
        <f t="shared" si="4"/>
        <v>16817</v>
      </c>
      <c r="Q8" s="7">
        <v>12612</v>
      </c>
      <c r="R8" s="7">
        <v>5560</v>
      </c>
      <c r="S8" s="7">
        <f t="shared" si="5"/>
        <v>18172</v>
      </c>
      <c r="T8" s="7">
        <v>12769</v>
      </c>
      <c r="U8" s="7">
        <v>5766</v>
      </c>
      <c r="V8" s="7">
        <f t="shared" si="6"/>
        <v>18535</v>
      </c>
      <c r="W8" s="7">
        <v>12676</v>
      </c>
      <c r="X8" s="7">
        <v>5680</v>
      </c>
      <c r="Y8" s="7">
        <f t="shared" si="7"/>
        <v>18356</v>
      </c>
      <c r="Z8" s="7">
        <v>12704</v>
      </c>
      <c r="AA8" s="7">
        <v>5562</v>
      </c>
      <c r="AB8" s="7">
        <f t="shared" si="8"/>
        <v>18266</v>
      </c>
      <c r="AC8" s="7">
        <v>13350</v>
      </c>
      <c r="AD8" s="7">
        <v>5537</v>
      </c>
      <c r="AE8" s="7">
        <f t="shared" si="9"/>
        <v>18887</v>
      </c>
    </row>
    <row r="9" spans="1:31" x14ac:dyDescent="0.2">
      <c r="A9" s="12" t="s">
        <v>114</v>
      </c>
      <c r="B9" s="7">
        <v>5353</v>
      </c>
      <c r="C9" s="7">
        <v>2024</v>
      </c>
      <c r="D9" s="7">
        <f t="shared" si="0"/>
        <v>7377</v>
      </c>
      <c r="E9" s="7">
        <v>5254</v>
      </c>
      <c r="F9" s="7">
        <v>2033</v>
      </c>
      <c r="G9" s="7">
        <f t="shared" si="1"/>
        <v>7287</v>
      </c>
      <c r="H9" s="7">
        <v>5118</v>
      </c>
      <c r="I9" s="7">
        <v>1982</v>
      </c>
      <c r="J9" s="7">
        <f t="shared" si="2"/>
        <v>7100</v>
      </c>
      <c r="K9" s="7">
        <v>5062</v>
      </c>
      <c r="L9" s="7">
        <v>2043</v>
      </c>
      <c r="M9" s="7">
        <f t="shared" si="3"/>
        <v>7105</v>
      </c>
      <c r="N9" s="7">
        <v>5371</v>
      </c>
      <c r="O9" s="7">
        <v>2048</v>
      </c>
      <c r="P9" s="7">
        <f t="shared" si="4"/>
        <v>7419</v>
      </c>
      <c r="Q9" s="7">
        <v>5744</v>
      </c>
      <c r="R9" s="7">
        <v>2171</v>
      </c>
      <c r="S9" s="7">
        <f t="shared" si="5"/>
        <v>7915</v>
      </c>
      <c r="T9" s="7">
        <v>6136</v>
      </c>
      <c r="U9" s="7">
        <v>2259</v>
      </c>
      <c r="V9" s="7">
        <f t="shared" si="6"/>
        <v>8395</v>
      </c>
      <c r="W9" s="7">
        <v>6372</v>
      </c>
      <c r="X9" s="7">
        <v>2338</v>
      </c>
      <c r="Y9" s="7">
        <f t="shared" si="7"/>
        <v>8710</v>
      </c>
      <c r="Z9" s="7">
        <v>6595</v>
      </c>
      <c r="AA9" s="7">
        <v>2478</v>
      </c>
      <c r="AB9" s="7">
        <f t="shared" si="8"/>
        <v>9073</v>
      </c>
      <c r="AC9" s="7">
        <v>7024</v>
      </c>
      <c r="AD9" s="7">
        <v>2498</v>
      </c>
      <c r="AE9" s="7">
        <f t="shared" si="9"/>
        <v>9522</v>
      </c>
    </row>
    <row r="10" spans="1:31" x14ac:dyDescent="0.2">
      <c r="A10" s="12" t="s">
        <v>115</v>
      </c>
      <c r="B10" s="7">
        <v>14879</v>
      </c>
      <c r="C10" s="7">
        <v>5157</v>
      </c>
      <c r="D10" s="7">
        <f t="shared" si="0"/>
        <v>20036</v>
      </c>
      <c r="E10" s="7">
        <v>14983</v>
      </c>
      <c r="F10" s="7">
        <v>5171</v>
      </c>
      <c r="G10" s="7">
        <f t="shared" si="1"/>
        <v>20154</v>
      </c>
      <c r="H10" s="7">
        <v>15074</v>
      </c>
      <c r="I10" s="7">
        <v>5298</v>
      </c>
      <c r="J10" s="7">
        <f t="shared" si="2"/>
        <v>20372</v>
      </c>
      <c r="K10" s="7">
        <v>15274</v>
      </c>
      <c r="L10" s="7">
        <v>5377</v>
      </c>
      <c r="M10" s="7">
        <f t="shared" si="3"/>
        <v>20651</v>
      </c>
      <c r="N10" s="7">
        <v>16396</v>
      </c>
      <c r="O10" s="7">
        <v>5888</v>
      </c>
      <c r="P10" s="7">
        <f t="shared" si="4"/>
        <v>22284</v>
      </c>
      <c r="Q10" s="7">
        <v>18583</v>
      </c>
      <c r="R10" s="7">
        <v>6818</v>
      </c>
      <c r="S10" s="7">
        <f t="shared" si="5"/>
        <v>25401</v>
      </c>
      <c r="T10" s="7">
        <v>19744</v>
      </c>
      <c r="U10" s="7">
        <v>7169</v>
      </c>
      <c r="V10" s="7">
        <f t="shared" si="6"/>
        <v>26913</v>
      </c>
      <c r="W10" s="7">
        <v>21136</v>
      </c>
      <c r="X10" s="7">
        <v>7410</v>
      </c>
      <c r="Y10" s="7">
        <f t="shared" si="7"/>
        <v>28546</v>
      </c>
      <c r="Z10" s="7">
        <v>22933</v>
      </c>
      <c r="AA10" s="7">
        <v>7498</v>
      </c>
      <c r="AB10" s="7">
        <f t="shared" si="8"/>
        <v>30431</v>
      </c>
      <c r="AC10" s="7">
        <v>24839</v>
      </c>
      <c r="AD10" s="7">
        <v>8060</v>
      </c>
      <c r="AE10" s="7">
        <f t="shared" si="9"/>
        <v>32899</v>
      </c>
    </row>
    <row r="11" spans="1:31" x14ac:dyDescent="0.2">
      <c r="A11" s="12" t="s">
        <v>116</v>
      </c>
      <c r="B11" s="7">
        <v>25206</v>
      </c>
      <c r="C11" s="7">
        <v>9655</v>
      </c>
      <c r="D11" s="7">
        <f t="shared" si="0"/>
        <v>34861</v>
      </c>
      <c r="E11" s="7">
        <v>25200</v>
      </c>
      <c r="F11" s="7">
        <v>9200</v>
      </c>
      <c r="G11" s="7">
        <f t="shared" si="1"/>
        <v>34400</v>
      </c>
      <c r="H11" s="7">
        <v>24879</v>
      </c>
      <c r="I11" s="7">
        <v>8877</v>
      </c>
      <c r="J11" s="7">
        <f t="shared" si="2"/>
        <v>33756</v>
      </c>
      <c r="K11" s="7">
        <v>25299</v>
      </c>
      <c r="L11" s="7">
        <v>8604</v>
      </c>
      <c r="M11" s="7">
        <f t="shared" si="3"/>
        <v>33903</v>
      </c>
      <c r="N11" s="7">
        <v>27102</v>
      </c>
      <c r="O11" s="7">
        <v>8883</v>
      </c>
      <c r="P11" s="7">
        <f t="shared" si="4"/>
        <v>35985</v>
      </c>
      <c r="Q11" s="7">
        <v>29800</v>
      </c>
      <c r="R11" s="7">
        <v>9674</v>
      </c>
      <c r="S11" s="7">
        <f t="shared" si="5"/>
        <v>39474</v>
      </c>
      <c r="T11" s="7">
        <v>32083</v>
      </c>
      <c r="U11" s="7">
        <v>10272</v>
      </c>
      <c r="V11" s="7">
        <f t="shared" si="6"/>
        <v>42355</v>
      </c>
      <c r="W11" s="7">
        <v>33711</v>
      </c>
      <c r="X11" s="7">
        <v>10598</v>
      </c>
      <c r="Y11" s="7">
        <f t="shared" si="7"/>
        <v>44309</v>
      </c>
      <c r="Z11" s="7">
        <v>36261</v>
      </c>
      <c r="AA11" s="7">
        <v>11216</v>
      </c>
      <c r="AB11" s="7">
        <f t="shared" si="8"/>
        <v>47477</v>
      </c>
      <c r="AC11" s="7">
        <v>39369</v>
      </c>
      <c r="AD11" s="7">
        <v>12016</v>
      </c>
      <c r="AE11" s="7">
        <f t="shared" si="9"/>
        <v>51385</v>
      </c>
    </row>
    <row r="12" spans="1:31" x14ac:dyDescent="0.2">
      <c r="A12" s="12" t="s">
        <v>117</v>
      </c>
      <c r="B12" s="7">
        <v>19393</v>
      </c>
      <c r="C12" s="7">
        <v>8615</v>
      </c>
      <c r="D12" s="7">
        <f t="shared" si="0"/>
        <v>28008</v>
      </c>
      <c r="E12" s="7">
        <v>18863</v>
      </c>
      <c r="F12" s="7">
        <v>8061</v>
      </c>
      <c r="G12" s="7">
        <f t="shared" si="1"/>
        <v>26924</v>
      </c>
      <c r="H12" s="7">
        <v>18255</v>
      </c>
      <c r="I12" s="7">
        <v>7540</v>
      </c>
      <c r="J12" s="7">
        <f t="shared" si="2"/>
        <v>25795</v>
      </c>
      <c r="K12" s="7">
        <v>18036</v>
      </c>
      <c r="L12" s="7">
        <v>7184</v>
      </c>
      <c r="M12" s="7">
        <f t="shared" si="3"/>
        <v>25220</v>
      </c>
      <c r="N12" s="7">
        <v>17853</v>
      </c>
      <c r="O12" s="7">
        <v>6690</v>
      </c>
      <c r="P12" s="7">
        <f t="shared" si="4"/>
        <v>24543</v>
      </c>
      <c r="Q12" s="7">
        <v>18346</v>
      </c>
      <c r="R12" s="7">
        <v>6586</v>
      </c>
      <c r="S12" s="7">
        <f t="shared" si="5"/>
        <v>24932</v>
      </c>
      <c r="T12" s="7">
        <v>18886</v>
      </c>
      <c r="U12" s="7">
        <v>6522</v>
      </c>
      <c r="V12" s="7">
        <f t="shared" si="6"/>
        <v>25408</v>
      </c>
      <c r="W12" s="7">
        <v>19125</v>
      </c>
      <c r="X12" s="7">
        <v>6213</v>
      </c>
      <c r="Y12" s="7">
        <f t="shared" si="7"/>
        <v>25338</v>
      </c>
      <c r="Z12" s="7">
        <v>20100</v>
      </c>
      <c r="AA12" s="7">
        <v>6285</v>
      </c>
      <c r="AB12" s="7">
        <f t="shared" si="8"/>
        <v>26385</v>
      </c>
      <c r="AC12" s="7">
        <v>21606</v>
      </c>
      <c r="AD12" s="7">
        <v>6399</v>
      </c>
      <c r="AE12" s="7">
        <f t="shared" si="9"/>
        <v>28005</v>
      </c>
    </row>
    <row r="13" spans="1:31" x14ac:dyDescent="0.2">
      <c r="A13" s="12" t="s">
        <v>118</v>
      </c>
      <c r="B13" s="7">
        <v>70328</v>
      </c>
      <c r="C13" s="7">
        <v>39631</v>
      </c>
      <c r="D13" s="7">
        <f t="shared" si="0"/>
        <v>109959</v>
      </c>
      <c r="E13" s="7">
        <v>66253</v>
      </c>
      <c r="F13" s="7">
        <v>36526</v>
      </c>
      <c r="G13" s="7">
        <f t="shared" si="1"/>
        <v>102779</v>
      </c>
      <c r="H13" s="7">
        <v>61030</v>
      </c>
      <c r="I13" s="7">
        <v>33420</v>
      </c>
      <c r="J13" s="7">
        <f t="shared" si="2"/>
        <v>94450</v>
      </c>
      <c r="K13" s="7">
        <v>56602</v>
      </c>
      <c r="L13" s="7">
        <v>30648</v>
      </c>
      <c r="M13" s="7">
        <f t="shared" si="3"/>
        <v>87250</v>
      </c>
      <c r="N13" s="7">
        <v>52795</v>
      </c>
      <c r="O13" s="7">
        <v>28258</v>
      </c>
      <c r="P13" s="7">
        <f t="shared" si="4"/>
        <v>81053</v>
      </c>
      <c r="Q13" s="7">
        <v>51990</v>
      </c>
      <c r="R13" s="7">
        <v>27498</v>
      </c>
      <c r="S13" s="7">
        <f t="shared" si="5"/>
        <v>79488</v>
      </c>
      <c r="T13" s="7">
        <v>50959</v>
      </c>
      <c r="U13" s="7">
        <v>26350</v>
      </c>
      <c r="V13" s="7">
        <f t="shared" si="6"/>
        <v>77309</v>
      </c>
      <c r="W13" s="7">
        <v>49188</v>
      </c>
      <c r="X13" s="7">
        <v>24641</v>
      </c>
      <c r="Y13" s="7">
        <f t="shared" si="7"/>
        <v>73829</v>
      </c>
      <c r="Z13" s="7">
        <v>48359</v>
      </c>
      <c r="AA13" s="7">
        <v>23329</v>
      </c>
      <c r="AB13" s="7">
        <f t="shared" si="8"/>
        <v>71688</v>
      </c>
      <c r="AC13" s="7">
        <v>48396</v>
      </c>
      <c r="AD13" s="7">
        <v>22454</v>
      </c>
      <c r="AE13" s="7">
        <f t="shared" si="9"/>
        <v>70850</v>
      </c>
    </row>
    <row r="14" spans="1:31" x14ac:dyDescent="0.2">
      <c r="A14" s="12" t="s">
        <v>119</v>
      </c>
      <c r="B14" s="7">
        <v>48365</v>
      </c>
      <c r="C14" s="7">
        <v>30258</v>
      </c>
      <c r="D14" s="7">
        <f t="shared" si="0"/>
        <v>78623</v>
      </c>
      <c r="E14" s="7">
        <v>50110</v>
      </c>
      <c r="F14" s="7">
        <v>31392</v>
      </c>
      <c r="G14" s="7">
        <f t="shared" si="1"/>
        <v>81502</v>
      </c>
      <c r="H14" s="7">
        <v>51408</v>
      </c>
      <c r="I14" s="7">
        <v>31559</v>
      </c>
      <c r="J14" s="7">
        <f t="shared" si="2"/>
        <v>82967</v>
      </c>
      <c r="K14" s="7">
        <v>51802</v>
      </c>
      <c r="L14" s="7">
        <v>31800</v>
      </c>
      <c r="M14" s="7">
        <f t="shared" si="3"/>
        <v>83602</v>
      </c>
      <c r="N14" s="7">
        <v>50885</v>
      </c>
      <c r="O14" s="7">
        <v>31288</v>
      </c>
      <c r="P14" s="7">
        <f t="shared" si="4"/>
        <v>82173</v>
      </c>
      <c r="Q14" s="7">
        <v>49901</v>
      </c>
      <c r="R14" s="7">
        <v>30978</v>
      </c>
      <c r="S14" s="7">
        <f t="shared" si="5"/>
        <v>80879</v>
      </c>
      <c r="T14" s="7">
        <v>48560</v>
      </c>
      <c r="U14" s="7">
        <v>30061</v>
      </c>
      <c r="V14" s="7">
        <f t="shared" si="6"/>
        <v>78621</v>
      </c>
      <c r="W14" s="7">
        <v>44944</v>
      </c>
      <c r="X14" s="7">
        <v>27721</v>
      </c>
      <c r="Y14" s="7">
        <f t="shared" si="7"/>
        <v>72665</v>
      </c>
      <c r="Z14" s="7">
        <v>40824</v>
      </c>
      <c r="AA14" s="7">
        <v>25139</v>
      </c>
      <c r="AB14" s="7">
        <f t="shared" si="8"/>
        <v>65963</v>
      </c>
      <c r="AC14" s="7">
        <v>37439</v>
      </c>
      <c r="AD14" s="7">
        <v>22880</v>
      </c>
      <c r="AE14" s="7">
        <f t="shared" si="9"/>
        <v>60319</v>
      </c>
    </row>
    <row r="15" spans="1:31" x14ac:dyDescent="0.2">
      <c r="A15" s="12" t="s">
        <v>120</v>
      </c>
      <c r="B15" s="7">
        <v>39987</v>
      </c>
      <c r="C15" s="7">
        <v>27707</v>
      </c>
      <c r="D15" s="7">
        <f t="shared" si="0"/>
        <v>67694</v>
      </c>
      <c r="E15" s="7">
        <v>42102</v>
      </c>
      <c r="F15" s="7">
        <v>28446</v>
      </c>
      <c r="G15" s="7">
        <f t="shared" si="1"/>
        <v>70548</v>
      </c>
      <c r="H15" s="7">
        <v>43992</v>
      </c>
      <c r="I15" s="7">
        <v>29294</v>
      </c>
      <c r="J15" s="7">
        <f t="shared" si="2"/>
        <v>73286</v>
      </c>
      <c r="K15" s="7">
        <v>46969</v>
      </c>
      <c r="L15" s="7">
        <v>30685</v>
      </c>
      <c r="M15" s="7">
        <f t="shared" si="3"/>
        <v>77654</v>
      </c>
      <c r="N15" s="7">
        <v>49696</v>
      </c>
      <c r="O15" s="7">
        <v>31963</v>
      </c>
      <c r="P15" s="7">
        <f t="shared" si="4"/>
        <v>81659</v>
      </c>
      <c r="Q15" s="7">
        <v>53246</v>
      </c>
      <c r="R15" s="7">
        <v>33615</v>
      </c>
      <c r="S15" s="7">
        <f t="shared" si="5"/>
        <v>86861</v>
      </c>
      <c r="T15" s="7">
        <v>55916</v>
      </c>
      <c r="U15" s="7">
        <v>35419</v>
      </c>
      <c r="V15" s="7">
        <f t="shared" si="6"/>
        <v>91335</v>
      </c>
      <c r="W15" s="7">
        <v>57646</v>
      </c>
      <c r="X15" s="7">
        <v>36313</v>
      </c>
      <c r="Y15" s="7">
        <f t="shared" si="7"/>
        <v>93959</v>
      </c>
      <c r="Z15" s="7">
        <v>58289</v>
      </c>
      <c r="AA15" s="7">
        <v>36450</v>
      </c>
      <c r="AB15" s="7">
        <f t="shared" si="8"/>
        <v>94739</v>
      </c>
      <c r="AC15" s="7">
        <v>57318</v>
      </c>
      <c r="AD15" s="7">
        <v>36368</v>
      </c>
      <c r="AE15" s="7">
        <f t="shared" si="9"/>
        <v>93686</v>
      </c>
    </row>
    <row r="16" spans="1:31" x14ac:dyDescent="0.2">
      <c r="A16" s="12" t="s">
        <v>121</v>
      </c>
      <c r="B16" s="7">
        <v>153178</v>
      </c>
      <c r="C16" s="7">
        <v>99469</v>
      </c>
      <c r="D16" s="7">
        <f t="shared" si="0"/>
        <v>252647</v>
      </c>
      <c r="E16" s="7">
        <v>157263</v>
      </c>
      <c r="F16" s="7">
        <v>101413</v>
      </c>
      <c r="G16" s="7">
        <f t="shared" si="1"/>
        <v>258676</v>
      </c>
      <c r="H16" s="7">
        <v>160449</v>
      </c>
      <c r="I16" s="7">
        <v>102660</v>
      </c>
      <c r="J16" s="7">
        <f t="shared" si="2"/>
        <v>263109</v>
      </c>
      <c r="K16" s="7">
        <v>162953</v>
      </c>
      <c r="L16" s="7">
        <v>104000</v>
      </c>
      <c r="M16" s="7">
        <f t="shared" si="3"/>
        <v>266953</v>
      </c>
      <c r="N16" s="7">
        <v>168242</v>
      </c>
      <c r="O16" s="7">
        <v>106847</v>
      </c>
      <c r="P16" s="7">
        <f t="shared" si="4"/>
        <v>275089</v>
      </c>
      <c r="Q16" s="7">
        <v>174848</v>
      </c>
      <c r="R16" s="7">
        <v>110267</v>
      </c>
      <c r="S16" s="7">
        <f t="shared" si="5"/>
        <v>285115</v>
      </c>
      <c r="T16" s="7">
        <v>176788</v>
      </c>
      <c r="U16" s="7">
        <v>111541</v>
      </c>
      <c r="V16" s="7">
        <f t="shared" si="6"/>
        <v>288329</v>
      </c>
      <c r="W16" s="7">
        <v>179148</v>
      </c>
      <c r="X16" s="7">
        <v>112763</v>
      </c>
      <c r="Y16" s="7">
        <f t="shared" si="7"/>
        <v>291911</v>
      </c>
      <c r="Z16" s="7">
        <v>183833</v>
      </c>
      <c r="AA16" s="7">
        <v>114872</v>
      </c>
      <c r="AB16" s="7">
        <f t="shared" si="8"/>
        <v>298705</v>
      </c>
      <c r="AC16" s="7">
        <v>189106</v>
      </c>
      <c r="AD16" s="7">
        <v>117047</v>
      </c>
      <c r="AE16" s="7">
        <f t="shared" si="9"/>
        <v>306153</v>
      </c>
    </row>
    <row r="17" spans="1:31" x14ac:dyDescent="0.2">
      <c r="A17" s="13" t="s">
        <v>110</v>
      </c>
      <c r="B17" s="14">
        <f t="shared" ref="B17:AE17" si="10">SUM(B6:B16)</f>
        <v>406551</v>
      </c>
      <c r="C17" s="14">
        <f t="shared" si="10"/>
        <v>236607</v>
      </c>
      <c r="D17" s="14">
        <f t="shared" si="10"/>
        <v>643158</v>
      </c>
      <c r="E17" s="14">
        <f t="shared" si="10"/>
        <v>408960</v>
      </c>
      <c r="F17" s="14">
        <f t="shared" si="10"/>
        <v>235983</v>
      </c>
      <c r="G17" s="14">
        <f t="shared" si="10"/>
        <v>644943</v>
      </c>
      <c r="H17" s="14">
        <f t="shared" si="10"/>
        <v>408103</v>
      </c>
      <c r="I17" s="14">
        <f t="shared" si="10"/>
        <v>234137</v>
      </c>
      <c r="J17" s="14">
        <f t="shared" si="10"/>
        <v>642240</v>
      </c>
      <c r="K17" s="14">
        <f t="shared" si="10"/>
        <v>409205</v>
      </c>
      <c r="L17" s="14">
        <f t="shared" si="10"/>
        <v>233472</v>
      </c>
      <c r="M17" s="14">
        <f t="shared" si="10"/>
        <v>642677</v>
      </c>
      <c r="N17" s="14">
        <f t="shared" si="10"/>
        <v>416016</v>
      </c>
      <c r="O17" s="14">
        <f t="shared" si="10"/>
        <v>235401</v>
      </c>
      <c r="P17" s="14">
        <f t="shared" si="10"/>
        <v>651417</v>
      </c>
      <c r="Q17" s="14">
        <f t="shared" si="10"/>
        <v>431818</v>
      </c>
      <c r="R17" s="14">
        <f t="shared" si="10"/>
        <v>242165</v>
      </c>
      <c r="S17" s="14">
        <f t="shared" si="10"/>
        <v>673983</v>
      </c>
      <c r="T17" s="14">
        <f t="shared" si="10"/>
        <v>438469</v>
      </c>
      <c r="U17" s="14">
        <f t="shared" si="10"/>
        <v>244473</v>
      </c>
      <c r="V17" s="14">
        <f t="shared" si="10"/>
        <v>682942</v>
      </c>
      <c r="W17" s="14">
        <f t="shared" si="10"/>
        <v>439793</v>
      </c>
      <c r="X17" s="14">
        <f t="shared" si="10"/>
        <v>242333</v>
      </c>
      <c r="Y17" s="14">
        <f t="shared" si="10"/>
        <v>682126</v>
      </c>
      <c r="Z17" s="14">
        <f t="shared" si="10"/>
        <v>445369</v>
      </c>
      <c r="AA17" s="14">
        <f t="shared" si="10"/>
        <v>241339</v>
      </c>
      <c r="AB17" s="14">
        <f t="shared" si="10"/>
        <v>686708</v>
      </c>
      <c r="AC17" s="14">
        <f t="shared" si="10"/>
        <v>454062</v>
      </c>
      <c r="AD17" s="14">
        <f t="shared" si="10"/>
        <v>241555</v>
      </c>
      <c r="AE17" s="14">
        <f t="shared" si="10"/>
        <v>695617</v>
      </c>
    </row>
  </sheetData>
  <mergeCells count="10">
    <mergeCell ref="Z4:AB4"/>
    <mergeCell ref="N4:P4"/>
    <mergeCell ref="AC4:AE4"/>
    <mergeCell ref="K4:M4"/>
    <mergeCell ref="B4:D4"/>
    <mergeCell ref="H4:J4"/>
    <mergeCell ref="Q4:S4"/>
    <mergeCell ref="T4:V4"/>
    <mergeCell ref="W4:Y4"/>
    <mergeCell ref="E4:G4"/>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48"/>
  <sheetViews>
    <sheetView topLeftCell="A13" zoomScale="111" workbookViewId="0">
      <selection activeCell="D53" sqref="D53"/>
    </sheetView>
  </sheetViews>
  <sheetFormatPr baseColWidth="10" defaultColWidth="8.83203125" defaultRowHeight="15" x14ac:dyDescent="0.2"/>
  <cols>
    <col min="1" max="1" width="26" customWidth="1"/>
    <col min="2" max="2" width="24.5" customWidth="1"/>
    <col min="3" max="4" width="12" customWidth="1"/>
    <col min="5" max="5" width="11" customWidth="1"/>
    <col min="6" max="8" width="12" customWidth="1"/>
    <col min="9" max="9" width="11" customWidth="1"/>
    <col min="10" max="10" width="12" customWidth="1"/>
    <col min="11" max="11" width="13" customWidth="1"/>
    <col min="12" max="13" width="15" customWidth="1"/>
    <col min="14" max="14" width="14" customWidth="1"/>
  </cols>
  <sheetData>
    <row r="1" spans="1:14" ht="19" x14ac:dyDescent="0.25">
      <c r="A1" s="1" t="s">
        <v>122</v>
      </c>
    </row>
    <row r="2" spans="1:14" x14ac:dyDescent="0.2">
      <c r="A2" s="2" t="s">
        <v>123</v>
      </c>
    </row>
    <row r="4" spans="1:14" ht="30" customHeight="1" x14ac:dyDescent="0.2">
      <c r="A4" s="5" t="s">
        <v>124</v>
      </c>
      <c r="B4" s="5" t="s">
        <v>125</v>
      </c>
      <c r="C4" s="5" t="s">
        <v>126</v>
      </c>
      <c r="D4" s="5" t="s">
        <v>101</v>
      </c>
      <c r="E4" s="5" t="s">
        <v>102</v>
      </c>
      <c r="F4" s="5" t="s">
        <v>127</v>
      </c>
      <c r="G4" s="5" t="s">
        <v>128</v>
      </c>
      <c r="H4" s="5" t="s">
        <v>100</v>
      </c>
      <c r="I4" s="5" t="s">
        <v>129</v>
      </c>
      <c r="J4" s="5" t="s">
        <v>130</v>
      </c>
      <c r="K4" s="5" t="s">
        <v>131</v>
      </c>
      <c r="L4" s="5" t="s">
        <v>132</v>
      </c>
      <c r="M4" s="5" t="s">
        <v>105</v>
      </c>
      <c r="N4" s="5" t="s">
        <v>133</v>
      </c>
    </row>
    <row r="5" spans="1:14" x14ac:dyDescent="0.2">
      <c r="A5" s="6" t="s">
        <v>134</v>
      </c>
      <c r="B5" s="7">
        <v>76079</v>
      </c>
      <c r="C5" s="7">
        <v>73638</v>
      </c>
      <c r="D5" s="7">
        <f t="shared" ref="D5:D17" si="0">B5-C5</f>
        <v>2441</v>
      </c>
      <c r="E5" s="9">
        <f t="shared" ref="E5:E17" si="1">IFERROR(D5/C5,"")</f>
        <v>3.3148646079469837E-2</v>
      </c>
      <c r="F5" s="7">
        <v>48708</v>
      </c>
      <c r="G5" s="7">
        <v>27371</v>
      </c>
      <c r="H5" s="8">
        <f t="shared" ref="H5:H18" si="2">G5/B5</f>
        <v>0.35977076459995533</v>
      </c>
      <c r="I5" s="7">
        <v>5892</v>
      </c>
      <c r="J5" s="7">
        <v>36879</v>
      </c>
      <c r="K5" s="7">
        <v>11245898</v>
      </c>
      <c r="L5" s="10">
        <f t="shared" ref="L5:L16" si="3">B5/K5*1000</f>
        <v>6.7650444633234272</v>
      </c>
      <c r="M5" s="10">
        <f t="shared" ref="M5:M16" si="4">IFERROR(B5/N5,"")</f>
        <v>854.82022471910113</v>
      </c>
      <c r="N5" s="10">
        <v>89</v>
      </c>
    </row>
    <row r="6" spans="1:14" x14ac:dyDescent="0.2">
      <c r="A6" s="6" t="s">
        <v>253</v>
      </c>
      <c r="B6" s="7">
        <v>144501</v>
      </c>
      <c r="C6" s="7">
        <v>138837</v>
      </c>
      <c r="D6" s="7">
        <f t="shared" si="0"/>
        <v>5664</v>
      </c>
      <c r="E6" s="9">
        <f t="shared" si="1"/>
        <v>4.0796041401067441E-2</v>
      </c>
      <c r="F6" s="7">
        <v>92486</v>
      </c>
      <c r="G6" s="7">
        <v>52015</v>
      </c>
      <c r="H6" s="8">
        <f t="shared" si="2"/>
        <v>0.35996290683109461</v>
      </c>
      <c r="I6" s="7">
        <v>9557</v>
      </c>
      <c r="J6" s="7">
        <v>63445</v>
      </c>
      <c r="K6" s="7">
        <v>13248928</v>
      </c>
      <c r="L6" s="10">
        <f t="shared" si="3"/>
        <v>10.906618256209105</v>
      </c>
      <c r="M6" s="10">
        <f t="shared" si="4"/>
        <v>845.03508771929819</v>
      </c>
      <c r="N6" s="10">
        <v>171</v>
      </c>
    </row>
    <row r="7" spans="1:14" x14ac:dyDescent="0.2">
      <c r="A7" s="6" t="s">
        <v>262</v>
      </c>
      <c r="B7" s="7">
        <v>27777</v>
      </c>
      <c r="C7" s="7">
        <v>24022</v>
      </c>
      <c r="D7" s="7">
        <f t="shared" si="0"/>
        <v>3755</v>
      </c>
      <c r="E7" s="9">
        <f t="shared" si="1"/>
        <v>0.1563150445425027</v>
      </c>
      <c r="F7" s="7">
        <v>18775</v>
      </c>
      <c r="G7" s="7">
        <v>9002</v>
      </c>
      <c r="H7" s="8">
        <f t="shared" si="2"/>
        <v>0.32408107427007954</v>
      </c>
      <c r="I7" s="7">
        <v>1774</v>
      </c>
      <c r="J7" s="7">
        <v>11155</v>
      </c>
      <c r="K7" s="7">
        <v>6242012</v>
      </c>
      <c r="L7" s="10">
        <f t="shared" si="3"/>
        <v>4.4500074655415593</v>
      </c>
      <c r="M7" s="10">
        <f t="shared" si="4"/>
        <v>1461.9473684210527</v>
      </c>
      <c r="N7" s="10">
        <v>19</v>
      </c>
    </row>
    <row r="8" spans="1:14" x14ac:dyDescent="0.2">
      <c r="A8" s="6" t="s">
        <v>137</v>
      </c>
      <c r="B8" s="7">
        <v>22099</v>
      </c>
      <c r="C8" s="7">
        <v>21615</v>
      </c>
      <c r="D8" s="7">
        <f t="shared" si="0"/>
        <v>484</v>
      </c>
      <c r="E8" s="9">
        <f t="shared" si="1"/>
        <v>2.2391857506361322E-2</v>
      </c>
      <c r="F8" s="7">
        <v>13936</v>
      </c>
      <c r="G8" s="7">
        <v>8163</v>
      </c>
      <c r="H8" s="8">
        <f t="shared" si="2"/>
        <v>0.36938323001040774</v>
      </c>
      <c r="I8" s="7">
        <v>2351</v>
      </c>
      <c r="J8" s="7">
        <v>9527</v>
      </c>
      <c r="K8" s="7">
        <v>1862565</v>
      </c>
      <c r="L8" s="10">
        <f t="shared" si="3"/>
        <v>11.864820825045031</v>
      </c>
      <c r="M8" s="10">
        <f t="shared" si="4"/>
        <v>1163.1052631578948</v>
      </c>
      <c r="N8" s="10">
        <v>19</v>
      </c>
    </row>
    <row r="9" spans="1:14" x14ac:dyDescent="0.2">
      <c r="A9" s="6" t="s">
        <v>254</v>
      </c>
      <c r="B9" s="7">
        <v>49741</v>
      </c>
      <c r="C9" s="7">
        <v>48284</v>
      </c>
      <c r="D9" s="7">
        <f t="shared" si="0"/>
        <v>1457</v>
      </c>
      <c r="E9" s="9">
        <f t="shared" si="1"/>
        <v>3.0175627537072321E-2</v>
      </c>
      <c r="F9" s="7">
        <v>32266</v>
      </c>
      <c r="G9" s="7">
        <v>17475</v>
      </c>
      <c r="H9" s="8">
        <f t="shared" si="2"/>
        <v>0.35131983675438772</v>
      </c>
      <c r="I9" s="7">
        <v>3830</v>
      </c>
      <c r="J9" s="7">
        <v>22652</v>
      </c>
      <c r="K9" s="7">
        <v>6280793</v>
      </c>
      <c r="L9" s="10">
        <f t="shared" si="3"/>
        <v>7.9195413700149011</v>
      </c>
      <c r="M9" s="10">
        <f t="shared" si="4"/>
        <v>938.5094339622641</v>
      </c>
      <c r="N9" s="10">
        <v>53</v>
      </c>
    </row>
    <row r="10" spans="1:14" x14ac:dyDescent="0.2">
      <c r="A10" s="6" t="s">
        <v>139</v>
      </c>
      <c r="B10" s="7">
        <v>18752</v>
      </c>
      <c r="C10" s="7">
        <v>17152</v>
      </c>
      <c r="D10" s="7">
        <f t="shared" si="0"/>
        <v>1600</v>
      </c>
      <c r="E10" s="9">
        <f t="shared" si="1"/>
        <v>9.3283582089552244E-2</v>
      </c>
      <c r="F10" s="7">
        <v>12251</v>
      </c>
      <c r="G10" s="7">
        <v>6501</v>
      </c>
      <c r="H10" s="8">
        <f t="shared" si="2"/>
        <v>0.34668302047781568</v>
      </c>
      <c r="I10" s="7">
        <v>557</v>
      </c>
      <c r="J10" s="7">
        <v>7183</v>
      </c>
      <c r="K10" s="7">
        <v>1573597</v>
      </c>
      <c r="L10" s="10">
        <f t="shared" si="3"/>
        <v>11.916647019535498</v>
      </c>
      <c r="M10" s="10">
        <f t="shared" si="4"/>
        <v>1103.0588235294117</v>
      </c>
      <c r="N10" s="10">
        <v>17</v>
      </c>
    </row>
    <row r="11" spans="1:14" x14ac:dyDescent="0.2">
      <c r="A11" s="6" t="s">
        <v>255</v>
      </c>
      <c r="B11" s="7">
        <v>78772</v>
      </c>
      <c r="C11" s="7">
        <v>72383</v>
      </c>
      <c r="D11" s="7">
        <f t="shared" si="0"/>
        <v>6389</v>
      </c>
      <c r="E11" s="9">
        <f t="shared" si="1"/>
        <v>8.8266581932221658E-2</v>
      </c>
      <c r="F11" s="7">
        <v>52184</v>
      </c>
      <c r="G11" s="7">
        <v>26588</v>
      </c>
      <c r="H11" s="8">
        <f t="shared" si="2"/>
        <v>0.33753110242218048</v>
      </c>
      <c r="I11" s="7">
        <v>4131</v>
      </c>
      <c r="J11" s="7">
        <v>35353</v>
      </c>
      <c r="K11" s="7">
        <v>8709370</v>
      </c>
      <c r="L11" s="10">
        <f t="shared" si="3"/>
        <v>9.044511830362012</v>
      </c>
      <c r="M11" s="10">
        <f t="shared" si="4"/>
        <v>1009.8974358974359</v>
      </c>
      <c r="N11" s="10">
        <v>78</v>
      </c>
    </row>
    <row r="12" spans="1:14" x14ac:dyDescent="0.2">
      <c r="A12" s="6" t="s">
        <v>256</v>
      </c>
      <c r="B12" s="7">
        <v>144750</v>
      </c>
      <c r="C12" s="7">
        <v>134637</v>
      </c>
      <c r="D12" s="7">
        <f t="shared" si="0"/>
        <v>10113</v>
      </c>
      <c r="E12" s="9">
        <f t="shared" si="1"/>
        <v>7.5113081842287044E-2</v>
      </c>
      <c r="F12" s="7">
        <v>94837</v>
      </c>
      <c r="G12" s="7">
        <v>49913</v>
      </c>
      <c r="H12" s="8">
        <f t="shared" si="2"/>
        <v>0.34482210708117444</v>
      </c>
      <c r="I12" s="7">
        <v>8113</v>
      </c>
      <c r="J12" s="7">
        <v>67040</v>
      </c>
      <c r="K12" s="7">
        <v>18034454</v>
      </c>
      <c r="L12" s="10">
        <f t="shared" si="3"/>
        <v>8.0263034300899836</v>
      </c>
      <c r="M12" s="10">
        <f t="shared" si="4"/>
        <v>921.97452229299358</v>
      </c>
      <c r="N12" s="10">
        <v>157</v>
      </c>
    </row>
    <row r="13" spans="1:14" x14ac:dyDescent="0.2">
      <c r="A13" s="6" t="s">
        <v>257</v>
      </c>
      <c r="B13" s="7">
        <v>30113</v>
      </c>
      <c r="C13" s="7">
        <v>28298</v>
      </c>
      <c r="D13" s="7">
        <f t="shared" si="0"/>
        <v>1815</v>
      </c>
      <c r="E13" s="9">
        <f t="shared" si="1"/>
        <v>6.4138808396353095E-2</v>
      </c>
      <c r="F13" s="7">
        <v>19803</v>
      </c>
      <c r="G13" s="7">
        <v>10310</v>
      </c>
      <c r="H13" s="8">
        <f t="shared" si="2"/>
        <v>0.34237704645834027</v>
      </c>
      <c r="I13" s="7">
        <v>1877</v>
      </c>
      <c r="J13" s="7">
        <v>14337</v>
      </c>
      <c r="K13" s="7">
        <v>5141710</v>
      </c>
      <c r="L13" s="10">
        <f t="shared" si="3"/>
        <v>5.8566119053777825</v>
      </c>
      <c r="M13" s="10">
        <f t="shared" si="4"/>
        <v>772.12820512820508</v>
      </c>
      <c r="N13" s="10">
        <v>39</v>
      </c>
    </row>
    <row r="14" spans="1:14" x14ac:dyDescent="0.2">
      <c r="A14" s="6" t="s">
        <v>259</v>
      </c>
      <c r="B14" s="7">
        <v>2168</v>
      </c>
      <c r="C14" s="7">
        <v>1601</v>
      </c>
      <c r="D14" s="7">
        <f t="shared" si="0"/>
        <v>567</v>
      </c>
      <c r="E14" s="9">
        <f t="shared" si="1"/>
        <v>0.35415365396627108</v>
      </c>
      <c r="F14" s="7">
        <v>1113</v>
      </c>
      <c r="G14" s="7">
        <v>1055</v>
      </c>
      <c r="H14" s="8">
        <f t="shared" si="2"/>
        <v>0.48662361623616235</v>
      </c>
      <c r="I14" s="7">
        <v>172</v>
      </c>
      <c r="J14" s="7">
        <v>679</v>
      </c>
      <c r="K14" s="7">
        <v>2135597</v>
      </c>
      <c r="L14" s="10">
        <f t="shared" si="3"/>
        <v>1.0151728064798742</v>
      </c>
      <c r="M14" s="10">
        <f t="shared" si="4"/>
        <v>433.6</v>
      </c>
      <c r="N14" s="10">
        <v>5</v>
      </c>
    </row>
    <row r="15" spans="1:14" x14ac:dyDescent="0.2">
      <c r="A15" s="6" t="s">
        <v>258</v>
      </c>
      <c r="B15" s="7">
        <v>13696</v>
      </c>
      <c r="C15" s="7">
        <v>11727</v>
      </c>
      <c r="D15" s="7">
        <f t="shared" si="0"/>
        <v>1969</v>
      </c>
      <c r="E15" s="9">
        <f t="shared" si="1"/>
        <v>0.16790312953014411</v>
      </c>
      <c r="F15" s="7">
        <v>9222</v>
      </c>
      <c r="G15" s="7">
        <v>4474</v>
      </c>
      <c r="H15" s="8">
        <f t="shared" si="2"/>
        <v>0.32666471962616822</v>
      </c>
      <c r="I15" s="7">
        <v>835</v>
      </c>
      <c r="J15" s="7">
        <v>4784</v>
      </c>
      <c r="K15" s="7">
        <v>6142699</v>
      </c>
      <c r="L15" s="10">
        <f t="shared" si="3"/>
        <v>2.2296387955848074</v>
      </c>
      <c r="M15" s="10">
        <f t="shared" si="4"/>
        <v>652.19047619047615</v>
      </c>
      <c r="N15" s="10">
        <v>21</v>
      </c>
    </row>
    <row r="16" spans="1:14" x14ac:dyDescent="0.2">
      <c r="A16" s="6" t="s">
        <v>145</v>
      </c>
      <c r="B16" s="7">
        <v>54471</v>
      </c>
      <c r="C16" s="7">
        <v>48255</v>
      </c>
      <c r="D16" s="7">
        <f t="shared" si="0"/>
        <v>6216</v>
      </c>
      <c r="E16" s="9">
        <f t="shared" si="1"/>
        <v>0.12881566677028286</v>
      </c>
      <c r="F16" s="7">
        <v>35144</v>
      </c>
      <c r="G16" s="7">
        <v>19327</v>
      </c>
      <c r="H16" s="8">
        <f t="shared" si="2"/>
        <v>0.35481265260413797</v>
      </c>
      <c r="I16" s="7">
        <v>3399</v>
      </c>
      <c r="J16" s="7">
        <v>24189</v>
      </c>
      <c r="K16" s="7">
        <v>2959517</v>
      </c>
      <c r="L16" s="10">
        <f t="shared" si="3"/>
        <v>18.405368173252594</v>
      </c>
      <c r="M16" s="10">
        <f t="shared" si="4"/>
        <v>1027.7547169811321</v>
      </c>
      <c r="N16" s="10">
        <v>53</v>
      </c>
    </row>
    <row r="17" spans="1:14" x14ac:dyDescent="0.2">
      <c r="A17" s="6" t="s">
        <v>146</v>
      </c>
      <c r="B17" s="7">
        <v>32698</v>
      </c>
      <c r="C17" s="7">
        <v>22709</v>
      </c>
      <c r="D17" s="7">
        <f t="shared" si="0"/>
        <v>9989</v>
      </c>
      <c r="E17" s="9">
        <f t="shared" si="1"/>
        <v>0.43986965520278304</v>
      </c>
      <c r="F17" s="7">
        <v>23337</v>
      </c>
      <c r="G17" s="7">
        <v>9361</v>
      </c>
      <c r="H17" s="8">
        <f t="shared" si="2"/>
        <v>0.28628662303504804</v>
      </c>
      <c r="I17" s="7">
        <v>310</v>
      </c>
      <c r="J17" s="7">
        <v>8930</v>
      </c>
      <c r="K17" s="7" t="s">
        <v>147</v>
      </c>
      <c r="L17" s="10" t="s">
        <v>147</v>
      </c>
      <c r="M17" s="10" t="s">
        <v>147</v>
      </c>
      <c r="N17" s="10" t="s">
        <v>147</v>
      </c>
    </row>
    <row r="18" spans="1:14" x14ac:dyDescent="0.2">
      <c r="A18" s="13" t="s">
        <v>110</v>
      </c>
      <c r="B18" s="14">
        <f>SUM(B5:B17)</f>
        <v>695617</v>
      </c>
      <c r="C18" s="14">
        <f>SUM(C5:C17)</f>
        <v>643158</v>
      </c>
      <c r="D18" s="14">
        <f>SUM(D5:D17)</f>
        <v>52459</v>
      </c>
      <c r="E18" s="15">
        <f>D18/C18</f>
        <v>8.1564716601519371E-2</v>
      </c>
      <c r="F18" s="14">
        <f>SUM(F5:F17)</f>
        <v>454062</v>
      </c>
      <c r="G18" s="14">
        <f>SUM(G5:G17)</f>
        <v>241555</v>
      </c>
      <c r="H18" s="16">
        <f t="shared" si="2"/>
        <v>0.34725287047326331</v>
      </c>
      <c r="I18" s="14">
        <f>SUM(I5:I17)</f>
        <v>42798</v>
      </c>
      <c r="J18" s="14">
        <f>SUM(J5:J17)</f>
        <v>306153</v>
      </c>
      <c r="K18" s="7"/>
      <c r="L18" s="10"/>
      <c r="M18" s="10"/>
      <c r="N18" s="10"/>
    </row>
    <row r="20" spans="1:14" x14ac:dyDescent="0.2">
      <c r="A20" s="2" t="s">
        <v>148</v>
      </c>
    </row>
    <row r="22" spans="1:14" x14ac:dyDescent="0.2">
      <c r="A22" s="2" t="s">
        <v>245</v>
      </c>
    </row>
    <row r="23" spans="1:14" x14ac:dyDescent="0.2">
      <c r="A23" s="2" t="s">
        <v>246</v>
      </c>
    </row>
    <row r="24" spans="1:14" x14ac:dyDescent="0.2">
      <c r="A24" s="2" t="s">
        <v>247</v>
      </c>
    </row>
    <row r="25" spans="1:14" x14ac:dyDescent="0.2">
      <c r="A25" s="2" t="s">
        <v>248</v>
      </c>
    </row>
    <row r="28" spans="1:14" x14ac:dyDescent="0.2">
      <c r="A28" s="16" t="s">
        <v>249</v>
      </c>
    </row>
    <row r="29" spans="1:14" x14ac:dyDescent="0.2">
      <c r="A29" s="2" t="s">
        <v>250</v>
      </c>
    </row>
    <row r="30" spans="1:14" ht="30" x14ac:dyDescent="0.2">
      <c r="A30" s="5" t="s">
        <v>251</v>
      </c>
      <c r="B30" s="5" t="s">
        <v>252</v>
      </c>
      <c r="C30" s="5" t="s">
        <v>125</v>
      </c>
      <c r="D30" s="5" t="s">
        <v>131</v>
      </c>
      <c r="E30" s="5" t="s">
        <v>132</v>
      </c>
    </row>
    <row r="31" spans="1:14" x14ac:dyDescent="0.2">
      <c r="A31" t="e" vm="1">
        <v>#VALUE!</v>
      </c>
      <c r="B31" t="s">
        <v>134</v>
      </c>
      <c r="C31" s="7">
        <f>B5</f>
        <v>76079</v>
      </c>
      <c r="D31" s="7">
        <f t="shared" ref="D31:E33" si="5">K5</f>
        <v>11245898</v>
      </c>
      <c r="E31" s="9">
        <f t="shared" si="5"/>
        <v>6.7650444633234272</v>
      </c>
    </row>
    <row r="32" spans="1:14" x14ac:dyDescent="0.2">
      <c r="A32" t="e" vm="2">
        <v>#VALUE!</v>
      </c>
      <c r="B32" t="s">
        <v>135</v>
      </c>
      <c r="C32" s="7">
        <f>B6</f>
        <v>144501</v>
      </c>
      <c r="D32" s="7">
        <f t="shared" si="5"/>
        <v>13248928</v>
      </c>
      <c r="E32" s="9">
        <f t="shared" si="5"/>
        <v>10.906618256209105</v>
      </c>
    </row>
    <row r="33" spans="1:5" x14ac:dyDescent="0.2">
      <c r="A33" t="e" vm="3">
        <v>#VALUE!</v>
      </c>
      <c r="B33" t="s">
        <v>136</v>
      </c>
      <c r="C33" s="7">
        <f>B7</f>
        <v>27777</v>
      </c>
      <c r="D33" s="7">
        <f t="shared" si="5"/>
        <v>6242012</v>
      </c>
      <c r="E33" s="9">
        <f t="shared" si="5"/>
        <v>4.4500074655415593</v>
      </c>
    </row>
    <row r="34" spans="1:5" x14ac:dyDescent="0.2">
      <c r="A34" t="e" vm="4">
        <v>#VALUE!</v>
      </c>
      <c r="B34" t="s">
        <v>136</v>
      </c>
      <c r="C34" s="7">
        <f>B7</f>
        <v>27777</v>
      </c>
      <c r="D34" s="7">
        <f>K7</f>
        <v>6242012</v>
      </c>
      <c r="E34" s="9">
        <f>L7</f>
        <v>4.4500074655415593</v>
      </c>
    </row>
    <row r="35" spans="1:5" x14ac:dyDescent="0.2">
      <c r="A35" t="e" vm="5">
        <v>#VALUE!</v>
      </c>
      <c r="B35" t="s">
        <v>140</v>
      </c>
      <c r="C35" s="7">
        <f>B11</f>
        <v>78772</v>
      </c>
      <c r="D35" s="7">
        <f>K11</f>
        <v>8709370</v>
      </c>
      <c r="E35" s="9">
        <f>L11</f>
        <v>9.044511830362012</v>
      </c>
    </row>
    <row r="36" spans="1:5" x14ac:dyDescent="0.2">
      <c r="A36" t="e" vm="6">
        <v>#VALUE!</v>
      </c>
      <c r="B36" t="s">
        <v>137</v>
      </c>
      <c r="C36" s="7">
        <f>B8</f>
        <v>22099</v>
      </c>
      <c r="D36" s="7">
        <f>K8</f>
        <v>1862565</v>
      </c>
      <c r="E36" s="9">
        <f>L8</f>
        <v>11.864820825045031</v>
      </c>
    </row>
    <row r="37" spans="1:5" x14ac:dyDescent="0.2">
      <c r="A37" t="e" vm="7">
        <v>#VALUE!</v>
      </c>
      <c r="B37" t="s">
        <v>138</v>
      </c>
      <c r="C37" s="7">
        <f>B9</f>
        <v>49741</v>
      </c>
      <c r="D37" s="7">
        <f>K9</f>
        <v>6280793</v>
      </c>
      <c r="E37" s="9">
        <f>L9</f>
        <v>7.9195413700149011</v>
      </c>
    </row>
    <row r="38" spans="1:5" x14ac:dyDescent="0.2">
      <c r="A38" t="e" vm="8">
        <v>#VALUE!</v>
      </c>
      <c r="B38" t="s">
        <v>140</v>
      </c>
      <c r="C38" s="7">
        <f>B11</f>
        <v>78772</v>
      </c>
      <c r="D38" s="7">
        <f>K11</f>
        <v>8709370</v>
      </c>
      <c r="E38" s="9">
        <f>L11</f>
        <v>9.044511830362012</v>
      </c>
    </row>
    <row r="39" spans="1:5" x14ac:dyDescent="0.2">
      <c r="A39" t="e" vm="9">
        <v>#VALUE!</v>
      </c>
      <c r="B39" t="s">
        <v>139</v>
      </c>
      <c r="C39" s="7">
        <f>B10</f>
        <v>18752</v>
      </c>
      <c r="D39" s="7">
        <f>K10</f>
        <v>1573597</v>
      </c>
      <c r="E39" s="9">
        <f>L10</f>
        <v>11.916647019535498</v>
      </c>
    </row>
    <row r="40" spans="1:5" x14ac:dyDescent="0.2">
      <c r="A40" t="e" vm="10">
        <v>#VALUE!</v>
      </c>
      <c r="B40" t="s">
        <v>141</v>
      </c>
      <c r="C40" s="7">
        <f>B12</f>
        <v>144750</v>
      </c>
      <c r="D40" s="7">
        <f>K12</f>
        <v>18034454</v>
      </c>
      <c r="E40" s="9">
        <f>L12</f>
        <v>8.0263034300899836</v>
      </c>
    </row>
    <row r="41" spans="1:5" x14ac:dyDescent="0.2">
      <c r="A41" t="e" vm="11">
        <v>#VALUE!</v>
      </c>
      <c r="B41" t="s">
        <v>142</v>
      </c>
      <c r="C41" s="7">
        <f>B13</f>
        <v>30113</v>
      </c>
      <c r="D41" s="7">
        <f>K13</f>
        <v>5141710</v>
      </c>
      <c r="E41" s="9">
        <f>L13</f>
        <v>5.8566119053777825</v>
      </c>
    </row>
    <row r="42" spans="1:5" x14ac:dyDescent="0.2">
      <c r="A42" t="e" vm="12">
        <v>#VALUE!</v>
      </c>
      <c r="B42" t="s">
        <v>142</v>
      </c>
      <c r="C42" s="7">
        <f>B13</f>
        <v>30113</v>
      </c>
      <c r="D42" s="7">
        <f>K13</f>
        <v>5141710</v>
      </c>
      <c r="E42" s="9">
        <f>L13</f>
        <v>5.8566119053777825</v>
      </c>
    </row>
    <row r="43" spans="1:5" x14ac:dyDescent="0.2">
      <c r="A43" t="e" vm="13">
        <v>#VALUE!</v>
      </c>
      <c r="B43" t="s">
        <v>144</v>
      </c>
      <c r="C43" s="7">
        <f>B15</f>
        <v>13696</v>
      </c>
      <c r="D43" s="7">
        <f>K15</f>
        <v>6142699</v>
      </c>
      <c r="E43" s="9">
        <f>L15</f>
        <v>2.2296387955848074</v>
      </c>
    </row>
    <row r="44" spans="1:5" x14ac:dyDescent="0.2">
      <c r="A44" t="e" vm="14">
        <v>#VALUE!</v>
      </c>
      <c r="B44" t="s">
        <v>143</v>
      </c>
      <c r="C44" s="7">
        <f>B14</f>
        <v>2168</v>
      </c>
      <c r="D44" s="7">
        <f>K14</f>
        <v>2135597</v>
      </c>
      <c r="E44" s="9">
        <f>L14</f>
        <v>1.0151728064798742</v>
      </c>
    </row>
    <row r="45" spans="1:5" x14ac:dyDescent="0.2">
      <c r="A45" t="e" vm="15">
        <v>#VALUE!</v>
      </c>
      <c r="B45" t="s">
        <v>145</v>
      </c>
      <c r="C45" s="7">
        <f>B16</f>
        <v>54471</v>
      </c>
      <c r="D45" s="7">
        <f>K16</f>
        <v>2959517</v>
      </c>
      <c r="E45" s="9">
        <f>L16</f>
        <v>18.405368173252594</v>
      </c>
    </row>
    <row r="46" spans="1:5" x14ac:dyDescent="0.2">
      <c r="A46" t="s">
        <v>260</v>
      </c>
      <c r="B46" t="s">
        <v>144</v>
      </c>
      <c r="C46" s="7">
        <f>B15</f>
        <v>13696</v>
      </c>
      <c r="D46" s="7">
        <f>K15</f>
        <v>6142699</v>
      </c>
      <c r="E46" s="9">
        <f>L15</f>
        <v>2.2296387955848074</v>
      </c>
    </row>
    <row r="48" spans="1:5" x14ac:dyDescent="0.2">
      <c r="A48" s="2" t="s">
        <v>261</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I31"/>
  <sheetViews>
    <sheetView workbookViewId="0">
      <selection activeCell="F19" sqref="F19"/>
    </sheetView>
  </sheetViews>
  <sheetFormatPr baseColWidth="10" defaultColWidth="8.83203125" defaultRowHeight="15" x14ac:dyDescent="0.2"/>
  <cols>
    <col min="1" max="1" width="34" customWidth="1"/>
    <col min="2" max="8" width="13" customWidth="1"/>
    <col min="9" max="9" width="15" customWidth="1"/>
  </cols>
  <sheetData>
    <row r="1" spans="1:9" ht="19" x14ac:dyDescent="0.25">
      <c r="A1" s="1" t="s">
        <v>149</v>
      </c>
    </row>
    <row r="2" spans="1:9" x14ac:dyDescent="0.2">
      <c r="A2" s="2" t="s">
        <v>150</v>
      </c>
    </row>
    <row r="4" spans="1:9" ht="30" customHeight="1" x14ac:dyDescent="0.2">
      <c r="A4" s="5" t="s">
        <v>151</v>
      </c>
      <c r="B4" s="5" t="s">
        <v>152</v>
      </c>
      <c r="C4" s="5" t="s">
        <v>153</v>
      </c>
      <c r="D4" s="5" t="s">
        <v>154</v>
      </c>
      <c r="E4" s="5" t="s">
        <v>155</v>
      </c>
      <c r="F4" s="5" t="s">
        <v>156</v>
      </c>
      <c r="G4" s="5" t="s">
        <v>157</v>
      </c>
      <c r="H4" s="5" t="s">
        <v>158</v>
      </c>
      <c r="I4" s="5" t="s">
        <v>159</v>
      </c>
    </row>
    <row r="5" spans="1:9" x14ac:dyDescent="0.2">
      <c r="A5" s="6" t="s">
        <v>160</v>
      </c>
      <c r="B5" s="17">
        <v>67.62</v>
      </c>
      <c r="C5" s="17">
        <v>67.849999999999994</v>
      </c>
      <c r="D5" s="17">
        <v>68</v>
      </c>
      <c r="E5" s="17">
        <v>68.08</v>
      </c>
      <c r="F5" s="17">
        <v>67.849999999999994</v>
      </c>
      <c r="G5" s="17">
        <v>68.510000000000005</v>
      </c>
      <c r="H5" s="17">
        <v>69.13</v>
      </c>
      <c r="I5" s="9">
        <f t="shared" ref="I5:I10" si="0">IFERROR(H5/B5-1,"")</f>
        <v>2.233067139899414E-2</v>
      </c>
    </row>
    <row r="6" spans="1:9" x14ac:dyDescent="0.2">
      <c r="A6" s="6" t="s">
        <v>161</v>
      </c>
      <c r="B6" s="17">
        <v>6.7</v>
      </c>
      <c r="C6" s="17">
        <v>6.56</v>
      </c>
      <c r="D6" s="17">
        <v>6.11</v>
      </c>
      <c r="E6" s="17">
        <v>6.01</v>
      </c>
      <c r="F6" s="17">
        <v>6.16</v>
      </c>
      <c r="G6" s="17">
        <v>6.45</v>
      </c>
      <c r="H6" s="17">
        <v>6.87</v>
      </c>
      <c r="I6" s="9">
        <f t="shared" si="0"/>
        <v>2.5373134328358304E-2</v>
      </c>
    </row>
    <row r="7" spans="1:9" x14ac:dyDescent="0.2">
      <c r="A7" s="6" t="s">
        <v>162</v>
      </c>
      <c r="B7" s="17">
        <v>1.47</v>
      </c>
      <c r="C7" s="17">
        <v>1.55</v>
      </c>
      <c r="D7" s="17">
        <v>1.46</v>
      </c>
      <c r="E7" s="17">
        <v>1.35</v>
      </c>
      <c r="F7" s="17">
        <v>1.32</v>
      </c>
      <c r="G7" s="17">
        <v>1.45</v>
      </c>
      <c r="H7" s="17">
        <v>1.62</v>
      </c>
      <c r="I7" s="9">
        <f t="shared" si="0"/>
        <v>0.10204081632653073</v>
      </c>
    </row>
    <row r="8" spans="1:9" x14ac:dyDescent="0.2">
      <c r="A8" s="6" t="s">
        <v>163</v>
      </c>
      <c r="B8" s="17">
        <v>2.89</v>
      </c>
      <c r="C8" s="17">
        <v>3.04</v>
      </c>
      <c r="D8" s="17">
        <v>3.14</v>
      </c>
      <c r="E8" s="17">
        <v>3.12</v>
      </c>
      <c r="F8" s="17">
        <v>3.27</v>
      </c>
      <c r="G8" s="17">
        <v>3.44</v>
      </c>
      <c r="H8" s="17">
        <v>3.38</v>
      </c>
      <c r="I8" s="9">
        <f t="shared" si="0"/>
        <v>0.16955017301038056</v>
      </c>
    </row>
    <row r="9" spans="1:9" x14ac:dyDescent="0.2">
      <c r="A9" s="6" t="s">
        <v>164</v>
      </c>
      <c r="B9" s="17">
        <v>0.75</v>
      </c>
      <c r="C9" s="17">
        <v>0.81</v>
      </c>
      <c r="D9" s="17">
        <v>0.87</v>
      </c>
      <c r="E9" s="17">
        <v>0.87</v>
      </c>
      <c r="F9" s="17">
        <v>0.9</v>
      </c>
      <c r="G9" s="17">
        <v>0.91</v>
      </c>
      <c r="H9" s="17">
        <v>0.9</v>
      </c>
      <c r="I9" s="9">
        <f t="shared" si="0"/>
        <v>0.19999999999999996</v>
      </c>
    </row>
    <row r="10" spans="1:9" x14ac:dyDescent="0.2">
      <c r="A10" s="6" t="s">
        <v>165</v>
      </c>
      <c r="B10" s="17">
        <v>0.64300000000000002</v>
      </c>
      <c r="C10" s="17">
        <v>0.65100000000000002</v>
      </c>
      <c r="D10" s="17">
        <v>0.67400000000000004</v>
      </c>
      <c r="E10" s="17">
        <v>0.68300000000000005</v>
      </c>
      <c r="F10" s="17">
        <v>0.68200000000000005</v>
      </c>
      <c r="G10" s="17">
        <v>0.68700000000000006</v>
      </c>
      <c r="H10" s="17">
        <v>0.69599999999999995</v>
      </c>
      <c r="I10" s="9">
        <f t="shared" si="0"/>
        <v>8.2426127527216009E-2</v>
      </c>
    </row>
    <row r="13" spans="1:9" x14ac:dyDescent="0.2">
      <c r="A13" s="18" t="s">
        <v>166</v>
      </c>
    </row>
    <row r="14" spans="1:9" ht="30" customHeight="1" x14ac:dyDescent="0.2">
      <c r="A14" s="5" t="s">
        <v>167</v>
      </c>
      <c r="B14" s="5" t="s">
        <v>168</v>
      </c>
    </row>
    <row r="15" spans="1:9" x14ac:dyDescent="0.2">
      <c r="A15" s="6" t="s">
        <v>169</v>
      </c>
      <c r="B15" s="19">
        <f>H6/H10</f>
        <v>9.8706896551724146</v>
      </c>
    </row>
    <row r="16" spans="1:9" x14ac:dyDescent="0.2">
      <c r="A16" s="6" t="s">
        <v>170</v>
      </c>
      <c r="B16" s="19">
        <f>H8/H10</f>
        <v>4.8563218390804597</v>
      </c>
    </row>
    <row r="17" spans="1:2" x14ac:dyDescent="0.2">
      <c r="A17" s="6" t="s">
        <v>171</v>
      </c>
      <c r="B17" s="16">
        <f>H10/H6</f>
        <v>0.10131004366812227</v>
      </c>
    </row>
    <row r="18" spans="1:2" x14ac:dyDescent="0.2">
      <c r="A18" s="6" t="s">
        <v>172</v>
      </c>
      <c r="B18" s="16">
        <f>H10/H8</f>
        <v>0.2059171597633136</v>
      </c>
    </row>
    <row r="19" spans="1:2" x14ac:dyDescent="0.2">
      <c r="A19" s="6" t="s">
        <v>173</v>
      </c>
      <c r="B19" s="19">
        <f>H6-H8</f>
        <v>3.49</v>
      </c>
    </row>
    <row r="20" spans="1:2" x14ac:dyDescent="0.2">
      <c r="A20" s="6" t="s">
        <v>174</v>
      </c>
      <c r="B20" s="19">
        <f>H8-H10</f>
        <v>2.6840000000000002</v>
      </c>
    </row>
    <row r="22" spans="1:2" x14ac:dyDescent="0.2">
      <c r="A22" s="2" t="s">
        <v>175</v>
      </c>
    </row>
    <row r="24" spans="1:2" x14ac:dyDescent="0.2">
      <c r="A24" s="18" t="s">
        <v>176</v>
      </c>
    </row>
    <row r="25" spans="1:2" x14ac:dyDescent="0.2">
      <c r="A25" s="2" t="s">
        <v>177</v>
      </c>
    </row>
    <row r="26" spans="1:2" ht="18" customHeight="1" x14ac:dyDescent="0.2">
      <c r="A26" s="5" t="s">
        <v>178</v>
      </c>
      <c r="B26" s="5" t="s">
        <v>179</v>
      </c>
    </row>
    <row r="27" spans="1:2" x14ac:dyDescent="0.2">
      <c r="A27" s="6" t="s">
        <v>160</v>
      </c>
      <c r="B27" s="17">
        <f>H5</f>
        <v>69.13</v>
      </c>
    </row>
    <row r="28" spans="1:2" x14ac:dyDescent="0.2">
      <c r="A28" s="6" t="s">
        <v>180</v>
      </c>
      <c r="B28" s="17">
        <f>H6</f>
        <v>6.87</v>
      </c>
    </row>
    <row r="29" spans="1:2" x14ac:dyDescent="0.2">
      <c r="A29" s="6" t="s">
        <v>181</v>
      </c>
      <c r="B29" s="17">
        <f>H8</f>
        <v>3.38</v>
      </c>
    </row>
    <row r="30" spans="1:2" x14ac:dyDescent="0.2">
      <c r="A30" s="6" t="s">
        <v>182</v>
      </c>
      <c r="B30" s="17">
        <f>H9</f>
        <v>0.9</v>
      </c>
    </row>
    <row r="31" spans="1:2" x14ac:dyDescent="0.2">
      <c r="A31" s="6" t="s">
        <v>183</v>
      </c>
      <c r="B31" s="17">
        <f>H10</f>
        <v>0.69599999999999995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2"/>
  <sheetViews>
    <sheetView workbookViewId="0"/>
  </sheetViews>
  <sheetFormatPr baseColWidth="10" defaultColWidth="8.83203125" defaultRowHeight="15" x14ac:dyDescent="0.2"/>
  <cols>
    <col min="1" max="1" width="16" customWidth="1"/>
    <col min="2" max="2" width="14" customWidth="1"/>
    <col min="3" max="3" width="13" customWidth="1"/>
    <col min="4" max="5" width="12" customWidth="1"/>
    <col min="6" max="6" width="11" customWidth="1"/>
    <col min="7" max="7" width="10" customWidth="1"/>
    <col min="8" max="8" width="16" customWidth="1"/>
    <col min="9" max="10" width="14" customWidth="1"/>
    <col min="11" max="11" width="16" customWidth="1"/>
  </cols>
  <sheetData>
    <row r="1" spans="1:11" ht="19" x14ac:dyDescent="0.25">
      <c r="A1" s="1" t="s">
        <v>184</v>
      </c>
    </row>
    <row r="2" spans="1:11" x14ac:dyDescent="0.2">
      <c r="A2" s="2" t="s">
        <v>185</v>
      </c>
    </row>
    <row r="4" spans="1:11" ht="30" customHeight="1" x14ac:dyDescent="0.2">
      <c r="A4" s="5" t="s">
        <v>186</v>
      </c>
      <c r="B4" s="5" t="s">
        <v>131</v>
      </c>
      <c r="C4" s="5" t="s">
        <v>187</v>
      </c>
      <c r="D4" s="5" t="s">
        <v>188</v>
      </c>
      <c r="E4" s="5" t="s">
        <v>189</v>
      </c>
      <c r="F4" s="5" t="s">
        <v>190</v>
      </c>
      <c r="G4" s="5" t="s">
        <v>191</v>
      </c>
      <c r="H4" s="5" t="s">
        <v>192</v>
      </c>
      <c r="I4" s="5" t="s">
        <v>193</v>
      </c>
      <c r="J4" s="5" t="s">
        <v>194</v>
      </c>
      <c r="K4" s="5" t="s">
        <v>195</v>
      </c>
    </row>
    <row r="5" spans="1:11" x14ac:dyDescent="0.2">
      <c r="A5" s="6" t="s">
        <v>196</v>
      </c>
      <c r="B5" s="7">
        <v>393349</v>
      </c>
      <c r="C5" s="7">
        <v>26349</v>
      </c>
      <c r="D5" s="7">
        <v>14924</v>
      </c>
      <c r="E5" s="7">
        <v>7905</v>
      </c>
      <c r="F5" s="7">
        <v>3520</v>
      </c>
      <c r="G5" s="7">
        <v>64</v>
      </c>
      <c r="H5" s="10">
        <f t="shared" ref="H5:H22" si="0">C5/B5*1000</f>
        <v>66.986314951862084</v>
      </c>
      <c r="I5" s="8">
        <f t="shared" ref="I5:I22" si="1">E5/(D5+E5)</f>
        <v>0.34627009505453588</v>
      </c>
      <c r="J5" s="7">
        <f t="shared" ref="J5:J21" si="2">C5/G5</f>
        <v>411.703125</v>
      </c>
      <c r="K5" s="7">
        <f t="shared" ref="K5:K21" si="3">B5/G5</f>
        <v>6146.078125</v>
      </c>
    </row>
    <row r="6" spans="1:11" x14ac:dyDescent="0.2">
      <c r="A6" s="6" t="s">
        <v>197</v>
      </c>
      <c r="B6" s="7">
        <v>10536632</v>
      </c>
      <c r="C6" s="7">
        <v>561677</v>
      </c>
      <c r="D6" s="7">
        <v>361387</v>
      </c>
      <c r="E6" s="7">
        <v>118782</v>
      </c>
      <c r="F6" s="7">
        <v>81508</v>
      </c>
      <c r="G6" s="7">
        <v>680</v>
      </c>
      <c r="H6" s="10">
        <f t="shared" si="0"/>
        <v>53.307071937218645</v>
      </c>
      <c r="I6" s="8">
        <f t="shared" si="1"/>
        <v>0.24737540324344137</v>
      </c>
      <c r="J6" s="7">
        <f t="shared" si="2"/>
        <v>825.99558823529412</v>
      </c>
      <c r="K6" s="7">
        <f t="shared" si="3"/>
        <v>15495.047058823529</v>
      </c>
    </row>
    <row r="7" spans="1:11" x14ac:dyDescent="0.2">
      <c r="A7" s="6" t="s">
        <v>198</v>
      </c>
      <c r="B7" s="7">
        <v>5490100</v>
      </c>
      <c r="C7" s="7">
        <v>210278</v>
      </c>
      <c r="D7" s="7">
        <v>162488</v>
      </c>
      <c r="E7" s="7">
        <v>21957</v>
      </c>
      <c r="F7" s="7">
        <v>25833</v>
      </c>
      <c r="G7" s="7">
        <v>550</v>
      </c>
      <c r="H7" s="10">
        <f t="shared" si="0"/>
        <v>38.301305987140488</v>
      </c>
      <c r="I7" s="8">
        <f t="shared" si="1"/>
        <v>0.11904361733850199</v>
      </c>
      <c r="J7" s="7">
        <f t="shared" si="2"/>
        <v>382.32363636363635</v>
      </c>
      <c r="K7" s="7">
        <f t="shared" si="3"/>
        <v>9982</v>
      </c>
    </row>
    <row r="8" spans="1:11" x14ac:dyDescent="0.2">
      <c r="A8" s="6" t="s">
        <v>199</v>
      </c>
      <c r="B8" s="7">
        <v>7228000</v>
      </c>
      <c r="C8" s="7">
        <v>225363</v>
      </c>
      <c r="D8" s="7">
        <v>158548</v>
      </c>
      <c r="E8" s="7">
        <v>39637</v>
      </c>
      <c r="F8" s="7">
        <v>27178</v>
      </c>
      <c r="G8" s="7">
        <v>377</v>
      </c>
      <c r="H8" s="10">
        <f t="shared" si="0"/>
        <v>31.179164360819037</v>
      </c>
      <c r="I8" s="8">
        <f t="shared" si="1"/>
        <v>0.2</v>
      </c>
      <c r="J8" s="7">
        <f t="shared" si="2"/>
        <v>597.77984084880632</v>
      </c>
      <c r="K8" s="7">
        <f t="shared" si="3"/>
        <v>19172.413793103449</v>
      </c>
    </row>
    <row r="9" spans="1:11" x14ac:dyDescent="0.2">
      <c r="A9" s="6" t="s">
        <v>200</v>
      </c>
      <c r="B9" s="7">
        <v>5583911</v>
      </c>
      <c r="C9" s="7">
        <v>156315</v>
      </c>
      <c r="D9" s="7">
        <v>98554</v>
      </c>
      <c r="E9" s="7">
        <v>37661</v>
      </c>
      <c r="F9" s="7">
        <v>20100</v>
      </c>
      <c r="G9" s="7">
        <v>161</v>
      </c>
      <c r="H9" s="10">
        <f t="shared" si="0"/>
        <v>27.993820102075411</v>
      </c>
      <c r="I9" s="8">
        <f t="shared" si="1"/>
        <v>0.27648203208163563</v>
      </c>
      <c r="J9" s="7">
        <f t="shared" si="2"/>
        <v>970.9006211180124</v>
      </c>
      <c r="K9" s="7">
        <f t="shared" si="3"/>
        <v>34682.677018633542</v>
      </c>
    </row>
    <row r="10" spans="1:11" x14ac:dyDescent="0.2">
      <c r="A10" s="6" t="s">
        <v>201</v>
      </c>
      <c r="B10" s="7">
        <v>5946952</v>
      </c>
      <c r="C10" s="7">
        <v>162957</v>
      </c>
      <c r="D10" s="7">
        <v>112307</v>
      </c>
      <c r="E10" s="7">
        <v>43101</v>
      </c>
      <c r="F10" s="7">
        <v>7549</v>
      </c>
      <c r="G10" s="7">
        <v>192</v>
      </c>
      <c r="H10" s="10">
        <f t="shared" si="0"/>
        <v>27.401768166280814</v>
      </c>
      <c r="I10" s="8">
        <f t="shared" si="1"/>
        <v>0.27734093482960981</v>
      </c>
      <c r="J10" s="7">
        <f t="shared" si="2"/>
        <v>848.734375</v>
      </c>
      <c r="K10" s="7">
        <f t="shared" si="3"/>
        <v>30973.708333333332</v>
      </c>
    </row>
    <row r="11" spans="1:11" x14ac:dyDescent="0.2">
      <c r="A11" s="6" t="s">
        <v>202</v>
      </c>
      <c r="B11" s="7">
        <v>5519594</v>
      </c>
      <c r="C11" s="7">
        <v>149288</v>
      </c>
      <c r="D11" s="7">
        <v>101932</v>
      </c>
      <c r="E11" s="7">
        <v>26461</v>
      </c>
      <c r="F11" s="7">
        <v>20895</v>
      </c>
      <c r="G11" s="7">
        <v>174</v>
      </c>
      <c r="H11" s="10">
        <f t="shared" si="0"/>
        <v>27.0469168565659</v>
      </c>
      <c r="I11" s="8">
        <f t="shared" si="1"/>
        <v>0.20609379015989968</v>
      </c>
      <c r="J11" s="7">
        <f t="shared" si="2"/>
        <v>857.97701149425291</v>
      </c>
      <c r="K11" s="7">
        <f t="shared" si="3"/>
        <v>31721.80459770115</v>
      </c>
    </row>
    <row r="12" spans="1:11" x14ac:dyDescent="0.2">
      <c r="A12" s="6" t="s">
        <v>203</v>
      </c>
      <c r="B12" s="7">
        <v>17877117</v>
      </c>
      <c r="C12" s="7">
        <v>446888</v>
      </c>
      <c r="D12" s="7">
        <v>294049</v>
      </c>
      <c r="E12" s="7">
        <v>135755</v>
      </c>
      <c r="F12" s="7">
        <v>17084</v>
      </c>
      <c r="G12" s="7">
        <v>259</v>
      </c>
      <c r="H12" s="10">
        <f t="shared" si="0"/>
        <v>24.997766698064346</v>
      </c>
      <c r="I12" s="8">
        <f t="shared" si="1"/>
        <v>0.3158532726545123</v>
      </c>
      <c r="J12" s="7">
        <f t="shared" si="2"/>
        <v>1725.4362934362935</v>
      </c>
      <c r="K12" s="7">
        <f t="shared" si="3"/>
        <v>69023.617760617766</v>
      </c>
    </row>
    <row r="13" spans="1:11" x14ac:dyDescent="0.2">
      <c r="A13" s="6" t="s">
        <v>204</v>
      </c>
      <c r="B13" s="7">
        <v>3164400</v>
      </c>
      <c r="C13" s="7">
        <v>52641</v>
      </c>
      <c r="D13" s="7">
        <v>42808</v>
      </c>
      <c r="E13" s="7">
        <v>5297</v>
      </c>
      <c r="F13" s="7">
        <v>4536</v>
      </c>
      <c r="G13" s="7">
        <v>149</v>
      </c>
      <c r="H13" s="10">
        <f t="shared" si="0"/>
        <v>16.6353811149033</v>
      </c>
      <c r="I13" s="8">
        <f t="shared" si="1"/>
        <v>0.11011329383639955</v>
      </c>
      <c r="J13" s="7">
        <f t="shared" si="2"/>
        <v>353.29530201342283</v>
      </c>
      <c r="K13" s="7">
        <f t="shared" si="3"/>
        <v>21237.583892617451</v>
      </c>
    </row>
    <row r="14" spans="1:11" x14ac:dyDescent="0.2">
      <c r="A14" s="6" t="s">
        <v>205</v>
      </c>
      <c r="B14" s="7">
        <v>57690300</v>
      </c>
      <c r="C14" s="7">
        <v>790728</v>
      </c>
      <c r="D14" s="7">
        <v>658852</v>
      </c>
      <c r="E14" s="7">
        <v>85457</v>
      </c>
      <c r="F14" s="7">
        <v>46419</v>
      </c>
      <c r="G14" s="7">
        <v>2304</v>
      </c>
      <c r="H14" s="10">
        <f t="shared" si="0"/>
        <v>13.706428983728633</v>
      </c>
      <c r="I14" s="8">
        <f t="shared" si="1"/>
        <v>0.11481387434519803</v>
      </c>
      <c r="J14" s="7">
        <f t="shared" si="2"/>
        <v>343.19791666666669</v>
      </c>
      <c r="K14" s="7">
        <f t="shared" si="3"/>
        <v>25039.192708333332</v>
      </c>
    </row>
    <row r="15" spans="1:11" x14ac:dyDescent="0.2">
      <c r="A15" s="6" t="s">
        <v>206</v>
      </c>
      <c r="B15" s="7">
        <v>8888093</v>
      </c>
      <c r="C15" s="7">
        <v>105109</v>
      </c>
      <c r="D15" s="7">
        <v>63393</v>
      </c>
      <c r="E15" s="7">
        <v>35192</v>
      </c>
      <c r="F15" s="7">
        <v>6524</v>
      </c>
      <c r="G15" s="7">
        <v>128</v>
      </c>
      <c r="H15" s="10">
        <f t="shared" si="0"/>
        <v>11.825821354479528</v>
      </c>
      <c r="I15" s="8">
        <f t="shared" si="1"/>
        <v>0.35697114165440991</v>
      </c>
      <c r="J15" s="7">
        <f t="shared" si="2"/>
        <v>821.1640625</v>
      </c>
      <c r="K15" s="7">
        <f t="shared" si="3"/>
        <v>69438.2265625</v>
      </c>
    </row>
    <row r="16" spans="1:11" x14ac:dyDescent="0.2">
      <c r="A16" s="6" t="s">
        <v>207</v>
      </c>
      <c r="B16" s="7">
        <v>9131761</v>
      </c>
      <c r="C16" s="7">
        <v>94926</v>
      </c>
      <c r="D16" s="7">
        <v>55071</v>
      </c>
      <c r="E16" s="7">
        <v>33136</v>
      </c>
      <c r="F16" s="7">
        <v>6719</v>
      </c>
      <c r="G16" s="7">
        <v>175</v>
      </c>
      <c r="H16" s="10">
        <f t="shared" si="0"/>
        <v>10.395147222972657</v>
      </c>
      <c r="I16" s="8">
        <f t="shared" si="1"/>
        <v>0.37566179554910606</v>
      </c>
      <c r="J16" s="7">
        <f t="shared" si="2"/>
        <v>542.43428571428569</v>
      </c>
      <c r="K16" s="7">
        <f t="shared" si="3"/>
        <v>52181.491428571426</v>
      </c>
    </row>
    <row r="17" spans="1:11" x14ac:dyDescent="0.2">
      <c r="A17" s="20" t="s">
        <v>208</v>
      </c>
      <c r="B17" s="21">
        <v>83280000</v>
      </c>
      <c r="C17" s="21">
        <v>686708</v>
      </c>
      <c r="D17" s="21">
        <v>417194</v>
      </c>
      <c r="E17" s="21">
        <v>227267</v>
      </c>
      <c r="F17" s="21">
        <v>42247</v>
      </c>
      <c r="G17" s="21">
        <v>726</v>
      </c>
      <c r="H17" s="22">
        <f t="shared" si="0"/>
        <v>8.2457732949087408</v>
      </c>
      <c r="I17" s="23">
        <f t="shared" si="1"/>
        <v>0.35264663028484267</v>
      </c>
      <c r="J17" s="21">
        <f t="shared" si="2"/>
        <v>945.87878787878788</v>
      </c>
      <c r="K17" s="21">
        <f t="shared" si="3"/>
        <v>114710.74380165289</v>
      </c>
    </row>
    <row r="18" spans="1:11" x14ac:dyDescent="0.2">
      <c r="A18" s="6" t="s">
        <v>209</v>
      </c>
      <c r="B18" s="7">
        <v>11787423</v>
      </c>
      <c r="C18" s="7">
        <v>78444</v>
      </c>
      <c r="D18" s="7">
        <v>47362</v>
      </c>
      <c r="E18" s="7">
        <v>23621</v>
      </c>
      <c r="F18" s="7">
        <v>7461</v>
      </c>
      <c r="G18" s="7">
        <v>77</v>
      </c>
      <c r="H18" s="10">
        <f t="shared" si="0"/>
        <v>6.6548897074449611</v>
      </c>
      <c r="I18" s="8">
        <f t="shared" si="1"/>
        <v>0.33276981812546669</v>
      </c>
      <c r="J18" s="7">
        <f t="shared" si="2"/>
        <v>1018.7532467532468</v>
      </c>
      <c r="K18" s="7">
        <f t="shared" si="3"/>
        <v>153083.41558441558</v>
      </c>
    </row>
    <row r="19" spans="1:11" x14ac:dyDescent="0.2">
      <c r="A19" s="6" t="s">
        <v>210</v>
      </c>
      <c r="B19" s="7">
        <v>68287487</v>
      </c>
      <c r="C19" s="7">
        <v>442536</v>
      </c>
      <c r="D19" s="7">
        <v>294694</v>
      </c>
      <c r="E19" s="7">
        <v>105565</v>
      </c>
      <c r="F19" s="7">
        <v>42277</v>
      </c>
      <c r="G19" s="7">
        <v>687</v>
      </c>
      <c r="H19" s="10">
        <f t="shared" si="0"/>
        <v>6.4804844846611509</v>
      </c>
      <c r="I19" s="8">
        <f t="shared" si="1"/>
        <v>0.26374172723161754</v>
      </c>
      <c r="J19" s="7">
        <f t="shared" si="2"/>
        <v>644.15720524017468</v>
      </c>
      <c r="K19" s="7">
        <f t="shared" si="3"/>
        <v>99399.544395924313</v>
      </c>
    </row>
    <row r="20" spans="1:11" x14ac:dyDescent="0.2">
      <c r="A20" s="6" t="s">
        <v>211</v>
      </c>
      <c r="B20" s="7">
        <v>48347910</v>
      </c>
      <c r="C20" s="7">
        <v>305603</v>
      </c>
      <c r="D20" s="7">
        <v>197111</v>
      </c>
      <c r="E20" s="7">
        <v>71765</v>
      </c>
      <c r="F20" s="7">
        <v>36727</v>
      </c>
      <c r="G20" s="7">
        <v>497</v>
      </c>
      <c r="H20" s="10">
        <f t="shared" si="0"/>
        <v>6.3209143890604578</v>
      </c>
      <c r="I20" s="8">
        <f t="shared" si="1"/>
        <v>0.26690742200865825</v>
      </c>
      <c r="J20" s="7">
        <f t="shared" si="2"/>
        <v>614.89537223340039</v>
      </c>
      <c r="K20" s="7">
        <f t="shared" si="3"/>
        <v>97279.496981891352</v>
      </c>
    </row>
    <row r="21" spans="1:11" x14ac:dyDescent="0.2">
      <c r="A21" s="6" t="s">
        <v>212</v>
      </c>
      <c r="B21" s="7">
        <v>58993475</v>
      </c>
      <c r="C21" s="7">
        <v>94090</v>
      </c>
      <c r="D21" s="7">
        <v>64611</v>
      </c>
      <c r="E21" s="7">
        <v>20235</v>
      </c>
      <c r="F21" s="7">
        <v>9244</v>
      </c>
      <c r="G21" s="7">
        <v>270</v>
      </c>
      <c r="H21" s="10">
        <f t="shared" si="0"/>
        <v>1.5949221502886548</v>
      </c>
      <c r="I21" s="8">
        <f t="shared" si="1"/>
        <v>0.23849091294816491</v>
      </c>
      <c r="J21" s="7">
        <f t="shared" si="2"/>
        <v>348.48148148148147</v>
      </c>
      <c r="K21" s="7">
        <f t="shared" si="3"/>
        <v>218494.35185185185</v>
      </c>
    </row>
    <row r="22" spans="1:11" x14ac:dyDescent="0.2">
      <c r="A22" s="13" t="s">
        <v>213</v>
      </c>
      <c r="B22" s="14">
        <v>833390649</v>
      </c>
      <c r="C22" s="14">
        <v>4716230</v>
      </c>
      <c r="D22" s="14">
        <v>3225691</v>
      </c>
      <c r="E22" s="14">
        <v>1069196</v>
      </c>
      <c r="F22" s="14">
        <v>421343</v>
      </c>
      <c r="G22" s="14">
        <v>7939</v>
      </c>
      <c r="H22" s="24">
        <f t="shared" si="0"/>
        <v>5.6590867748025335</v>
      </c>
      <c r="I22" s="16">
        <f t="shared" si="1"/>
        <v>0.24894624701418222</v>
      </c>
      <c r="J22" s="7"/>
      <c r="K22" s="7"/>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77"/>
  <sheetViews>
    <sheetView zoomScale="110" workbookViewId="0">
      <selection activeCell="G14" sqref="G14"/>
    </sheetView>
  </sheetViews>
  <sheetFormatPr baseColWidth="10" defaultColWidth="8.83203125" defaultRowHeight="15" x14ac:dyDescent="0.2"/>
  <cols>
    <col min="1" max="1" width="38" customWidth="1"/>
    <col min="2" max="5" width="15" customWidth="1"/>
    <col min="6" max="6" width="17" customWidth="1"/>
    <col min="7" max="7" width="20" customWidth="1"/>
  </cols>
  <sheetData>
    <row r="1" spans="1:7" ht="19" x14ac:dyDescent="0.25">
      <c r="A1" s="1" t="s">
        <v>214</v>
      </c>
    </row>
    <row r="2" spans="1:7" x14ac:dyDescent="0.2">
      <c r="A2" s="2" t="s">
        <v>215</v>
      </c>
    </row>
    <row r="4" spans="1:7" x14ac:dyDescent="0.2">
      <c r="A4" s="18" t="s">
        <v>216</v>
      </c>
    </row>
    <row r="5" spans="1:7" ht="30" customHeight="1" x14ac:dyDescent="0.2">
      <c r="A5" s="5" t="s">
        <v>109</v>
      </c>
      <c r="B5" s="5" t="s">
        <v>217</v>
      </c>
      <c r="C5" s="5" t="s">
        <v>158</v>
      </c>
      <c r="D5" s="5" t="s">
        <v>101</v>
      </c>
      <c r="E5" s="5" t="s">
        <v>102</v>
      </c>
      <c r="F5" s="5" t="s">
        <v>218</v>
      </c>
      <c r="G5" s="5" t="s">
        <v>219</v>
      </c>
    </row>
    <row r="6" spans="1:7" x14ac:dyDescent="0.2">
      <c r="A6" s="6" t="s">
        <v>111</v>
      </c>
      <c r="B6" s="7">
        <f>'02_Age_Gender'!D6</f>
        <v>1873</v>
      </c>
      <c r="C6" s="7">
        <f>'02_Age_Gender'!AE6</f>
        <v>2171</v>
      </c>
      <c r="D6" s="7">
        <f t="shared" ref="D6:D16" si="0">C6-B6</f>
        <v>298</v>
      </c>
      <c r="E6" s="9">
        <f t="shared" ref="E6:E16" si="1">IFERROR(D6/B6,"")</f>
        <v>0.1591030432461292</v>
      </c>
      <c r="F6" s="8">
        <f t="shared" ref="F6:F16" si="2">C6/SUM($C$6:$C$16)</f>
        <v>3.1209703040609993E-3</v>
      </c>
      <c r="G6" s="8">
        <f t="shared" ref="G6:G16" si="3">D6/SUM($D$6:$D$16)</f>
        <v>5.680626775195867E-3</v>
      </c>
    </row>
    <row r="7" spans="1:7" x14ac:dyDescent="0.2">
      <c r="A7" s="6" t="s">
        <v>112</v>
      </c>
      <c r="B7" s="7">
        <f>'02_Age_Gender'!D7</f>
        <v>24316</v>
      </c>
      <c r="C7" s="7">
        <f>'02_Age_Gender'!AE7</f>
        <v>21740</v>
      </c>
      <c r="D7" s="7">
        <f t="shared" si="0"/>
        <v>-2576</v>
      </c>
      <c r="E7" s="9">
        <f t="shared" si="1"/>
        <v>-0.10593847672314526</v>
      </c>
      <c r="F7" s="8">
        <f t="shared" si="2"/>
        <v>3.1252830221228059E-2</v>
      </c>
      <c r="G7" s="8">
        <f t="shared" si="3"/>
        <v>-4.9105015345317297E-2</v>
      </c>
    </row>
    <row r="8" spans="1:7" x14ac:dyDescent="0.2">
      <c r="A8" s="6" t="s">
        <v>113</v>
      </c>
      <c r="B8" s="7">
        <f>'02_Age_Gender'!D8</f>
        <v>17764</v>
      </c>
      <c r="C8" s="7">
        <f>'02_Age_Gender'!AE8</f>
        <v>18887</v>
      </c>
      <c r="D8" s="7">
        <f t="shared" si="0"/>
        <v>1123</v>
      </c>
      <c r="E8" s="9">
        <f t="shared" si="1"/>
        <v>6.3217743751407346E-2</v>
      </c>
      <c r="F8" s="8">
        <f t="shared" si="2"/>
        <v>2.7151435344449602E-2</v>
      </c>
      <c r="G8" s="8">
        <f t="shared" si="3"/>
        <v>2.1407194189748183E-2</v>
      </c>
    </row>
    <row r="9" spans="1:7" x14ac:dyDescent="0.2">
      <c r="A9" s="6" t="s">
        <v>114</v>
      </c>
      <c r="B9" s="7">
        <f>'02_Age_Gender'!D9</f>
        <v>7377</v>
      </c>
      <c r="C9" s="7">
        <f>'02_Age_Gender'!AE9</f>
        <v>9522</v>
      </c>
      <c r="D9" s="7">
        <f t="shared" si="0"/>
        <v>2145</v>
      </c>
      <c r="E9" s="9">
        <f t="shared" si="1"/>
        <v>0.29076860512403419</v>
      </c>
      <c r="F9" s="8">
        <f t="shared" si="2"/>
        <v>1.3688567128175419E-2</v>
      </c>
      <c r="G9" s="8">
        <f t="shared" si="3"/>
        <v>4.0889075277836022E-2</v>
      </c>
    </row>
    <row r="10" spans="1:7" x14ac:dyDescent="0.2">
      <c r="A10" s="6" t="s">
        <v>115</v>
      </c>
      <c r="B10" s="7">
        <f>'02_Age_Gender'!D10</f>
        <v>20036</v>
      </c>
      <c r="C10" s="7">
        <f>'02_Age_Gender'!AE10</f>
        <v>32899</v>
      </c>
      <c r="D10" s="7">
        <f t="shared" si="0"/>
        <v>12863</v>
      </c>
      <c r="E10" s="9">
        <f t="shared" si="1"/>
        <v>0.64199441006188862</v>
      </c>
      <c r="F10" s="8">
        <f t="shared" si="2"/>
        <v>4.7294703838462834E-2</v>
      </c>
      <c r="G10" s="8">
        <f t="shared" si="3"/>
        <v>0.24520101412531692</v>
      </c>
    </row>
    <row r="11" spans="1:7" x14ac:dyDescent="0.2">
      <c r="A11" s="6" t="s">
        <v>116</v>
      </c>
      <c r="B11" s="7">
        <f>'02_Age_Gender'!D11</f>
        <v>34861</v>
      </c>
      <c r="C11" s="7">
        <f>'02_Age_Gender'!AE11</f>
        <v>51385</v>
      </c>
      <c r="D11" s="7">
        <f t="shared" si="0"/>
        <v>16524</v>
      </c>
      <c r="E11" s="9">
        <f t="shared" si="1"/>
        <v>0.47399672987005537</v>
      </c>
      <c r="F11" s="8">
        <f t="shared" si="2"/>
        <v>7.3869672535317565E-2</v>
      </c>
      <c r="G11" s="8">
        <f t="shared" si="3"/>
        <v>0.31498884843401515</v>
      </c>
    </row>
    <row r="12" spans="1:7" x14ac:dyDescent="0.2">
      <c r="A12" s="6" t="s">
        <v>117</v>
      </c>
      <c r="B12" s="7">
        <f>'02_Age_Gender'!D12</f>
        <v>28008</v>
      </c>
      <c r="C12" s="7">
        <f>'02_Age_Gender'!AE12</f>
        <v>28005</v>
      </c>
      <c r="D12" s="7">
        <f t="shared" si="0"/>
        <v>-3</v>
      </c>
      <c r="E12" s="9">
        <f t="shared" si="1"/>
        <v>-1.0711225364181663E-4</v>
      </c>
      <c r="F12" s="8">
        <f t="shared" si="2"/>
        <v>4.0259223106968348E-2</v>
      </c>
      <c r="G12" s="8">
        <f t="shared" si="3"/>
        <v>-5.7187517871099336E-5</v>
      </c>
    </row>
    <row r="13" spans="1:7" x14ac:dyDescent="0.2">
      <c r="A13" s="6" t="s">
        <v>118</v>
      </c>
      <c r="B13" s="7">
        <f>'02_Age_Gender'!D13</f>
        <v>109959</v>
      </c>
      <c r="C13" s="7">
        <f>'02_Age_Gender'!AE13</f>
        <v>70850</v>
      </c>
      <c r="D13" s="7">
        <f t="shared" si="0"/>
        <v>-39109</v>
      </c>
      <c r="E13" s="9">
        <f t="shared" si="1"/>
        <v>-0.35566893114706388</v>
      </c>
      <c r="F13" s="8">
        <f t="shared" si="2"/>
        <v>0.10185202489300865</v>
      </c>
      <c r="G13" s="8">
        <f t="shared" si="3"/>
        <v>-0.74551554547360799</v>
      </c>
    </row>
    <row r="14" spans="1:7" x14ac:dyDescent="0.2">
      <c r="A14" s="6" t="s">
        <v>119</v>
      </c>
      <c r="B14" s="7">
        <f>'02_Age_Gender'!D14</f>
        <v>78623</v>
      </c>
      <c r="C14" s="7">
        <f>'02_Age_Gender'!AE14</f>
        <v>60319</v>
      </c>
      <c r="D14" s="7">
        <f t="shared" si="0"/>
        <v>-18304</v>
      </c>
      <c r="E14" s="9">
        <f t="shared" si="1"/>
        <v>-0.23280719382369028</v>
      </c>
      <c r="F14" s="8">
        <f t="shared" si="2"/>
        <v>8.6712946923378817E-2</v>
      </c>
      <c r="G14" s="8">
        <f t="shared" si="3"/>
        <v>-0.34892010903753407</v>
      </c>
    </row>
    <row r="15" spans="1:7" x14ac:dyDescent="0.2">
      <c r="A15" s="6" t="s">
        <v>120</v>
      </c>
      <c r="B15" s="7">
        <f>'02_Age_Gender'!D15</f>
        <v>67694</v>
      </c>
      <c r="C15" s="7">
        <f>'02_Age_Gender'!AE15</f>
        <v>93686</v>
      </c>
      <c r="D15" s="7">
        <f t="shared" si="0"/>
        <v>25992</v>
      </c>
      <c r="E15" s="9">
        <f t="shared" si="1"/>
        <v>0.38396312819452239</v>
      </c>
      <c r="F15" s="8">
        <f t="shared" si="2"/>
        <v>0.13468043477948355</v>
      </c>
      <c r="G15" s="8">
        <f t="shared" si="3"/>
        <v>0.49547265483520464</v>
      </c>
    </row>
    <row r="16" spans="1:7" x14ac:dyDescent="0.2">
      <c r="A16" s="6" t="s">
        <v>121</v>
      </c>
      <c r="B16" s="7">
        <f>'02_Age_Gender'!D16</f>
        <v>252647</v>
      </c>
      <c r="C16" s="7">
        <f>'02_Age_Gender'!AE16</f>
        <v>306153</v>
      </c>
      <c r="D16" s="7">
        <f t="shared" si="0"/>
        <v>53506</v>
      </c>
      <c r="E16" s="9">
        <f t="shared" si="1"/>
        <v>0.21178165582809216</v>
      </c>
      <c r="F16" s="8">
        <f t="shared" si="2"/>
        <v>0.4401171909254662</v>
      </c>
      <c r="G16" s="8">
        <f t="shared" si="3"/>
        <v>1.0199584437370137</v>
      </c>
    </row>
    <row r="19" spans="1:8" x14ac:dyDescent="0.2">
      <c r="A19" s="18" t="s">
        <v>220</v>
      </c>
    </row>
    <row r="20" spans="1:8" ht="30" customHeight="1" x14ac:dyDescent="0.2">
      <c r="A20" s="5" t="s">
        <v>124</v>
      </c>
      <c r="B20" s="5" t="s">
        <v>125</v>
      </c>
      <c r="C20" s="5" t="s">
        <v>131</v>
      </c>
      <c r="D20" s="5" t="s">
        <v>132</v>
      </c>
      <c r="E20" s="5" t="s">
        <v>221</v>
      </c>
      <c r="F20" s="5" t="s">
        <v>100</v>
      </c>
      <c r="G20" s="5" t="s">
        <v>222</v>
      </c>
      <c r="H20" s="5" t="s">
        <v>223</v>
      </c>
    </row>
    <row r="21" spans="1:8" x14ac:dyDescent="0.2">
      <c r="A21" s="6" t="str">
        <f>'03_States'!A16</f>
        <v>Schleswig-Holstein</v>
      </c>
      <c r="B21" s="7">
        <f>'03_States'!B16</f>
        <v>54471</v>
      </c>
      <c r="C21" s="7">
        <f>'03_States'!K16</f>
        <v>2959517</v>
      </c>
      <c r="D21" s="10">
        <f t="shared" ref="D21:D32" si="4">B21/C21*1000</f>
        <v>18.405368173252594</v>
      </c>
      <c r="E21" s="9">
        <f>'03_States'!E16</f>
        <v>0.12881566677028286</v>
      </c>
      <c r="F21" s="8">
        <f>'03_States'!H16</f>
        <v>0.35481265260413797</v>
      </c>
      <c r="G21" s="6">
        <f t="shared" ref="G21:G32" si="5">RANK(D21,$D$21:$D$32)</f>
        <v>1</v>
      </c>
      <c r="H21" s="25">
        <f>D21-'01_Timeseries'!$B$14/83577140*1000</f>
        <v>10.082314764150535</v>
      </c>
    </row>
    <row r="22" spans="1:8" x14ac:dyDescent="0.2">
      <c r="A22" s="6" t="str">
        <f>'03_States'!A10</f>
        <v>Mecklenburg-Vorpommern</v>
      </c>
      <c r="B22" s="7">
        <f>'03_States'!B10</f>
        <v>18752</v>
      </c>
      <c r="C22" s="7">
        <f>'03_States'!K10</f>
        <v>1573597</v>
      </c>
      <c r="D22" s="10">
        <f t="shared" si="4"/>
        <v>11.916647019535498</v>
      </c>
      <c r="E22" s="9">
        <f>'03_States'!E10</f>
        <v>9.3283582089552244E-2</v>
      </c>
      <c r="F22" s="8">
        <f>'03_States'!H10</f>
        <v>0.34668302047781568</v>
      </c>
      <c r="G22" s="6">
        <f t="shared" si="5"/>
        <v>2</v>
      </c>
      <c r="H22" s="25">
        <f>D22-'01_Timeseries'!$B$14/83577140*1000</f>
        <v>3.5935936104334392</v>
      </c>
    </row>
    <row r="23" spans="1:8" x14ac:dyDescent="0.2">
      <c r="A23" s="6" t="str">
        <f>'03_States'!A8</f>
        <v>Hamburg</v>
      </c>
      <c r="B23" s="7">
        <f>'03_States'!B8</f>
        <v>22099</v>
      </c>
      <c r="C23" s="7">
        <f>'03_States'!K8</f>
        <v>1862565</v>
      </c>
      <c r="D23" s="10">
        <f t="shared" si="4"/>
        <v>11.864820825045031</v>
      </c>
      <c r="E23" s="9">
        <f>'03_States'!E8</f>
        <v>2.2391857506361322E-2</v>
      </c>
      <c r="F23" s="8">
        <f>'03_States'!H8</f>
        <v>0.36938323001040774</v>
      </c>
      <c r="G23" s="6">
        <f t="shared" si="5"/>
        <v>3</v>
      </c>
      <c r="H23" s="25">
        <f>D23-'01_Timeseries'!$B$14/83577140*1000</f>
        <v>3.5417674159429726</v>
      </c>
    </row>
    <row r="24" spans="1:8" x14ac:dyDescent="0.2">
      <c r="A24" s="6" t="str">
        <f>'03_States'!A6</f>
        <v>Bavaria</v>
      </c>
      <c r="B24" s="7">
        <f>'03_States'!B6</f>
        <v>144501</v>
      </c>
      <c r="C24" s="7">
        <f>'03_States'!K6</f>
        <v>13248928</v>
      </c>
      <c r="D24" s="10">
        <f t="shared" si="4"/>
        <v>10.906618256209105</v>
      </c>
      <c r="E24" s="9">
        <f>'03_States'!E6</f>
        <v>4.0796041401067441E-2</v>
      </c>
      <c r="F24" s="8">
        <f>'03_States'!H6</f>
        <v>0.35996290683109461</v>
      </c>
      <c r="G24" s="6">
        <f t="shared" si="5"/>
        <v>4</v>
      </c>
      <c r="H24" s="25">
        <f>D24-'01_Timeseries'!$B$14/83577140*1000</f>
        <v>2.5835648471070467</v>
      </c>
    </row>
    <row r="25" spans="1:8" x14ac:dyDescent="0.2">
      <c r="A25" s="6" t="str">
        <f>'03_States'!A11</f>
        <v>Lower Saxony</v>
      </c>
      <c r="B25" s="7">
        <f>'03_States'!B11</f>
        <v>78772</v>
      </c>
      <c r="C25" s="7">
        <f>'03_States'!K11</f>
        <v>8709370</v>
      </c>
      <c r="D25" s="10">
        <f t="shared" si="4"/>
        <v>9.044511830362012</v>
      </c>
      <c r="E25" s="9">
        <f>'03_States'!E11</f>
        <v>8.8266581932221658E-2</v>
      </c>
      <c r="F25" s="8">
        <f>'03_States'!H11</f>
        <v>0.33753110242218048</v>
      </c>
      <c r="G25" s="6">
        <f t="shared" si="5"/>
        <v>5</v>
      </c>
      <c r="H25" s="25">
        <f>D25-'01_Timeseries'!$B$14/83577140*1000</f>
        <v>0.7214584212599533</v>
      </c>
    </row>
    <row r="26" spans="1:8" x14ac:dyDescent="0.2">
      <c r="A26" s="6" t="str">
        <f>'03_States'!A12</f>
        <v>North Rhine-Westphalia</v>
      </c>
      <c r="B26" s="7">
        <f>'03_States'!B12</f>
        <v>144750</v>
      </c>
      <c r="C26" s="7">
        <f>'03_States'!K12</f>
        <v>18034454</v>
      </c>
      <c r="D26" s="10">
        <f t="shared" si="4"/>
        <v>8.0263034300899836</v>
      </c>
      <c r="E26" s="9">
        <f>'03_States'!E12</f>
        <v>7.5113081842287044E-2</v>
      </c>
      <c r="F26" s="8">
        <f>'03_States'!H12</f>
        <v>0.34482210708117444</v>
      </c>
      <c r="G26" s="6">
        <f t="shared" si="5"/>
        <v>6</v>
      </c>
      <c r="H26" s="25">
        <f>D26-'01_Timeseries'!$B$14/83577140*1000</f>
        <v>-0.29674997901207512</v>
      </c>
    </row>
    <row r="27" spans="1:8" x14ac:dyDescent="0.2">
      <c r="A27" s="6" t="str">
        <f>'03_States'!A9</f>
        <v>Hesse</v>
      </c>
      <c r="B27" s="7">
        <f>'03_States'!B9</f>
        <v>49741</v>
      </c>
      <c r="C27" s="7">
        <f>'03_States'!K9</f>
        <v>6280793</v>
      </c>
      <c r="D27" s="10">
        <f t="shared" si="4"/>
        <v>7.9195413700149011</v>
      </c>
      <c r="E27" s="9">
        <f>'03_States'!E9</f>
        <v>3.0175627537072321E-2</v>
      </c>
      <c r="F27" s="8">
        <f>'03_States'!H9</f>
        <v>0.35131983675438772</v>
      </c>
      <c r="G27" s="6">
        <f t="shared" si="5"/>
        <v>7</v>
      </c>
      <c r="H27" s="25">
        <f>D27-'01_Timeseries'!$B$14/83577140*1000</f>
        <v>-0.4035120390871576</v>
      </c>
    </row>
    <row r="28" spans="1:8" x14ac:dyDescent="0.2">
      <c r="A28" s="6" t="str">
        <f>'03_States'!A5</f>
        <v>Baden-Württemberg</v>
      </c>
      <c r="B28" s="7">
        <f>'03_States'!B5</f>
        <v>76079</v>
      </c>
      <c r="C28" s="7">
        <f>'03_States'!K5</f>
        <v>11245898</v>
      </c>
      <c r="D28" s="10">
        <f t="shared" si="4"/>
        <v>6.7650444633234272</v>
      </c>
      <c r="E28" s="9">
        <f>'03_States'!E5</f>
        <v>3.3148646079469837E-2</v>
      </c>
      <c r="F28" s="8">
        <f>'03_States'!H5</f>
        <v>0.35977076459995533</v>
      </c>
      <c r="G28" s="6">
        <f t="shared" si="5"/>
        <v>8</v>
      </c>
      <c r="H28" s="25">
        <f>D28-'01_Timeseries'!$B$14/83577140*1000</f>
        <v>-1.5580089457786315</v>
      </c>
    </row>
    <row r="29" spans="1:8" x14ac:dyDescent="0.2">
      <c r="A29" s="6" t="str">
        <f>'03_States'!A13</f>
        <v>Rhineland-Palatinate</v>
      </c>
      <c r="B29" s="7">
        <f>'03_States'!B13</f>
        <v>30113</v>
      </c>
      <c r="C29" s="7">
        <f>'03_States'!K13</f>
        <v>5141710</v>
      </c>
      <c r="D29" s="10">
        <f t="shared" si="4"/>
        <v>5.8566119053777825</v>
      </c>
      <c r="E29" s="9">
        <f>'03_States'!E13</f>
        <v>6.4138808396353095E-2</v>
      </c>
      <c r="F29" s="8">
        <f>'03_States'!H13</f>
        <v>0.34237704645834027</v>
      </c>
      <c r="G29" s="6">
        <f t="shared" si="5"/>
        <v>9</v>
      </c>
      <c r="H29" s="25">
        <f>D29-'01_Timeseries'!$B$14/83577140*1000</f>
        <v>-2.4664415037242762</v>
      </c>
    </row>
    <row r="30" spans="1:8" x14ac:dyDescent="0.2">
      <c r="A30" s="6" t="str">
        <f>'03_States'!A7</f>
        <v>Berlin/Brandenburg Metropolitan Region</v>
      </c>
      <c r="B30" s="7">
        <f>'03_States'!B7</f>
        <v>27777</v>
      </c>
      <c r="C30" s="7">
        <f>'03_States'!K7</f>
        <v>6242012</v>
      </c>
      <c r="D30" s="10">
        <f t="shared" si="4"/>
        <v>4.4500074655415593</v>
      </c>
      <c r="E30" s="9">
        <f>'03_States'!E7</f>
        <v>0.1563150445425027</v>
      </c>
      <c r="F30" s="8">
        <f>'03_States'!H7</f>
        <v>0.32408107427007954</v>
      </c>
      <c r="G30" s="6">
        <f t="shared" si="5"/>
        <v>10</v>
      </c>
      <c r="H30" s="25">
        <f>D30-'01_Timeseries'!$B$14/83577140*1000</f>
        <v>-3.8730459435604994</v>
      </c>
    </row>
    <row r="31" spans="1:8" x14ac:dyDescent="0.2">
      <c r="A31" s="6" t="str">
        <f>'03_States'!A15</f>
        <v>Saxony</v>
      </c>
      <c r="B31" s="7">
        <f>'03_States'!B15</f>
        <v>13696</v>
      </c>
      <c r="C31" s="7">
        <f>'03_States'!K15</f>
        <v>6142699</v>
      </c>
      <c r="D31" s="10">
        <f t="shared" si="4"/>
        <v>2.2296387955848074</v>
      </c>
      <c r="E31" s="9">
        <f>'03_States'!E15</f>
        <v>0.16790312953014411</v>
      </c>
      <c r="F31" s="8">
        <f>'03_States'!H15</f>
        <v>0.32666471962616822</v>
      </c>
      <c r="G31" s="6">
        <f t="shared" si="5"/>
        <v>11</v>
      </c>
      <c r="H31" s="25">
        <f>D31-'01_Timeseries'!$B$14/83577140*1000</f>
        <v>-6.0934146135172513</v>
      </c>
    </row>
    <row r="32" spans="1:8" x14ac:dyDescent="0.2">
      <c r="A32" s="6" t="str">
        <f>'03_States'!A14</f>
        <v>Saxony-Anhalt</v>
      </c>
      <c r="B32" s="7">
        <f>'03_States'!B14</f>
        <v>2168</v>
      </c>
      <c r="C32" s="7">
        <f>'03_States'!K14</f>
        <v>2135597</v>
      </c>
      <c r="D32" s="10">
        <f t="shared" si="4"/>
        <v>1.0151728064798742</v>
      </c>
      <c r="E32" s="9">
        <f>'03_States'!E14</f>
        <v>0.35415365396627108</v>
      </c>
      <c r="F32" s="8">
        <f>'03_States'!H14</f>
        <v>0.48662361623616235</v>
      </c>
      <c r="G32" s="6">
        <f t="shared" si="5"/>
        <v>12</v>
      </c>
      <c r="H32" s="25">
        <f>D32-'01_Timeseries'!$B$14/83577140*1000</f>
        <v>-7.3078806026221841</v>
      </c>
    </row>
    <row r="35" spans="1:2" x14ac:dyDescent="0.2">
      <c r="A35" s="18" t="s">
        <v>224</v>
      </c>
    </row>
    <row r="36" spans="1:2" x14ac:dyDescent="0.2">
      <c r="A36" s="2" t="s">
        <v>225</v>
      </c>
    </row>
    <row r="37" spans="1:2" ht="28" customHeight="1" x14ac:dyDescent="0.2">
      <c r="A37" s="5" t="s">
        <v>109</v>
      </c>
      <c r="B37" s="5" t="s">
        <v>226</v>
      </c>
    </row>
    <row r="38" spans="1:2" x14ac:dyDescent="0.2">
      <c r="A38" s="6" t="s">
        <v>111</v>
      </c>
      <c r="B38" s="26">
        <f t="shared" ref="B38:B48" si="6">D6</f>
        <v>298</v>
      </c>
    </row>
    <row r="39" spans="1:2" x14ac:dyDescent="0.2">
      <c r="A39" s="6" t="s">
        <v>112</v>
      </c>
      <c r="B39" s="26">
        <f t="shared" si="6"/>
        <v>-2576</v>
      </c>
    </row>
    <row r="40" spans="1:2" x14ac:dyDescent="0.2">
      <c r="A40" s="6" t="s">
        <v>113</v>
      </c>
      <c r="B40" s="26">
        <f t="shared" si="6"/>
        <v>1123</v>
      </c>
    </row>
    <row r="41" spans="1:2" x14ac:dyDescent="0.2">
      <c r="A41" s="6" t="s">
        <v>114</v>
      </c>
      <c r="B41" s="26">
        <f t="shared" si="6"/>
        <v>2145</v>
      </c>
    </row>
    <row r="42" spans="1:2" x14ac:dyDescent="0.2">
      <c r="A42" s="6" t="s">
        <v>115</v>
      </c>
      <c r="B42" s="26">
        <f t="shared" si="6"/>
        <v>12863</v>
      </c>
    </row>
    <row r="43" spans="1:2" x14ac:dyDescent="0.2">
      <c r="A43" s="6" t="s">
        <v>116</v>
      </c>
      <c r="B43" s="26">
        <f t="shared" si="6"/>
        <v>16524</v>
      </c>
    </row>
    <row r="44" spans="1:2" x14ac:dyDescent="0.2">
      <c r="A44" s="6" t="s">
        <v>117</v>
      </c>
      <c r="B44" s="26">
        <f t="shared" si="6"/>
        <v>-3</v>
      </c>
    </row>
    <row r="45" spans="1:2" x14ac:dyDescent="0.2">
      <c r="A45" s="6" t="s">
        <v>118</v>
      </c>
      <c r="B45" s="26">
        <f t="shared" si="6"/>
        <v>-39109</v>
      </c>
    </row>
    <row r="46" spans="1:2" x14ac:dyDescent="0.2">
      <c r="A46" s="6" t="s">
        <v>119</v>
      </c>
      <c r="B46" s="26">
        <f t="shared" si="6"/>
        <v>-18304</v>
      </c>
    </row>
    <row r="47" spans="1:2" x14ac:dyDescent="0.2">
      <c r="A47" s="6" t="s">
        <v>120</v>
      </c>
      <c r="B47" s="26">
        <f t="shared" si="6"/>
        <v>25992</v>
      </c>
    </row>
    <row r="48" spans="1:2" x14ac:dyDescent="0.2">
      <c r="A48" s="6" t="s">
        <v>121</v>
      </c>
      <c r="B48" s="26">
        <f t="shared" si="6"/>
        <v>53506</v>
      </c>
    </row>
    <row r="49" spans="1:2" x14ac:dyDescent="0.2">
      <c r="A49" s="13" t="s">
        <v>110</v>
      </c>
      <c r="B49" s="27">
        <f>SUM(B38:B48)</f>
        <v>52459</v>
      </c>
    </row>
    <row r="51" spans="1:2" x14ac:dyDescent="0.2">
      <c r="A51" s="18" t="s">
        <v>227</v>
      </c>
    </row>
    <row r="52" spans="1:2" x14ac:dyDescent="0.2">
      <c r="A52" s="12" t="s">
        <v>125</v>
      </c>
      <c r="B52" s="14">
        <f>'01_Timeseries'!B14</f>
        <v>695617</v>
      </c>
    </row>
    <row r="53" spans="1:2" x14ac:dyDescent="0.2">
      <c r="A53" s="12" t="s">
        <v>228</v>
      </c>
      <c r="B53" s="27">
        <f>'01_Timeseries'!F14</f>
        <v>8909</v>
      </c>
    </row>
    <row r="54" spans="1:2" x14ac:dyDescent="0.2">
      <c r="A54" s="12" t="s">
        <v>229</v>
      </c>
      <c r="B54" s="15">
        <f>'01_Timeseries'!G14</f>
        <v>1.297349091608078E-2</v>
      </c>
    </row>
    <row r="55" spans="1:2" x14ac:dyDescent="0.2">
      <c r="A55" s="12" t="s">
        <v>230</v>
      </c>
      <c r="B55" s="15">
        <f>'01_Timeseries'!B14/'01_Timeseries'!B5-1</f>
        <v>8.1564716601519427E-2</v>
      </c>
    </row>
    <row r="56" spans="1:2" x14ac:dyDescent="0.2">
      <c r="A56" s="12" t="s">
        <v>231</v>
      </c>
      <c r="B56" s="16">
        <f>'01_Timeseries'!E14</f>
        <v>0.34725287047326331</v>
      </c>
    </row>
    <row r="57" spans="1:2" x14ac:dyDescent="0.2">
      <c r="A57" s="12" t="s">
        <v>232</v>
      </c>
      <c r="B57" s="28">
        <f>('01_Timeseries'!E14-'01_Timeseries'!E5)*100</f>
        <v>-2.0630293539312117</v>
      </c>
    </row>
    <row r="58" spans="1:2" x14ac:dyDescent="0.2">
      <c r="A58" s="12" t="s">
        <v>233</v>
      </c>
      <c r="B58" s="16">
        <f>'02_Age_Gender'!AE16/'01_Timeseries'!B14</f>
        <v>0.4401171909254662</v>
      </c>
    </row>
    <row r="59" spans="1:2" x14ac:dyDescent="0.2">
      <c r="A59" s="12" t="s">
        <v>234</v>
      </c>
      <c r="B59" s="16">
        <f>SUM('02_Age_Gender'!AE6:AE8)/'01_Timeseries'!B14</f>
        <v>6.1525235869738661E-2</v>
      </c>
    </row>
    <row r="60" spans="1:2" x14ac:dyDescent="0.2">
      <c r="A60" s="12" t="s">
        <v>235</v>
      </c>
      <c r="B60" s="15">
        <f>SUM('02_Age_Gender'!AE6:AE8)/SUM('02_Age_Gender'!D6:D8)-1</f>
        <v>-2.6278069756330624E-2</v>
      </c>
    </row>
    <row r="61" spans="1:2" x14ac:dyDescent="0.2">
      <c r="A61" s="12" t="s">
        <v>236</v>
      </c>
      <c r="B61" s="14">
        <f>'01_Timeseries'!I14</f>
        <v>721</v>
      </c>
    </row>
    <row r="62" spans="1:2" x14ac:dyDescent="0.2">
      <c r="A62" s="12" t="s">
        <v>237</v>
      </c>
      <c r="B62" s="24">
        <f>'01_Timeseries'!B14/83577140*1000</f>
        <v>8.3230534091020587</v>
      </c>
    </row>
    <row r="63" spans="1:2" x14ac:dyDescent="0.2">
      <c r="A63" s="12" t="s">
        <v>238</v>
      </c>
      <c r="B63" s="24">
        <f>'04_Funnel'!B15</f>
        <v>9.8706896551724146</v>
      </c>
    </row>
    <row r="64" spans="1:2" x14ac:dyDescent="0.2">
      <c r="A64" s="12" t="s">
        <v>239</v>
      </c>
      <c r="B64" s="19">
        <f>'04_Funnel'!B19</f>
        <v>3.49</v>
      </c>
    </row>
    <row r="65" spans="1:2" x14ac:dyDescent="0.2">
      <c r="A65" s="12" t="s">
        <v>240</v>
      </c>
      <c r="B65" s="24">
        <f>'05_Europe'!H6</f>
        <v>53.307071937218645</v>
      </c>
    </row>
    <row r="67" spans="1:2" x14ac:dyDescent="0.2">
      <c r="A67" s="16" t="s">
        <v>265</v>
      </c>
    </row>
    <row r="68" spans="1:2" x14ac:dyDescent="0.2">
      <c r="A68" t="s">
        <v>266</v>
      </c>
      <c r="B68" s="7">
        <f>'20_Dashboard'!D5</f>
        <v>2021</v>
      </c>
    </row>
    <row r="69" spans="1:2" x14ac:dyDescent="0.2">
      <c r="A69" t="s">
        <v>267</v>
      </c>
      <c r="B69" s="7">
        <f>INDEX('01_Timeseries'!$B$5:$B$14,MATCH($B$68,'01_Timeseries'!$A$5:$A$14,0))</f>
        <v>673983</v>
      </c>
    </row>
    <row r="70" spans="1:2" x14ac:dyDescent="0.2">
      <c r="A70" t="s">
        <v>268</v>
      </c>
      <c r="B70" s="12">
        <f>INDEX('01_Timeseries'!$E$5:$E$14,MATCH($B$68,'01_Timeseries'!$A$5:$A$14,0))</f>
        <v>0.3593043147972575</v>
      </c>
    </row>
    <row r="71" spans="1:2" x14ac:dyDescent="0.2">
      <c r="A71" t="s">
        <v>269</v>
      </c>
      <c r="B71" s="7">
        <f>SUM(INDEX('02_Age_Gender'!$B$6:$AE$8,0,($B$68-2016)*3+3))</f>
        <v>43918</v>
      </c>
    </row>
    <row r="72" spans="1:2" x14ac:dyDescent="0.2">
      <c r="A72" t="s">
        <v>270</v>
      </c>
      <c r="B72" s="12">
        <f>INDEX('02_Age_Gender'!$B$16:$AE$16,($B$68-2016)*3+3)/$B$69</f>
        <v>0.42302995772890412</v>
      </c>
    </row>
    <row r="73" spans="1:2" x14ac:dyDescent="0.2">
      <c r="A73" t="s">
        <v>271</v>
      </c>
      <c r="B73" s="7">
        <f>'01_Timeseries'!B14-$B$69</f>
        <v>21634</v>
      </c>
    </row>
    <row r="74" spans="1:2" x14ac:dyDescent="0.2">
      <c r="A74" t="s">
        <v>272</v>
      </c>
      <c r="B74" s="12">
        <f>'01_Timeseries'!B14/$B$69-1</f>
        <v>3.2098732460611012E-2</v>
      </c>
    </row>
    <row r="75" spans="1:2" x14ac:dyDescent="0.2">
      <c r="A75" t="s">
        <v>273</v>
      </c>
      <c r="B75" s="12">
        <f>('01_Timeseries'!E14-$B$70)*100</f>
        <v>-1.2051444323994187</v>
      </c>
    </row>
    <row r="76" spans="1:2" x14ac:dyDescent="0.2">
      <c r="A76" t="s">
        <v>274</v>
      </c>
      <c r="B76" s="12">
        <f>($B$58-$B$72)*100</f>
        <v>1.7087233196562079</v>
      </c>
    </row>
    <row r="77" spans="1:2" x14ac:dyDescent="0.2">
      <c r="A77" t="s">
        <v>275</v>
      </c>
      <c r="B77" s="12">
        <f>SUM('02_Age_Gender'!AE6:AE8)/$B$71-1</f>
        <v>-2.550207204335353E-2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B2:M68"/>
  <sheetViews>
    <sheetView showGridLines="0" tabSelected="1" topLeftCell="A4" zoomScale="108" zoomScaleNormal="183" workbookViewId="0">
      <selection activeCell="N20" sqref="N20"/>
    </sheetView>
  </sheetViews>
  <sheetFormatPr baseColWidth="10" defaultColWidth="8.83203125" defaultRowHeight="15" x14ac:dyDescent="0.2"/>
  <cols>
    <col min="1" max="1" width="2" customWidth="1"/>
    <col min="2" max="12" width="17" customWidth="1"/>
    <col min="13" max="13" width="2" customWidth="1"/>
  </cols>
  <sheetData>
    <row r="2" spans="2:13" x14ac:dyDescent="0.2">
      <c r="B2" s="43" t="s">
        <v>0</v>
      </c>
      <c r="C2" s="37"/>
      <c r="D2" s="37"/>
      <c r="E2" s="37"/>
      <c r="F2" s="37"/>
      <c r="G2" s="37"/>
      <c r="H2" s="37"/>
      <c r="I2" s="37"/>
      <c r="J2" s="37"/>
      <c r="K2" s="37"/>
      <c r="L2" s="37"/>
    </row>
    <row r="3" spans="2:13" x14ac:dyDescent="0.2">
      <c r="B3" s="37"/>
      <c r="C3" s="37"/>
      <c r="D3" s="37"/>
      <c r="E3" s="37"/>
      <c r="F3" s="37"/>
      <c r="G3" s="37"/>
      <c r="H3" s="37"/>
      <c r="I3" s="37"/>
      <c r="J3" s="37"/>
      <c r="K3" s="37"/>
      <c r="L3" s="37"/>
    </row>
    <row r="4" spans="2:13" x14ac:dyDescent="0.2">
      <c r="B4" s="35" t="s">
        <v>1</v>
      </c>
      <c r="C4" s="32"/>
      <c r="D4" s="32"/>
      <c r="E4" s="32"/>
      <c r="F4" s="32"/>
      <c r="G4" s="32"/>
      <c r="H4" s="32"/>
      <c r="I4" s="32"/>
      <c r="J4" s="32"/>
      <c r="K4" s="32"/>
      <c r="L4" s="32"/>
    </row>
    <row r="5" spans="2:13" ht="25" x14ac:dyDescent="0.2">
      <c r="B5" s="16" t="s">
        <v>263</v>
      </c>
      <c r="D5" s="30">
        <v>2021</v>
      </c>
      <c r="F5" s="2" t="s">
        <v>264</v>
      </c>
    </row>
    <row r="6" spans="2:13" ht="16" customHeight="1" x14ac:dyDescent="0.2">
      <c r="B6" s="36" t="s">
        <v>2</v>
      </c>
      <c r="C6" s="37"/>
      <c r="D6" s="36" t="str">
        <f>"GROWTH vs "&amp;'06_Metrics'!B68</f>
        <v>GROWTH vs 2021</v>
      </c>
      <c r="E6" s="37"/>
      <c r="F6" s="38" t="s">
        <v>3</v>
      </c>
      <c r="G6" s="39"/>
      <c r="H6" s="38" t="s">
        <v>4</v>
      </c>
      <c r="I6" s="39"/>
      <c r="J6" s="38" t="str">
        <f>"UNDER 19 vs "&amp;'06_Metrics'!B68</f>
        <v>UNDER 19 vs 2021</v>
      </c>
      <c r="K6" s="39"/>
      <c r="L6" s="40" t="s">
        <v>5</v>
      </c>
      <c r="M6" s="41"/>
    </row>
    <row r="7" spans="2:13" ht="22" customHeight="1" x14ac:dyDescent="0.2">
      <c r="B7" s="45">
        <f>'06_Metrics'!B52</f>
        <v>695617</v>
      </c>
      <c r="C7" s="34"/>
      <c r="D7" s="44">
        <f>'06_Metrics'!B74</f>
        <v>3.2098732460611012E-2</v>
      </c>
      <c r="E7" s="34"/>
      <c r="F7" s="33">
        <f>'06_Metrics'!B56</f>
        <v>0.34725287047326331</v>
      </c>
      <c r="G7" s="34"/>
      <c r="H7" s="33">
        <f>'06_Metrics'!B58</f>
        <v>0.4401171909254662</v>
      </c>
      <c r="I7" s="34"/>
      <c r="J7" s="33">
        <f>'06_Metrics'!B77</f>
        <v>-2.550207204335353E-2</v>
      </c>
      <c r="K7" s="34"/>
      <c r="L7" s="46">
        <f>'06_Metrics'!B63</f>
        <v>9.8706896551724146</v>
      </c>
      <c r="M7" s="34"/>
    </row>
    <row r="8" spans="2:13" ht="22" customHeight="1" x14ac:dyDescent="0.2">
      <c r="B8" s="32"/>
      <c r="C8" s="32"/>
      <c r="D8" s="32"/>
      <c r="E8" s="32"/>
      <c r="F8" s="32"/>
      <c r="G8" s="32"/>
      <c r="H8" s="32"/>
      <c r="I8" s="32"/>
      <c r="J8" s="32"/>
      <c r="K8" s="32"/>
      <c r="L8" s="32"/>
      <c r="M8" s="32"/>
    </row>
    <row r="9" spans="2:13" x14ac:dyDescent="0.2">
      <c r="B9" s="42" t="str">
        <f>"Compared with "&amp;'06_Metrics'!B68&amp;": "&amp;TEXT('06_Metrics'!B73,"+#,##0;-#,##0")&amp;" members "&amp;"("&amp;TEXT('06_Metrics'!B74,"+0.0%;-0.0%")&amp;")"&amp;"     ·     female share "&amp;TEXT('06_Metrics'!B75,"+0.0;-0.0")&amp;" pp"&amp;"     ·     aged 61+ "&amp;TEXT('06_Metrics'!B76,"+0.0;-0.0")&amp;" pp"&amp;"     ·     under 19 "&amp;TEXT('06_Metrics'!B77,"+0.0%;-0.0%")</f>
        <v>Compared with 2021: +21634,0 members (+03%)     ·     female share -01 pp     ·     aged 61+ +02 pp     ·     under 19 -03%</v>
      </c>
      <c r="C9" s="32"/>
      <c r="D9" s="32"/>
      <c r="E9" s="32"/>
      <c r="F9" s="32"/>
      <c r="G9" s="32"/>
      <c r="H9" s="32"/>
      <c r="I9" s="32"/>
      <c r="J9" s="32"/>
      <c r="K9" s="32"/>
      <c r="L9" s="32"/>
      <c r="M9" s="32"/>
    </row>
    <row r="11" spans="2:13" x14ac:dyDescent="0.2">
      <c r="B11" s="29" t="s">
        <v>241</v>
      </c>
      <c r="H11" s="29" t="s">
        <v>6</v>
      </c>
    </row>
    <row r="29" spans="2:8" x14ac:dyDescent="0.2">
      <c r="B29" s="29" t="s">
        <v>7</v>
      </c>
      <c r="H29" s="29" t="s">
        <v>8</v>
      </c>
    </row>
    <row r="47" spans="2:8" x14ac:dyDescent="0.2">
      <c r="B47" s="29" t="s">
        <v>9</v>
      </c>
      <c r="H47" s="29" t="s">
        <v>10</v>
      </c>
    </row>
    <row r="67" spans="2:12" x14ac:dyDescent="0.2">
      <c r="B67" s="31" t="s">
        <v>11</v>
      </c>
      <c r="C67" s="32"/>
      <c r="D67" s="32"/>
      <c r="E67" s="32"/>
      <c r="F67" s="32"/>
      <c r="G67" s="32"/>
      <c r="H67" s="32"/>
      <c r="I67" s="32"/>
      <c r="J67" s="32"/>
      <c r="K67" s="32"/>
      <c r="L67" s="32"/>
    </row>
    <row r="68" spans="2:12" x14ac:dyDescent="0.2">
      <c r="B68" s="32"/>
      <c r="C68" s="32"/>
      <c r="D68" s="32"/>
      <c r="E68" s="32"/>
      <c r="F68" s="32"/>
      <c r="G68" s="32"/>
      <c r="H68" s="32"/>
      <c r="I68" s="32"/>
      <c r="J68" s="32"/>
      <c r="K68" s="32"/>
      <c r="L68" s="32"/>
    </row>
  </sheetData>
  <mergeCells count="16">
    <mergeCell ref="B2:L3"/>
    <mergeCell ref="F6:G6"/>
    <mergeCell ref="D7:E8"/>
    <mergeCell ref="B7:C8"/>
    <mergeCell ref="J6:K6"/>
    <mergeCell ref="L7:M8"/>
    <mergeCell ref="B67:L68"/>
    <mergeCell ref="H7:I8"/>
    <mergeCell ref="F7:G8"/>
    <mergeCell ref="J7:K8"/>
    <mergeCell ref="B4:L4"/>
    <mergeCell ref="B6:C6"/>
    <mergeCell ref="D6:E6"/>
    <mergeCell ref="H6:I6"/>
    <mergeCell ref="L6:M6"/>
    <mergeCell ref="B9:M9"/>
  </mergeCells>
  <pageMargins left="0.75" right="0.75" top="1" bottom="1" header="0.5" footer="0.5"/>
  <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Title="Benchmark year" prompt="Choose the year to compare 2025 with." xr:uid="{00000000-0002-0000-0700-000000000000}">
          <x14:formula1>
            <xm:f>'01_Timeseries'!$A$5:$A$13</xm:f>
          </x14:formula1>
          <xm:sqref>D5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00_README</vt:lpstr>
      <vt:lpstr>01_Timeseries</vt:lpstr>
      <vt:lpstr>02_Age_Gender</vt:lpstr>
      <vt:lpstr>03_States</vt:lpstr>
      <vt:lpstr>04_Funnel</vt:lpstr>
      <vt:lpstr>05_Europe</vt:lpstr>
      <vt:lpstr>06_Metrics</vt:lpstr>
      <vt:lpstr>20_Dashboard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Adam Heier</cp:lastModifiedBy>
  <dcterms:created xsi:type="dcterms:W3CDTF">2026-09-24T00:14:30Z</dcterms:created>
  <dcterms:modified xsi:type="dcterms:W3CDTF">2026-09-24T14:23:41Z</dcterms:modified>
</cp:coreProperties>
</file>