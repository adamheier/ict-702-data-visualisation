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adamheier/Documents/Auslandssemester/Kurse/ict-702-data-visualisation/task_2/"/>
    </mc:Choice>
  </mc:AlternateContent>
  <xr:revisionPtr revIDLastSave="0" documentId="13_ncr:1_{960513AF-6EB3-954E-9E98-45C12A45602D}" xr6:coauthVersionLast="47" xr6:coauthVersionMax="47" xr10:uidLastSave="{00000000-0000-0000-0000-000000000000}"/>
  <bookViews>
    <workbookView xWindow="0" yWindow="660" windowWidth="29400" windowHeight="18460" firstSheet="1" activeTab="1" xr2:uid="{00000000-000D-0000-FFFF-FFFF00000000}"/>
  </bookViews>
  <sheets>
    <sheet name="00_README" sheetId="1" r:id="rId1"/>
    <sheet name="01_Timeseries" sheetId="2" r:id="rId2"/>
    <sheet name="02_Age_Gender" sheetId="3" r:id="rId3"/>
    <sheet name="03_Age_Long" sheetId="4" r:id="rId4"/>
    <sheet name="04_States" sheetId="5" r:id="rId5"/>
    <sheet name="05_States_Long" sheetId="6" r:id="rId6"/>
    <sheet name="06_Juniors" sheetId="7" r:id="rId7"/>
    <sheet name="07_Seniors" sheetId="8" r:id="rId8"/>
    <sheet name="08_Federations" sheetId="9" r:id="rId9"/>
    <sheet name="09_History" sheetId="10" r:id="rId10"/>
    <sheet name="10_Metrics" sheetId="11" r:id="rId11"/>
    <sheet name="20_Dashboard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" i="11" l="1"/>
  <c r="B53" i="11"/>
  <c r="B46" i="11"/>
  <c r="C42" i="11"/>
  <c r="B42" i="11"/>
  <c r="D42" i="11" s="1"/>
  <c r="A42" i="11"/>
  <c r="C41" i="11"/>
  <c r="B41" i="11"/>
  <c r="D41" i="11" s="1"/>
  <c r="A41" i="11"/>
  <c r="C40" i="11"/>
  <c r="B40" i="11"/>
  <c r="D40" i="11" s="1"/>
  <c r="A40" i="11"/>
  <c r="D39" i="11"/>
  <c r="C39" i="11"/>
  <c r="B39" i="11"/>
  <c r="A39" i="11"/>
  <c r="C38" i="11"/>
  <c r="D38" i="11" s="1"/>
  <c r="B38" i="11"/>
  <c r="A38" i="11"/>
  <c r="C37" i="11"/>
  <c r="D37" i="11" s="1"/>
  <c r="B37" i="11"/>
  <c r="A37" i="11"/>
  <c r="C36" i="11"/>
  <c r="B36" i="11"/>
  <c r="D36" i="11" s="1"/>
  <c r="A36" i="11"/>
  <c r="C35" i="11"/>
  <c r="B35" i="11"/>
  <c r="D35" i="11" s="1"/>
  <c r="A35" i="11"/>
  <c r="D34" i="11"/>
  <c r="C34" i="11"/>
  <c r="B34" i="11"/>
  <c r="A34" i="11"/>
  <c r="C33" i="11"/>
  <c r="D33" i="11" s="1"/>
  <c r="B33" i="11"/>
  <c r="A33" i="11"/>
  <c r="C32" i="11"/>
  <c r="D32" i="11" s="1"/>
  <c r="B32" i="11"/>
  <c r="A32" i="11"/>
  <c r="C31" i="11"/>
  <c r="B31" i="11"/>
  <c r="D31" i="11" s="1"/>
  <c r="G31" i="11" s="1"/>
  <c r="A31" i="11"/>
  <c r="C11" i="11"/>
  <c r="B11" i="11"/>
  <c r="D11" i="11" s="1"/>
  <c r="C10" i="11"/>
  <c r="B10" i="11"/>
  <c r="D10" i="11" s="1"/>
  <c r="C9" i="11"/>
  <c r="E9" i="11" s="1"/>
  <c r="B9" i="11"/>
  <c r="D9" i="11" s="1"/>
  <c r="C8" i="11"/>
  <c r="B8" i="11"/>
  <c r="D8" i="11" s="1"/>
  <c r="C7" i="11"/>
  <c r="E7" i="11" s="1"/>
  <c r="B7" i="11"/>
  <c r="D7" i="11" s="1"/>
  <c r="C6" i="11"/>
  <c r="B6" i="11"/>
  <c r="D6" i="11" s="1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E10" i="8"/>
  <c r="C10" i="8"/>
  <c r="B10" i="8"/>
  <c r="D9" i="8"/>
  <c r="F9" i="8" s="1"/>
  <c r="F8" i="8"/>
  <c r="D8" i="8"/>
  <c r="D7" i="8"/>
  <c r="F7" i="8" s="1"/>
  <c r="F6" i="8"/>
  <c r="D6" i="8"/>
  <c r="D5" i="8"/>
  <c r="D10" i="8" s="1"/>
  <c r="B51" i="11" s="1"/>
  <c r="H7" i="12" s="1"/>
  <c r="J15" i="7"/>
  <c r="K15" i="7" s="1"/>
  <c r="I15" i="7"/>
  <c r="H15" i="7"/>
  <c r="I14" i="7"/>
  <c r="J14" i="7" s="1"/>
  <c r="H14" i="7"/>
  <c r="I13" i="7"/>
  <c r="H13" i="7"/>
  <c r="J13" i="7" s="1"/>
  <c r="I12" i="7"/>
  <c r="K12" i="7" s="1"/>
  <c r="H12" i="7"/>
  <c r="J12" i="7" s="1"/>
  <c r="I11" i="7"/>
  <c r="H11" i="7"/>
  <c r="J11" i="7" s="1"/>
  <c r="K11" i="7" s="1"/>
  <c r="J10" i="7"/>
  <c r="K10" i="7" s="1"/>
  <c r="I10" i="7"/>
  <c r="H10" i="7"/>
  <c r="I9" i="7"/>
  <c r="J9" i="7" s="1"/>
  <c r="H9" i="7"/>
  <c r="I8" i="7"/>
  <c r="H8" i="7"/>
  <c r="J8" i="7" s="1"/>
  <c r="I7" i="7"/>
  <c r="H7" i="7"/>
  <c r="J7" i="7" s="1"/>
  <c r="I6" i="7"/>
  <c r="H6" i="7"/>
  <c r="J6" i="7" s="1"/>
  <c r="K6" i="7" s="1"/>
  <c r="E36" i="5"/>
  <c r="D36" i="5"/>
  <c r="C36" i="5"/>
  <c r="B36" i="5"/>
  <c r="J18" i="5"/>
  <c r="I18" i="5"/>
  <c r="H18" i="5"/>
  <c r="G18" i="5"/>
  <c r="F18" i="5"/>
  <c r="C18" i="5"/>
  <c r="B18" i="5"/>
  <c r="M17" i="5"/>
  <c r="H17" i="5"/>
  <c r="D17" i="5"/>
  <c r="E17" i="5" s="1"/>
  <c r="N16" i="5"/>
  <c r="M16" i="5"/>
  <c r="L16" i="5"/>
  <c r="H16" i="5"/>
  <c r="F42" i="11" s="1"/>
  <c r="E16" i="5"/>
  <c r="E42" i="11" s="1"/>
  <c r="D16" i="5"/>
  <c r="N15" i="5"/>
  <c r="M15" i="5"/>
  <c r="L15" i="5"/>
  <c r="H15" i="5"/>
  <c r="F41" i="11" s="1"/>
  <c r="D15" i="5"/>
  <c r="E15" i="5" s="1"/>
  <c r="E41" i="11" s="1"/>
  <c r="N14" i="5"/>
  <c r="M14" i="5"/>
  <c r="L14" i="5"/>
  <c r="H14" i="5"/>
  <c r="F40" i="11" s="1"/>
  <c r="D14" i="5"/>
  <c r="E14" i="5" s="1"/>
  <c r="E40" i="11" s="1"/>
  <c r="N13" i="5"/>
  <c r="M13" i="5"/>
  <c r="L13" i="5"/>
  <c r="H13" i="5"/>
  <c r="F39" i="11" s="1"/>
  <c r="D13" i="5"/>
  <c r="E13" i="5" s="1"/>
  <c r="E39" i="11" s="1"/>
  <c r="N12" i="5"/>
  <c r="M12" i="5"/>
  <c r="L12" i="5"/>
  <c r="H12" i="5"/>
  <c r="F38" i="11" s="1"/>
  <c r="D12" i="5"/>
  <c r="E12" i="5" s="1"/>
  <c r="E38" i="11" s="1"/>
  <c r="N11" i="5"/>
  <c r="M11" i="5"/>
  <c r="L11" i="5"/>
  <c r="H11" i="5"/>
  <c r="F37" i="11" s="1"/>
  <c r="E11" i="5"/>
  <c r="E37" i="11" s="1"/>
  <c r="D11" i="5"/>
  <c r="N10" i="5"/>
  <c r="M10" i="5"/>
  <c r="L10" i="5"/>
  <c r="H10" i="5"/>
  <c r="F36" i="11" s="1"/>
  <c r="D10" i="5"/>
  <c r="E10" i="5" s="1"/>
  <c r="E36" i="11" s="1"/>
  <c r="N9" i="5"/>
  <c r="M9" i="5"/>
  <c r="L9" i="5"/>
  <c r="H9" i="5"/>
  <c r="F35" i="11" s="1"/>
  <c r="D9" i="5"/>
  <c r="E9" i="5" s="1"/>
  <c r="E35" i="11" s="1"/>
  <c r="N8" i="5"/>
  <c r="M8" i="5"/>
  <c r="L8" i="5"/>
  <c r="H8" i="5"/>
  <c r="F34" i="11" s="1"/>
  <c r="D8" i="5"/>
  <c r="E8" i="5" s="1"/>
  <c r="E34" i="11" s="1"/>
  <c r="N7" i="5"/>
  <c r="M7" i="5"/>
  <c r="L7" i="5"/>
  <c r="H7" i="5"/>
  <c r="F33" i="11" s="1"/>
  <c r="D7" i="5"/>
  <c r="E7" i="5" s="1"/>
  <c r="E33" i="11" s="1"/>
  <c r="N6" i="5"/>
  <c r="M6" i="5"/>
  <c r="L6" i="5"/>
  <c r="H6" i="5"/>
  <c r="F32" i="11" s="1"/>
  <c r="E6" i="5"/>
  <c r="E32" i="11" s="1"/>
  <c r="D6" i="5"/>
  <c r="N5" i="5"/>
  <c r="M5" i="5"/>
  <c r="L5" i="5"/>
  <c r="H5" i="5"/>
  <c r="F31" i="11" s="1"/>
  <c r="D5" i="5"/>
  <c r="E5" i="5" s="1"/>
  <c r="E31" i="11" s="1"/>
  <c r="R17" i="3"/>
  <c r="Q17" i="3"/>
  <c r="O17" i="3"/>
  <c r="N17" i="3"/>
  <c r="L17" i="3"/>
  <c r="K17" i="3"/>
  <c r="I17" i="3"/>
  <c r="H17" i="3"/>
  <c r="F17" i="3"/>
  <c r="E17" i="3"/>
  <c r="C17" i="3"/>
  <c r="B17" i="3"/>
  <c r="S16" i="3"/>
  <c r="C26" i="11" s="1"/>
  <c r="P16" i="3"/>
  <c r="M16" i="3"/>
  <c r="J16" i="3"/>
  <c r="B26" i="11" s="1"/>
  <c r="G16" i="3"/>
  <c r="D16" i="3"/>
  <c r="S15" i="3"/>
  <c r="C25" i="11" s="1"/>
  <c r="P15" i="3"/>
  <c r="M15" i="3"/>
  <c r="J15" i="3"/>
  <c r="B25" i="11" s="1"/>
  <c r="G15" i="3"/>
  <c r="D15" i="3"/>
  <c r="S14" i="3"/>
  <c r="C24" i="11" s="1"/>
  <c r="P14" i="3"/>
  <c r="M14" i="3"/>
  <c r="J14" i="3"/>
  <c r="B24" i="11" s="1"/>
  <c r="G14" i="3"/>
  <c r="D14" i="3"/>
  <c r="S13" i="3"/>
  <c r="C23" i="11" s="1"/>
  <c r="P13" i="3"/>
  <c r="M13" i="3"/>
  <c r="J13" i="3"/>
  <c r="B23" i="11" s="1"/>
  <c r="G13" i="3"/>
  <c r="D13" i="3"/>
  <c r="S12" i="3"/>
  <c r="C22" i="11" s="1"/>
  <c r="P12" i="3"/>
  <c r="M12" i="3"/>
  <c r="J12" i="3"/>
  <c r="B22" i="11" s="1"/>
  <c r="G12" i="3"/>
  <c r="D12" i="3"/>
  <c r="S11" i="3"/>
  <c r="C21" i="11" s="1"/>
  <c r="P11" i="3"/>
  <c r="M11" i="3"/>
  <c r="J11" i="3"/>
  <c r="B21" i="11" s="1"/>
  <c r="G11" i="3"/>
  <c r="D11" i="3"/>
  <c r="S10" i="3"/>
  <c r="C20" i="11" s="1"/>
  <c r="P10" i="3"/>
  <c r="M10" i="3"/>
  <c r="J10" i="3"/>
  <c r="B20" i="11" s="1"/>
  <c r="G10" i="3"/>
  <c r="D10" i="3"/>
  <c r="S9" i="3"/>
  <c r="C19" i="11" s="1"/>
  <c r="P9" i="3"/>
  <c r="M9" i="3"/>
  <c r="J9" i="3"/>
  <c r="B19" i="11" s="1"/>
  <c r="G9" i="3"/>
  <c r="D9" i="3"/>
  <c r="S8" i="3"/>
  <c r="C18" i="11" s="1"/>
  <c r="P8" i="3"/>
  <c r="M8" i="3"/>
  <c r="J8" i="3"/>
  <c r="B18" i="11" s="1"/>
  <c r="G8" i="3"/>
  <c r="D8" i="3"/>
  <c r="S7" i="3"/>
  <c r="C17" i="11" s="1"/>
  <c r="P7" i="3"/>
  <c r="M7" i="3"/>
  <c r="J7" i="3"/>
  <c r="B17" i="11" s="1"/>
  <c r="G7" i="3"/>
  <c r="D7" i="3"/>
  <c r="S6" i="3"/>
  <c r="C16" i="11" s="1"/>
  <c r="P6" i="3"/>
  <c r="P17" i="3" s="1"/>
  <c r="M6" i="3"/>
  <c r="M17" i="3" s="1"/>
  <c r="J6" i="3"/>
  <c r="B16" i="11" s="1"/>
  <c r="G6" i="3"/>
  <c r="G17" i="3" s="1"/>
  <c r="D6" i="3"/>
  <c r="D17" i="3" s="1"/>
  <c r="H14" i="2"/>
  <c r="G14" i="2"/>
  <c r="B54" i="11" s="1"/>
  <c r="C14" i="2"/>
  <c r="B47" i="11" s="1"/>
  <c r="H13" i="2"/>
  <c r="G13" i="2"/>
  <c r="C13" i="2"/>
  <c r="D13" i="2" s="1"/>
  <c r="H12" i="2"/>
  <c r="G12" i="2"/>
  <c r="C12" i="2"/>
  <c r="D12" i="2" s="1"/>
  <c r="H11" i="2"/>
  <c r="G11" i="2"/>
  <c r="C11" i="2"/>
  <c r="D11" i="2" s="1"/>
  <c r="H10" i="2"/>
  <c r="G10" i="2"/>
  <c r="D10" i="2"/>
  <c r="C10" i="2"/>
  <c r="H9" i="2"/>
  <c r="G9" i="2"/>
  <c r="C9" i="2"/>
  <c r="D9" i="2" s="1"/>
  <c r="H8" i="2"/>
  <c r="G8" i="2"/>
  <c r="C8" i="2"/>
  <c r="D8" i="2" s="1"/>
  <c r="H7" i="2"/>
  <c r="G7" i="2"/>
  <c r="C7" i="2"/>
  <c r="D7" i="2" s="1"/>
  <c r="H6" i="2"/>
  <c r="G6" i="2"/>
  <c r="C6" i="2"/>
  <c r="D6" i="2" s="1"/>
  <c r="H5" i="2"/>
  <c r="G5" i="2"/>
  <c r="L7" i="12"/>
  <c r="B7" i="12"/>
  <c r="F16" i="11" l="1"/>
  <c r="D16" i="11"/>
  <c r="F21" i="11"/>
  <c r="D21" i="11"/>
  <c r="G37" i="11"/>
  <c r="G34" i="11"/>
  <c r="E8" i="11"/>
  <c r="F8" i="11" s="1"/>
  <c r="G41" i="11"/>
  <c r="K7" i="7"/>
  <c r="G35" i="11"/>
  <c r="G38" i="11"/>
  <c r="G32" i="11"/>
  <c r="F18" i="11"/>
  <c r="D18" i="11"/>
  <c r="F20" i="11"/>
  <c r="D20" i="11"/>
  <c r="F25" i="11"/>
  <c r="D25" i="11"/>
  <c r="F9" i="11"/>
  <c r="G42" i="11"/>
  <c r="G36" i="11"/>
  <c r="G39" i="11"/>
  <c r="F26" i="11"/>
  <c r="D26" i="11"/>
  <c r="F23" i="11"/>
  <c r="D23" i="11"/>
  <c r="K8" i="7"/>
  <c r="F17" i="11"/>
  <c r="D17" i="11"/>
  <c r="F22" i="11"/>
  <c r="D22" i="11"/>
  <c r="K13" i="7"/>
  <c r="E10" i="11"/>
  <c r="F10" i="11" s="1"/>
  <c r="G33" i="11"/>
  <c r="D19" i="11"/>
  <c r="F19" i="11"/>
  <c r="D24" i="11"/>
  <c r="F24" i="11"/>
  <c r="E6" i="11"/>
  <c r="F7" i="11" s="1"/>
  <c r="E11" i="11"/>
  <c r="G40" i="11"/>
  <c r="D18" i="5"/>
  <c r="E18" i="5" s="1"/>
  <c r="J17" i="3"/>
  <c r="F5" i="8"/>
  <c r="S17" i="3"/>
  <c r="B52" i="11"/>
  <c r="J7" i="12" s="1"/>
  <c r="K9" i="7"/>
  <c r="K14" i="7"/>
  <c r="D14" i="2"/>
  <c r="B48" i="11" s="1"/>
  <c r="D7" i="12" s="1"/>
  <c r="G25" i="11" l="1"/>
  <c r="E25" i="11"/>
  <c r="G26" i="11"/>
  <c r="E26" i="11"/>
  <c r="G21" i="11"/>
  <c r="E21" i="11"/>
  <c r="E19" i="11"/>
  <c r="B56" i="11"/>
  <c r="G19" i="11"/>
  <c r="G20" i="11"/>
  <c r="E20" i="11"/>
  <c r="G16" i="11"/>
  <c r="E16" i="11"/>
  <c r="G17" i="11"/>
  <c r="E17" i="11"/>
  <c r="E24" i="11"/>
  <c r="G24" i="11"/>
  <c r="B57" i="11"/>
  <c r="G23" i="11"/>
  <c r="E23" i="11"/>
  <c r="G18" i="11"/>
  <c r="E18" i="11"/>
  <c r="G22" i="11"/>
  <c r="E22" i="11"/>
  <c r="F11" i="11"/>
  <c r="B50" i="11"/>
  <c r="B49" i="11"/>
  <c r="F7" i="12" s="1"/>
</calcChain>
</file>

<file path=xl/sharedStrings.xml><?xml version="1.0" encoding="utf-8"?>
<sst xmlns="http://schemas.openxmlformats.org/spreadsheetml/2006/main" count="1132" uniqueCount="200">
  <si>
    <t>GROWING GOLF IN GERMANY  —  Participation Dashboard 2016–2025</t>
  </si>
  <si>
    <t>Audience: German Golf Federation (DGV) and golf facility operators   |   Data as at 30 Sep 2025 (players) / 31 Dec 2025 (facilities)   |   Sources: DGV; Destatis</t>
  </si>
  <si>
    <t>PLAYERS 2025</t>
  </si>
  <si>
    <t>GROWTH VS 2024</t>
  </si>
  <si>
    <t>FEMALE SHARE</t>
  </si>
  <si>
    <t>AGED 60+</t>
  </si>
  <si>
    <t>AGED UNDER 19</t>
  </si>
  <si>
    <t>GOLF FACILITIES</t>
  </si>
  <si>
    <t>1   Membership trend 2016–2025 — the COVID surge and what followed</t>
  </si>
  <si>
    <t>2   Age structure 2025 by gender — where the membership base actually sits</t>
  </si>
  <si>
    <t>3   Growth by age band 2022–2025 — the engine and the leak</t>
  </si>
  <si>
    <t>4   Female share 2020–2025 — the quiet decline</t>
  </si>
  <si>
    <t>5   Market penetration by state association — where the headroom is</t>
  </si>
  <si>
    <t>6   Children and juniors 2016–2025 — the talent pipeline</t>
  </si>
  <si>
    <t>Colour encoding: blue #0072B2 = male / overall membership, orange #E69F00 = female / attention accent. Palette after Okabe and Ito (2008), distinguishable under all common forms of colour vision deficiency.  |  Sources: Deutscher Golf Verband (2026); Statistisches Bundesamt (2025). Full details on sheet 00_README.</t>
  </si>
  <si>
    <t>ICT702 Task 2 — Growing Golf in Germany</t>
  </si>
  <si>
    <t>Data sources, definitions and workbook structure</t>
  </si>
  <si>
    <t>PURPOSE</t>
  </si>
  <si>
    <t>Data basis for an Excel dashboard supporting the German Golf Federation (DGV) and golf facility operators in decisions aimed at increasing participation in golf.</t>
  </si>
  <si>
    <t>TARGET AUDIENCE</t>
  </si>
  <si>
    <t>DGV executive board, state golf associations, golf facility operators.</t>
  </si>
  <si>
    <t>CENSUS DATE (PLAYERS)</t>
  </si>
  <si>
    <t>30 September of each year (DGV-registered memberships).</t>
  </si>
  <si>
    <t>CENSUS DATE (FACILITIES)</t>
  </si>
  <si>
    <t>31 December of each year.</t>
  </si>
  <si>
    <t>SOURCES</t>
  </si>
  <si>
    <t>S1</t>
  </si>
  <si>
    <t>Deutscher Golf Verband. (2026). DGV-Statistiken 2025 gesamt [DGV statistics 2025, complete]. https://serviceportal.dgv-intranet.de/files/pdf3/26-01-21-01-dgv_zahlen_gesamt_2025.pdf</t>
  </si>
  <si>
    <t>S2</t>
  </si>
  <si>
    <t>Deutscher Golf Verband. (2026). Golf in Deutschland erreicht neue Höchstwerte [Press release]. https://serviceportal.dgv-intranet.de/files/pdf3/26-01-21-01-pm-golferzahlen.pdf</t>
  </si>
  <si>
    <t>S3</t>
  </si>
  <si>
    <t>Deutscher Golf Verband. (2023). DGV-Statistiken 2022 [DGV statistics 2022]. https://serviceportal.dgv-intranet.de/files/pdf3/23-01-18_01_dgv_statistiken-2022.pdf</t>
  </si>
  <si>
    <t>S4</t>
  </si>
  <si>
    <t>Deutscher Golf Verband. (2026). Allgemeine DGV-Statistiken [General DGV statistics, 2016–2025]. https://serviceportal.dgv-intranet.de/marketing-betrieb/markt-daten/allgemeine-statistiken.cfm</t>
  </si>
  <si>
    <t>S5</t>
  </si>
  <si>
    <t>Statistisches Bundesamt. (2025). Bundesländer mit Hauptstädten nach Fläche, Bevölkerung und Bevölkerungsdichte am 31.12.2024 [Federal states by area and population]. https://www.destatis.de/DE/Themen/Laender-Regionen/Regionales/Gemeindeverzeichnis/Administrativ/02-bundeslaender.html</t>
  </si>
  <si>
    <t>S6</t>
  </si>
  <si>
    <t>Deutscher Olympischer Sportbund [German Olympic Sports Confederation]. Membership survey (as at 1 January 2025), as cited in S1.</t>
  </si>
  <si>
    <t>S7</t>
  </si>
  <si>
    <t>Okabe, M., &amp; Ito, K. (2008). Color Universal Design (CUD): How to make figures and presentations that are friendly to colorblind people. https://jfly.uni-koeln.de/color/</t>
  </si>
  <si>
    <t>COLOUR PALETTE</t>
  </si>
  <si>
    <t>Blue #0072B2 / Orange #E69F00 — a pair from the Okabe-Ito palette, distinguishable under deuteranopia, protanopia and tritanopia (S7). Grey #999999 for context data.</t>
  </si>
  <si>
    <t>SHEET GUIDE</t>
  </si>
  <si>
    <t>01_Timeseries</t>
  </si>
  <si>
    <t>Players, DGV member clubs and facilities 2016–2025, including change</t>
  </si>
  <si>
    <t>02_Age_Gender</t>
  </si>
  <si>
    <t>Age band by gender 2020–2025 (wide format, as published by the DGV)</t>
  </si>
  <si>
    <t>03_Age_Long</t>
  </si>
  <si>
    <t>Same data in long format — source for PivotTables and PivotCharts</t>
  </si>
  <si>
    <t>04_States</t>
  </si>
  <si>
    <t>State golf associations 2022 &amp; 2025, facilities, population, derived metrics</t>
  </si>
  <si>
    <t>05_States_Long</t>
  </si>
  <si>
    <t>State association by age band, long format, for PivotTables</t>
  </si>
  <si>
    <t>06_Juniors</t>
  </si>
  <si>
    <t>Children and juniors 2016–2025 by gender</t>
  </si>
  <si>
    <t>07_Seniors</t>
  </si>
  <si>
    <t>Age group 60 and over in five-year bands, 2025</t>
  </si>
  <si>
    <t>08_Federations</t>
  </si>
  <si>
    <t>Top 15 Olympic sports federations for benchmarking</t>
  </si>
  <si>
    <t>09_History</t>
  </si>
  <si>
    <t>Long-run series of clubs and players, 1951–2025</t>
  </si>
  <si>
    <t>10_Metrics</t>
  </si>
  <si>
    <t>Derived metrics as live formulas (female share, density, growth)</t>
  </si>
  <si>
    <t>20_Dashboard</t>
  </si>
  <si>
    <t>Dashboard with six visualisations</t>
  </si>
  <si>
    <t>DATA QUALITY</t>
  </si>
  <si>
    <t>Every table was reconciled against the published row and column totals: age band by gender sums exactly to the published annual total for each year, and the 13 state rows sum to 695,617 (2025) and 682,942 (2022).</t>
  </si>
  <si>
    <t>NOTE — VcG</t>
  </si>
  <si>
    <t>The 'Vereinigung clubfreier Golfspieler' (VcG) is a nationwide membership category, not a region. Exclude it from regional comparisons and density metrics, or it distorts the result.</t>
  </si>
  <si>
    <t>NOTE — AGE 60+</t>
  </si>
  <si>
    <t>Sheet 07_Seniors (60 and over, 325,743) overlaps with the '61 and over' band (306,153) on sheet 02. Do not add the two together.</t>
  </si>
  <si>
    <t>NOTE — FACILITIES</t>
  </si>
  <si>
    <t>Some changes in facility counts stem from reclassification of the DGV's own records (e.g. merging a 9-hole and an 18-hole course into one 27-hole facility), not only from closures.</t>
  </si>
  <si>
    <t>TERMINOLOGY</t>
  </si>
  <si>
    <t>'Registered membership' is not the same as 'person who plays golf': multiple memberships and casual players without club affiliation are not captured. State this as a limitation.</t>
  </si>
  <si>
    <t>AI DECLARATION</t>
  </si>
  <si>
    <t>For submission: acknowledge any use of AI tools in the report, per UniSC requirements.</t>
  </si>
  <si>
    <t>Players, member clubs and golf facilities, 2016–2025</t>
  </si>
  <si>
    <t>Source: DGV statistics 2025 (S1)</t>
  </si>
  <si>
    <t>Year</t>
  </si>
  <si>
    <t>Players</t>
  </si>
  <si>
    <t>Change (abs.)</t>
  </si>
  <si>
    <t>Change (%)</t>
  </si>
  <si>
    <t>DGV member clubs</t>
  </si>
  <si>
    <t>Golf facilities</t>
  </si>
  <si>
    <t>Players per facility</t>
  </si>
  <si>
    <t>Index (2016 = 100)</t>
  </si>
  <si>
    <t>Players by age band and gender, 2020–2025</t>
  </si>
  <si>
    <t>Source: DGV statistics 2022 and 2025 (S1, S3)</t>
  </si>
  <si>
    <t>Age band</t>
  </si>
  <si>
    <t>Male</t>
  </si>
  <si>
    <t>Female</t>
  </si>
  <si>
    <t>Total</t>
  </si>
  <si>
    <t>Up to 6</t>
  </si>
  <si>
    <t>7 to 14</t>
  </si>
  <si>
    <t>15 to 18</t>
  </si>
  <si>
    <t>19 to 20</t>
  </si>
  <si>
    <t>21 to 26</t>
  </si>
  <si>
    <t>27 to 35</t>
  </si>
  <si>
    <t>36 to 40</t>
  </si>
  <si>
    <t>41 to 50</t>
  </si>
  <si>
    <t>51 to 55</t>
  </si>
  <si>
    <t>56 to 60</t>
  </si>
  <si>
    <t>61 and over</t>
  </si>
  <si>
    <t>Age structure, long format</t>
  </si>
  <si>
    <t>Source for PivotTables and PivotCharts — Insert &gt; PivotTable</t>
  </si>
  <si>
    <t>Age rank</t>
  </si>
  <si>
    <t>Gender</t>
  </si>
  <si>
    <t>State golf associations: participation, growth and market penetration</t>
  </si>
  <si>
    <t>Players: DGV, 30 Sep; facilities: DGV, 31 Dec 2025; population: Destatis, 2022 Census, as at 31 Dec 2024 (S1, S3, S5)</t>
  </si>
  <si>
    <t>State golf association</t>
  </si>
  <si>
    <t>Players 2025</t>
  </si>
  <si>
    <t>Players 2022</t>
  </si>
  <si>
    <t>Male 2025</t>
  </si>
  <si>
    <t>Female 2025</t>
  </si>
  <si>
    <t>Female share</t>
  </si>
  <si>
    <t>Facilities</t>
  </si>
  <si>
    <t>Population</t>
  </si>
  <si>
    <t>Players per 1,000 pop.</t>
  </si>
  <si>
    <t>Population per facility</t>
  </si>
  <si>
    <t>Baden-Württemberg</t>
  </si>
  <si>
    <t>Bayern</t>
  </si>
  <si>
    <t>Berlin/Brandenburg</t>
  </si>
  <si>
    <t>Hamburg</t>
  </si>
  <si>
    <t>Hessen</t>
  </si>
  <si>
    <t>Mecklenburg-Vorpommern</t>
  </si>
  <si>
    <t>Niedersachsen/Bremen</t>
  </si>
  <si>
    <t>Nordrhein-Westfalen</t>
  </si>
  <si>
    <t>Rheinland-Pfalz/Saarland</t>
  </si>
  <si>
    <t>Sachsen-Anhalt</t>
  </si>
  <si>
    <t>Sachsen/Thüringen</t>
  </si>
  <si>
    <t>Schleswig-Holstein</t>
  </si>
  <si>
    <t>VcG (non-club members, nationwide)</t>
  </si>
  <si>
    <t>n/a</t>
  </si>
  <si>
    <t>Note: VcG is a nationwide membership category, not a region. Exclude it from maps, density metrics and regional comparisons.</t>
  </si>
  <si>
    <t>Golf facilities by course size (31 December 2025)</t>
  </si>
  <si>
    <t>9-hole</t>
  </si>
  <si>
    <t>18-hole</t>
  </si>
  <si>
    <t>27-hole</t>
  </si>
  <si>
    <t>State golf association by age band, long format</t>
  </si>
  <si>
    <t>Source for PivotTables and PivotCharts</t>
  </si>
  <si>
    <t>Children and juniors, 2016–2025</t>
  </si>
  <si>
    <t>M</t>
  </si>
  <si>
    <t>F</t>
  </si>
  <si>
    <t>Players aged 60 and over, 2025</t>
  </si>
  <si>
    <t>Source: DGV statistics 2025 (S1). Note: overlaps with the '61 and over' band on sheet 02 — do not add.</t>
  </si>
  <si>
    <t>Share of all players</t>
  </si>
  <si>
    <t>60 to 64</t>
  </si>
  <si>
    <t>65 to 69</t>
  </si>
  <si>
    <t>70 to 74</t>
  </si>
  <si>
    <t>75 to 79</t>
  </si>
  <si>
    <t>80 and over</t>
  </si>
  <si>
    <t>Total 60 and over</t>
  </si>
  <si>
    <t>Top 15 Olympic sports federations in Germany</t>
  </si>
  <si>
    <t>As at 1 January 2025 (2024 data), cited in DGV statistics 2025 (S1, S6)</t>
  </si>
  <si>
    <t>Rank</t>
  </si>
  <si>
    <t>Sports federation</t>
  </si>
  <si>
    <t>Members</t>
  </si>
  <si>
    <t>German Football Association</t>
  </si>
  <si>
    <t>German Gymnastics Federation</t>
  </si>
  <si>
    <t>German Tennis Federation</t>
  </si>
  <si>
    <t>German Alpine Club</t>
  </si>
  <si>
    <t>German Shooting Federation</t>
  </si>
  <si>
    <t>German Athletics Federation</t>
  </si>
  <si>
    <t>German Handball Federation</t>
  </si>
  <si>
    <t>German Golf Federation (DGV)</t>
  </si>
  <si>
    <t>German Equestrian Federation</t>
  </si>
  <si>
    <t>German Life Saving Association</t>
  </si>
  <si>
    <t>German Swimming Federation</t>
  </si>
  <si>
    <t>German Table Tennis Federation</t>
  </si>
  <si>
    <t>German Ski Federation</t>
  </si>
  <si>
    <t>German Disabled Sports Federation</t>
  </si>
  <si>
    <t>German Volleyball Federation</t>
  </si>
  <si>
    <t>Long-run series: clubs and players, 1951–2025</t>
  </si>
  <si>
    <t>Clubs</t>
  </si>
  <si>
    <t>Players per club</t>
  </si>
  <si>
    <t>Derived metrics</t>
  </si>
  <si>
    <t>All values are live formulas pointing at the data sheets — edit the raw data and these update</t>
  </si>
  <si>
    <t>A)  Gender balance over time</t>
  </si>
  <si>
    <t>Change in share (pp)</t>
  </si>
  <si>
    <t>B)  Growth by age band, 2022 to 2025</t>
  </si>
  <si>
    <t>2022</t>
  </si>
  <si>
    <t>2025</t>
  </si>
  <si>
    <t>Share of total 2025</t>
  </si>
  <si>
    <t>Contribution to net growth</t>
  </si>
  <si>
    <t>C)  Market penetration by state association (VcG excluded)</t>
  </si>
  <si>
    <t>Change (%) 2022–25</t>
  </si>
  <si>
    <t>Density rank</t>
  </si>
  <si>
    <t>D)  Headline figures for the KPI tiles</t>
  </si>
  <si>
    <t>Growth vs 2024 (abs.)</t>
  </si>
  <si>
    <t>Growth vs 2024 (%)</t>
  </si>
  <si>
    <t>Female share 2025</t>
  </si>
  <si>
    <t>Change in female share since 2020 (pp)</t>
  </si>
  <si>
    <t>Share aged 60 and over</t>
  </si>
  <si>
    <t>Share aged under 19</t>
  </si>
  <si>
    <t>Golf facilities 2025</t>
  </si>
  <si>
    <t>Players per facility 2025</t>
  </si>
  <si>
    <t>National penetration (per 1,000 pop.)</t>
  </si>
  <si>
    <t>Growth, ages 19–40, 2022–25</t>
  </si>
  <si>
    <t>Growth, ages 41–60, 2022–25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</si>
</sst>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+0.0%;\-0.0%"/>
    <numFmt numFmtId="165" formatCode="#,##0.0"/>
    <numFmt numFmtId="166" formatCode="0.0%"/>
    <numFmt numFmtId="167" formatCode="\+0.00;\-0.00"/>
    <numFmt numFmtId="168" formatCode="\+#,##0;\-#,##0"/>
  </numFmts>
  <fonts count="14" x14ac:knownFonts="1">
    <font>
      <sz val="11"/>
      <color theme="1"/>
      <name val="Calibri"/>
      <family val="2"/>
      <scheme val="minor"/>
    </font>
    <font>
      <b/>
      <sz val="14"/>
      <color rgb="FF1A1A1A"/>
      <name val="Calibri"/>
      <family val="2"/>
    </font>
    <font>
      <i/>
      <sz val="9"/>
      <color rgb="FF595959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b/>
      <sz val="20"/>
      <color rgb="FFFFFFFF"/>
      <name val="Calibri"/>
      <family val="2"/>
    </font>
    <font>
      <b/>
      <sz val="9"/>
      <color rgb="FFFFFFFF"/>
      <name val="Calibri"/>
      <family val="2"/>
    </font>
    <font>
      <b/>
      <sz val="20"/>
      <color rgb="FF1A1A1A"/>
      <name val="Calibri"/>
      <family val="2"/>
    </font>
    <font>
      <b/>
      <sz val="11"/>
      <color rgb="FF1A1A1A"/>
      <name val="Calibri"/>
      <family val="2"/>
    </font>
    <font>
      <i/>
      <sz val="8"/>
      <color rgb="FF59595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72B2"/>
      </patternFill>
    </fill>
    <fill>
      <patternFill patternType="solid">
        <fgColor rgb="FF1A1A1A"/>
      </patternFill>
    </fill>
    <fill>
      <patternFill patternType="solid">
        <fgColor rgb="FFFDF0D5"/>
      </patternFill>
    </fill>
    <fill>
      <patternFill patternType="solid">
        <fgColor rgb="FFF2F2F2"/>
      </patternFill>
    </fill>
    <fill>
      <patternFill patternType="solid">
        <fgColor rgb="FFE69F00"/>
      </patternFill>
    </fill>
    <fill>
      <patternFill patternType="solid">
        <fgColor rgb="FF9999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0" fontId="5" fillId="0" borderId="0" xfId="0" applyFont="1"/>
    <xf numFmtId="0" fontId="7" fillId="0" borderId="1" xfId="0" applyFont="1" applyBorder="1"/>
    <xf numFmtId="0" fontId="5" fillId="0" borderId="1" xfId="0" applyFont="1" applyBorder="1"/>
    <xf numFmtId="3" fontId="5" fillId="0" borderId="1" xfId="0" applyNumberFormat="1" applyFont="1" applyBorder="1"/>
    <xf numFmtId="3" fontId="0" fillId="0" borderId="0" xfId="0" applyNumberFormat="1"/>
    <xf numFmtId="166" fontId="0" fillId="0" borderId="1" xfId="0" applyNumberFormat="1" applyBorder="1"/>
    <xf numFmtId="164" fontId="5" fillId="0" borderId="1" xfId="0" applyNumberFormat="1" applyFont="1" applyBorder="1"/>
    <xf numFmtId="166" fontId="5" fillId="0" borderId="1" xfId="0" applyNumberFormat="1" applyFont="1" applyBorder="1"/>
    <xf numFmtId="0" fontId="8" fillId="0" borderId="0" xfId="0" applyFont="1"/>
    <xf numFmtId="0" fontId="5" fillId="4" borderId="1" xfId="0" applyFont="1" applyFill="1" applyBorder="1"/>
    <xf numFmtId="3" fontId="5" fillId="4" borderId="1" xfId="0" applyNumberFormat="1" applyFont="1" applyFill="1" applyBorder="1"/>
    <xf numFmtId="164" fontId="5" fillId="4" borderId="1" xfId="0" applyNumberFormat="1" applyFont="1" applyFill="1" applyBorder="1"/>
    <xf numFmtId="167" fontId="0" fillId="0" borderId="1" xfId="0" applyNumberFormat="1" applyBorder="1"/>
    <xf numFmtId="168" fontId="5" fillId="0" borderId="1" xfId="0" applyNumberFormat="1" applyFont="1" applyBorder="1"/>
    <xf numFmtId="167" fontId="5" fillId="0" borderId="1" xfId="0" applyNumberFormat="1" applyFont="1" applyBorder="1"/>
    <xf numFmtId="165" fontId="5" fillId="0" borderId="1" xfId="0" applyNumberFormat="1" applyFont="1" applyBorder="1"/>
    <xf numFmtId="0" fontId="12" fillId="0" borderId="0" xfId="0" applyFont="1"/>
    <xf numFmtId="0" fontId="6" fillId="3" borderId="0" xfId="0" applyFont="1" applyFill="1" applyAlignment="1">
      <alignment horizontal="center"/>
    </xf>
    <xf numFmtId="0" fontId="0" fillId="0" borderId="0" xfId="0"/>
    <xf numFmtId="0" fontId="9" fillId="2" borderId="0" xfId="0" applyFont="1" applyFill="1" applyAlignment="1">
      <alignment horizontal="left" vertical="center" indent="1"/>
    </xf>
    <xf numFmtId="0" fontId="0" fillId="2" borderId="0" xfId="0" applyFill="1"/>
    <xf numFmtId="0" fontId="10" fillId="6" borderId="0" xfId="0" applyFont="1" applyFill="1" applyAlignment="1">
      <alignment horizontal="center" vertical="center"/>
    </xf>
    <xf numFmtId="0" fontId="0" fillId="6" borderId="0" xfId="0" applyFill="1"/>
    <xf numFmtId="0" fontId="2" fillId="0" borderId="0" xfId="0" applyFont="1" applyAlignment="1">
      <alignment horizontal="left" indent="1"/>
    </xf>
    <xf numFmtId="0" fontId="10" fillId="2" borderId="0" xfId="0" applyFont="1" applyFill="1" applyAlignment="1">
      <alignment horizontal="center" vertical="center"/>
    </xf>
    <xf numFmtId="0" fontId="13" fillId="0" borderId="0" xfId="0" applyFont="1" applyAlignment="1">
      <alignment vertical="top" wrapText="1" indent="1"/>
    </xf>
    <xf numFmtId="0" fontId="10" fillId="7" borderId="0" xfId="0" applyFont="1" applyFill="1" applyAlignment="1">
      <alignment horizontal="center" vertical="center"/>
    </xf>
    <xf numFmtId="0" fontId="0" fillId="7" borderId="0" xfId="0" applyFill="1"/>
    <xf numFmtId="164" fontId="11" fillId="5" borderId="0" xfId="0" applyNumberFormat="1" applyFont="1" applyFill="1" applyAlignment="1">
      <alignment horizontal="center" vertical="center"/>
    </xf>
    <xf numFmtId="0" fontId="0" fillId="5" borderId="0" xfId="0" applyFill="1"/>
    <xf numFmtId="3" fontId="11" fillId="5" borderId="0" xfId="0" applyNumberFormat="1" applyFont="1" applyFill="1" applyAlignment="1">
      <alignment horizontal="center" vertical="center"/>
    </xf>
    <xf numFmtId="166" fontId="11" fillId="5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DGV-registered players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'01_Timeseries'!$B$4</c:f>
              <c:strCache>
                <c:ptCount val="1"/>
                <c:pt idx="0">
                  <c:v>Players</c:v>
                </c:pt>
              </c:strCache>
            </c:strRef>
          </c:tx>
          <c:spPr>
            <a:ln w="28000">
              <a:solidFill>
                <a:srgbClr val="0072B2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'01_Timeseries'!$A$5:$A$14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'01_Timeseries'!$B$5:$B$14</c:f>
              <c:numCache>
                <c:formatCode>#,##0</c:formatCode>
                <c:ptCount val="10"/>
                <c:pt idx="0">
                  <c:v>643158</c:v>
                </c:pt>
                <c:pt idx="1">
                  <c:v>644943</c:v>
                </c:pt>
                <c:pt idx="2">
                  <c:v>642240</c:v>
                </c:pt>
                <c:pt idx="3">
                  <c:v>642677</c:v>
                </c:pt>
                <c:pt idx="4">
                  <c:v>651417</c:v>
                </c:pt>
                <c:pt idx="5">
                  <c:v>673983</c:v>
                </c:pt>
                <c:pt idx="6">
                  <c:v>682942</c:v>
                </c:pt>
                <c:pt idx="7">
                  <c:v>682126</c:v>
                </c:pt>
                <c:pt idx="8">
                  <c:v>686708</c:v>
                </c:pt>
                <c:pt idx="9">
                  <c:v>695617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CB-C64E-BCBE-CC96BB6B0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62000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Players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Players by age band and gender, 2025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'02_Age_Gender'!$Q$5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072B2"/>
            </a:solidFill>
            <a:ln>
              <a:prstDash val="solid"/>
            </a:ln>
          </c:spPr>
          <c:invertIfNegative val="1"/>
          <c:cat>
            <c:strRef>
              <c:f>'02_Age_Gender'!$A$6:$A$16</c:f>
              <c:strCache>
                <c:ptCount val="11"/>
                <c:pt idx="0">
                  <c:v>Up to 6</c:v>
                </c:pt>
                <c:pt idx="1">
                  <c:v>7 to 14</c:v>
                </c:pt>
                <c:pt idx="2">
                  <c:v>15 to 18</c:v>
                </c:pt>
                <c:pt idx="3">
                  <c:v>19 to 20</c:v>
                </c:pt>
                <c:pt idx="4">
                  <c:v>21 to 26</c:v>
                </c:pt>
                <c:pt idx="5">
                  <c:v>27 to 35</c:v>
                </c:pt>
                <c:pt idx="6">
                  <c:v>36 to 40</c:v>
                </c:pt>
                <c:pt idx="7">
                  <c:v>41 to 50</c:v>
                </c:pt>
                <c:pt idx="8">
                  <c:v>51 to 55</c:v>
                </c:pt>
                <c:pt idx="9">
                  <c:v>56 to 60</c:v>
                </c:pt>
                <c:pt idx="10">
                  <c:v>61 and over</c:v>
                </c:pt>
              </c:strCache>
            </c:strRef>
          </c:cat>
          <c:val>
            <c:numRef>
              <c:f>'02_Age_Gender'!$Q$6:$Q$16</c:f>
              <c:numCache>
                <c:formatCode>#,##0</c:formatCode>
                <c:ptCount val="11"/>
                <c:pt idx="0">
                  <c:v>1347</c:v>
                </c:pt>
                <c:pt idx="1">
                  <c:v>14268</c:v>
                </c:pt>
                <c:pt idx="2">
                  <c:v>13350</c:v>
                </c:pt>
                <c:pt idx="3">
                  <c:v>7024</c:v>
                </c:pt>
                <c:pt idx="4">
                  <c:v>24839</c:v>
                </c:pt>
                <c:pt idx="5">
                  <c:v>39369</c:v>
                </c:pt>
                <c:pt idx="6">
                  <c:v>21606</c:v>
                </c:pt>
                <c:pt idx="7">
                  <c:v>48396</c:v>
                </c:pt>
                <c:pt idx="8">
                  <c:v>37439</c:v>
                </c:pt>
                <c:pt idx="9">
                  <c:v>57318</c:v>
                </c:pt>
                <c:pt idx="10">
                  <c:v>189106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3AF-8545-B32C-8C589B5EAE08}"/>
            </c:ext>
          </c:extLst>
        </c:ser>
        <c:ser>
          <c:idx val="1"/>
          <c:order val="1"/>
          <c:tx>
            <c:strRef>
              <c:f>'02_Age_Gender'!$R$5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E69F00"/>
            </a:solidFill>
            <a:ln>
              <a:prstDash val="solid"/>
            </a:ln>
          </c:spPr>
          <c:invertIfNegative val="1"/>
          <c:cat>
            <c:strRef>
              <c:f>'02_Age_Gender'!$A$6:$A$16</c:f>
              <c:strCache>
                <c:ptCount val="11"/>
                <c:pt idx="0">
                  <c:v>Up to 6</c:v>
                </c:pt>
                <c:pt idx="1">
                  <c:v>7 to 14</c:v>
                </c:pt>
                <c:pt idx="2">
                  <c:v>15 to 18</c:v>
                </c:pt>
                <c:pt idx="3">
                  <c:v>19 to 20</c:v>
                </c:pt>
                <c:pt idx="4">
                  <c:v>21 to 26</c:v>
                </c:pt>
                <c:pt idx="5">
                  <c:v>27 to 35</c:v>
                </c:pt>
                <c:pt idx="6">
                  <c:v>36 to 40</c:v>
                </c:pt>
                <c:pt idx="7">
                  <c:v>41 to 50</c:v>
                </c:pt>
                <c:pt idx="8">
                  <c:v>51 to 55</c:v>
                </c:pt>
                <c:pt idx="9">
                  <c:v>56 to 60</c:v>
                </c:pt>
                <c:pt idx="10">
                  <c:v>61 and over</c:v>
                </c:pt>
              </c:strCache>
            </c:strRef>
          </c:cat>
          <c:val>
            <c:numRef>
              <c:f>'02_Age_Gender'!$R$6:$R$16</c:f>
              <c:numCache>
                <c:formatCode>#,##0</c:formatCode>
                <c:ptCount val="11"/>
                <c:pt idx="0">
                  <c:v>824</c:v>
                </c:pt>
                <c:pt idx="1">
                  <c:v>7472</c:v>
                </c:pt>
                <c:pt idx="2">
                  <c:v>5537</c:v>
                </c:pt>
                <c:pt idx="3">
                  <c:v>2498</c:v>
                </c:pt>
                <c:pt idx="4">
                  <c:v>8060</c:v>
                </c:pt>
                <c:pt idx="5">
                  <c:v>12016</c:v>
                </c:pt>
                <c:pt idx="6">
                  <c:v>6399</c:v>
                </c:pt>
                <c:pt idx="7">
                  <c:v>22454</c:v>
                </c:pt>
                <c:pt idx="8">
                  <c:v>22880</c:v>
                </c:pt>
                <c:pt idx="9">
                  <c:v>36368</c:v>
                </c:pt>
                <c:pt idx="10">
                  <c:v>117047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3AF-8545-B32C-8C589B5EA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Players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Change 2022 to 2025 (absolute)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'10_Metrics'!$D$15</c:f>
              <c:strCache>
                <c:ptCount val="1"/>
                <c:pt idx="0">
                  <c:v>Change (abs.)</c:v>
                </c:pt>
              </c:strCache>
            </c:strRef>
          </c:tx>
          <c:spPr>
            <a:solidFill>
              <a:srgbClr val="0072B2"/>
            </a:solidFill>
            <a:ln>
              <a:prstDash val="solid"/>
            </a:ln>
          </c:spPr>
          <c:invertIfNegative val="1"/>
          <c:cat>
            <c:strRef>
              <c:f>'10_Metrics'!$A$16:$A$26</c:f>
              <c:strCache>
                <c:ptCount val="11"/>
                <c:pt idx="0">
                  <c:v>Up to 6</c:v>
                </c:pt>
                <c:pt idx="1">
                  <c:v>7 to 14</c:v>
                </c:pt>
                <c:pt idx="2">
                  <c:v>15 to 18</c:v>
                </c:pt>
                <c:pt idx="3">
                  <c:v>19 to 20</c:v>
                </c:pt>
                <c:pt idx="4">
                  <c:v>21 to 26</c:v>
                </c:pt>
                <c:pt idx="5">
                  <c:v>27 to 35</c:v>
                </c:pt>
                <c:pt idx="6">
                  <c:v>36 to 40</c:v>
                </c:pt>
                <c:pt idx="7">
                  <c:v>41 to 50</c:v>
                </c:pt>
                <c:pt idx="8">
                  <c:v>51 to 55</c:v>
                </c:pt>
                <c:pt idx="9">
                  <c:v>56 to 60</c:v>
                </c:pt>
                <c:pt idx="10">
                  <c:v>61 and over</c:v>
                </c:pt>
              </c:strCache>
            </c:strRef>
          </c:cat>
          <c:val>
            <c:numRef>
              <c:f>'10_Metrics'!$D$16:$D$26</c:f>
              <c:numCache>
                <c:formatCode>#,##0</c:formatCode>
                <c:ptCount val="11"/>
                <c:pt idx="0">
                  <c:v>-41</c:v>
                </c:pt>
                <c:pt idx="1">
                  <c:v>-1790</c:v>
                </c:pt>
                <c:pt idx="2">
                  <c:v>352</c:v>
                </c:pt>
                <c:pt idx="3">
                  <c:v>1127</c:v>
                </c:pt>
                <c:pt idx="4">
                  <c:v>5986</c:v>
                </c:pt>
                <c:pt idx="5">
                  <c:v>9030</c:v>
                </c:pt>
                <c:pt idx="6">
                  <c:v>2597</c:v>
                </c:pt>
                <c:pt idx="7">
                  <c:v>-6459</c:v>
                </c:pt>
                <c:pt idx="8">
                  <c:v>-18302</c:v>
                </c:pt>
                <c:pt idx="9">
                  <c:v>2351</c:v>
                </c:pt>
                <c:pt idx="10">
                  <c:v>17824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D92-4B41-89FA-C6FF83268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Female share of all registered memberships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'10_Metrics'!$E$5</c:f>
              <c:strCache>
                <c:ptCount val="1"/>
                <c:pt idx="0">
                  <c:v>Female share</c:v>
                </c:pt>
              </c:strCache>
            </c:strRef>
          </c:tx>
          <c:spPr>
            <a:ln w="28000">
              <a:solidFill>
                <a:srgbClr val="E69F00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'10_Metrics'!$A$6:$A$11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'10_Metrics'!$E$6:$E$11</c:f>
              <c:numCache>
                <c:formatCode>0.0%</c:formatCode>
                <c:ptCount val="6"/>
                <c:pt idx="0">
                  <c:v>0.36136760324032069</c:v>
                </c:pt>
                <c:pt idx="1">
                  <c:v>0.3593043147972575</c:v>
                </c:pt>
                <c:pt idx="2">
                  <c:v>0.35797036937250892</c:v>
                </c:pt>
                <c:pt idx="3">
                  <c:v>0.35526134467825593</c:v>
                </c:pt>
                <c:pt idx="4">
                  <c:v>0.35144340826086196</c:v>
                </c:pt>
                <c:pt idx="5">
                  <c:v>0.34725287047326331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B8-E240-AFFF-3018DCA68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0.37"/>
          <c:min val="0.33"/>
        </c:scaling>
        <c:delete val="1"/>
        <c:axPos val="l"/>
        <c:majorGridlines/>
        <c:numFmt formatCode="0.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Players per 1,000 population (2025, VcG excluded)</a:t>
            </a:r>
          </a:p>
        </c:rich>
      </c:tx>
      <c:layout>
        <c:manualLayout>
          <c:xMode val="edge"/>
          <c:yMode val="edge"/>
          <c:x val="0.34564766287175885"/>
          <c:y val="1.4895207831958714E-4"/>
        </c:manualLayout>
      </c:layout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'10_Metrics'!$D$30</c:f>
              <c:strCache>
                <c:ptCount val="1"/>
                <c:pt idx="0">
                  <c:v>Players per 1,000 pop.</c:v>
                </c:pt>
              </c:strCache>
            </c:strRef>
          </c:tx>
          <c:spPr>
            <a:solidFill>
              <a:srgbClr val="0072B2"/>
            </a:solidFill>
            <a:ln>
              <a:prstDash val="solid"/>
            </a:ln>
          </c:spPr>
          <c:invertIfNegative val="1"/>
          <c:cat>
            <c:strRef>
              <c:f>'10_Metrics'!$A$31:$A$42</c:f>
              <c:strCache>
                <c:ptCount val="12"/>
                <c:pt idx="0">
                  <c:v>Baden-Württemberg</c:v>
                </c:pt>
                <c:pt idx="1">
                  <c:v>Bayern</c:v>
                </c:pt>
                <c:pt idx="2">
                  <c:v>Berlin/Brandenburg</c:v>
                </c:pt>
                <c:pt idx="3">
                  <c:v>Hamburg</c:v>
                </c:pt>
                <c:pt idx="4">
                  <c:v>Hessen</c:v>
                </c:pt>
                <c:pt idx="5">
                  <c:v>Mecklenburg-Vorpommern</c:v>
                </c:pt>
                <c:pt idx="6">
                  <c:v>Niedersachsen/Bremen</c:v>
                </c:pt>
                <c:pt idx="7">
                  <c:v>Nordrhein-Westfalen</c:v>
                </c:pt>
                <c:pt idx="8">
                  <c:v>Rheinland-Pfalz/Saarland</c:v>
                </c:pt>
                <c:pt idx="9">
                  <c:v>Sachsen-Anhalt</c:v>
                </c:pt>
                <c:pt idx="10">
                  <c:v>Sachsen/Thüringen</c:v>
                </c:pt>
                <c:pt idx="11">
                  <c:v>Schleswig-Holstein</c:v>
                </c:pt>
              </c:strCache>
            </c:strRef>
          </c:cat>
          <c:val>
            <c:numRef>
              <c:f>'10_Metrics'!$D$31:$D$42</c:f>
              <c:numCache>
                <c:formatCode>#,##0.0</c:formatCode>
                <c:ptCount val="12"/>
                <c:pt idx="0">
                  <c:v>6.7650444633234272</c:v>
                </c:pt>
                <c:pt idx="1">
                  <c:v>10.906618256209105</c:v>
                </c:pt>
                <c:pt idx="2">
                  <c:v>4.4500074655415593</c:v>
                </c:pt>
                <c:pt idx="3">
                  <c:v>11.864820825045031</c:v>
                </c:pt>
                <c:pt idx="4">
                  <c:v>7.9195413700149011</c:v>
                </c:pt>
                <c:pt idx="5">
                  <c:v>11.916647019535498</c:v>
                </c:pt>
                <c:pt idx="6">
                  <c:v>9.044511830362012</c:v>
                </c:pt>
                <c:pt idx="7">
                  <c:v>8.0263034300899836</c:v>
                </c:pt>
                <c:pt idx="8">
                  <c:v>5.8566119053777825</c:v>
                </c:pt>
                <c:pt idx="9">
                  <c:v>1.0151728064798742</c:v>
                </c:pt>
                <c:pt idx="10">
                  <c:v>2.2296387955848074</c:v>
                </c:pt>
                <c:pt idx="11">
                  <c:v>18.405368173252594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CAF-F844-A0BC-AAF46F6CB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#,##0.0" sourceLinked="0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Members aged under 19, by gender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'06_Juniors'!$H$5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072B2"/>
            </a:solidFill>
            <a:ln>
              <a:prstDash val="solid"/>
            </a:ln>
          </c:spPr>
          <c:invertIfNegative val="1"/>
          <c:cat>
            <c:numRef>
              <c:f>'06_Juniors'!$A$6:$A$15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'06_Juniors'!$H$6:$H$15</c:f>
              <c:numCache>
                <c:formatCode>#,##0</c:formatCode>
                <c:ptCount val="10"/>
                <c:pt idx="0">
                  <c:v>29862</c:v>
                </c:pt>
                <c:pt idx="1">
                  <c:v>28932</c:v>
                </c:pt>
                <c:pt idx="2">
                  <c:v>27898</c:v>
                </c:pt>
                <c:pt idx="3">
                  <c:v>27208</c:v>
                </c:pt>
                <c:pt idx="4">
                  <c:v>27676</c:v>
                </c:pt>
                <c:pt idx="5">
                  <c:v>29360</c:v>
                </c:pt>
                <c:pt idx="6">
                  <c:v>29397</c:v>
                </c:pt>
                <c:pt idx="7">
                  <c:v>28523</c:v>
                </c:pt>
                <c:pt idx="8">
                  <c:v>28175</c:v>
                </c:pt>
                <c:pt idx="9">
                  <c:v>28965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138-0148-9686-38E66A2B91ED}"/>
            </c:ext>
          </c:extLst>
        </c:ser>
        <c:ser>
          <c:idx val="1"/>
          <c:order val="1"/>
          <c:tx>
            <c:strRef>
              <c:f>'06_Juniors'!$I$5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E69F00"/>
            </a:solidFill>
            <a:ln>
              <a:prstDash val="solid"/>
            </a:ln>
          </c:spPr>
          <c:invertIfNegative val="1"/>
          <c:cat>
            <c:numRef>
              <c:f>'06_Juniors'!$A$6:$A$15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'06_Juniors'!$I$6:$I$15</c:f>
              <c:numCache>
                <c:formatCode>#,##0</c:formatCode>
                <c:ptCount val="10"/>
                <c:pt idx="0">
                  <c:v>14091</c:v>
                </c:pt>
                <c:pt idx="1">
                  <c:v>13741</c:v>
                </c:pt>
                <c:pt idx="2">
                  <c:v>13507</c:v>
                </c:pt>
                <c:pt idx="3">
                  <c:v>13130</c:v>
                </c:pt>
                <c:pt idx="4">
                  <c:v>13536</c:v>
                </c:pt>
                <c:pt idx="5">
                  <c:v>14558</c:v>
                </c:pt>
                <c:pt idx="6">
                  <c:v>14880</c:v>
                </c:pt>
                <c:pt idx="7">
                  <c:v>14336</c:v>
                </c:pt>
                <c:pt idx="8">
                  <c:v>14072</c:v>
                </c:pt>
                <c:pt idx="9">
                  <c:v>13833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138-0148-9686-38E66A2B9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0</xdr:rowOff>
    </xdr:from>
    <xdr:ext cx="55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10</xdr:row>
      <xdr:rowOff>0</xdr:rowOff>
    </xdr:from>
    <xdr:ext cx="558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28</xdr:row>
      <xdr:rowOff>0</xdr:rowOff>
    </xdr:from>
    <xdr:ext cx="558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28</xdr:row>
      <xdr:rowOff>0</xdr:rowOff>
    </xdr:from>
    <xdr:ext cx="558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0</xdr:colOff>
      <xdr:row>46</xdr:row>
      <xdr:rowOff>0</xdr:rowOff>
    </xdr:from>
    <xdr:ext cx="6380480" cy="342392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7</xdr:col>
      <xdr:colOff>0</xdr:colOff>
      <xdr:row>46</xdr:row>
      <xdr:rowOff>0</xdr:rowOff>
    </xdr:from>
    <xdr:ext cx="5580000" cy="324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AgeLong" displayName="tblAgeLong" ref="A4:E136">
  <autoFilter ref="A4:E136" xr:uid="{00000000-0009-0000-0100-000001000000}"/>
  <tableColumns count="5">
    <tableColumn id="1" xr3:uid="{00000000-0010-0000-0000-000001000000}" name="Year"/>
    <tableColumn id="2" xr3:uid="{00000000-0010-0000-0000-000002000000}" name="Age band"/>
    <tableColumn id="3" xr3:uid="{00000000-0010-0000-0000-000003000000}" name="Age rank"/>
    <tableColumn id="4" xr3:uid="{00000000-0010-0000-0000-000004000000}" name="Gender"/>
    <tableColumn id="5" xr3:uid="{00000000-0010-0000-0000-000005000000}" name="Player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tatesLong" displayName="tblStatesLong" ref="A4:E290">
  <autoFilter ref="A4:E290" xr:uid="{00000000-0009-0000-0100-000002000000}"/>
  <tableColumns count="5">
    <tableColumn id="1" xr3:uid="{00000000-0010-0000-0100-000001000000}" name="Year"/>
    <tableColumn id="2" xr3:uid="{00000000-0010-0000-0100-000002000000}" name="State golf association"/>
    <tableColumn id="3" xr3:uid="{00000000-0010-0000-0100-000003000000}" name="Age band"/>
    <tableColumn id="4" xr3:uid="{00000000-0010-0000-0100-000004000000}" name="Age rank"/>
    <tableColumn id="5" xr3:uid="{00000000-0010-0000-0100-000005000000}" name="Player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History" displayName="tblHistory" ref="A4:D79">
  <autoFilter ref="A4:D79" xr:uid="{00000000-0009-0000-0100-000003000000}"/>
  <tableColumns count="4">
    <tableColumn id="1" xr3:uid="{00000000-0010-0000-0200-000001000000}" name="Year"/>
    <tableColumn id="2" xr3:uid="{00000000-0010-0000-0200-000002000000}" name="Clubs"/>
    <tableColumn id="3" xr3:uid="{00000000-0010-0000-0200-000003000000}" name="Players"/>
    <tableColumn id="4" xr3:uid="{00000000-0010-0000-0200-000004000000}" name="Players per club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opLeftCell="A16" workbookViewId="0">
      <selection activeCell="B26" sqref="B26"/>
    </sheetView>
  </sheetViews>
  <sheetFormatPr baseColWidth="10" defaultColWidth="8.83203125" defaultRowHeight="15" x14ac:dyDescent="0.2"/>
  <cols>
    <col min="1" max="1" width="26" customWidth="1"/>
    <col min="2" max="2" width="92" customWidth="1"/>
    <col min="3" max="3" width="30" customWidth="1"/>
  </cols>
  <sheetData>
    <row r="1" spans="1:2" ht="19" x14ac:dyDescent="0.25">
      <c r="A1" s="1" t="s">
        <v>15</v>
      </c>
    </row>
    <row r="2" spans="1:2" x14ac:dyDescent="0.2">
      <c r="A2" s="2" t="s">
        <v>16</v>
      </c>
    </row>
    <row r="4" spans="1:2" x14ac:dyDescent="0.2">
      <c r="A4" s="3"/>
      <c r="B4" s="4"/>
    </row>
    <row r="5" spans="1:2" ht="30" customHeight="1" x14ac:dyDescent="0.2">
      <c r="A5" s="3" t="s">
        <v>17</v>
      </c>
      <c r="B5" s="4" t="s">
        <v>18</v>
      </c>
    </row>
    <row r="6" spans="1:2" ht="16" x14ac:dyDescent="0.2">
      <c r="A6" s="3" t="s">
        <v>19</v>
      </c>
      <c r="B6" s="4" t="s">
        <v>20</v>
      </c>
    </row>
    <row r="7" spans="1:2" ht="16" x14ac:dyDescent="0.2">
      <c r="A7" s="3" t="s">
        <v>21</v>
      </c>
      <c r="B7" s="4" t="s">
        <v>22</v>
      </c>
    </row>
    <row r="8" spans="1:2" ht="16" x14ac:dyDescent="0.2">
      <c r="A8" s="3" t="s">
        <v>23</v>
      </c>
      <c r="B8" s="4" t="s">
        <v>24</v>
      </c>
    </row>
    <row r="9" spans="1:2" x14ac:dyDescent="0.2">
      <c r="A9" s="3"/>
      <c r="B9" s="4"/>
    </row>
    <row r="10" spans="1:2" x14ac:dyDescent="0.2">
      <c r="A10" s="3" t="s">
        <v>25</v>
      </c>
      <c r="B10" s="4"/>
    </row>
    <row r="11" spans="1:2" ht="30" customHeight="1" x14ac:dyDescent="0.2">
      <c r="A11" s="3" t="s">
        <v>26</v>
      </c>
      <c r="B11" s="4" t="s">
        <v>27</v>
      </c>
    </row>
    <row r="12" spans="1:2" ht="30" customHeight="1" x14ac:dyDescent="0.2">
      <c r="A12" s="3" t="s">
        <v>28</v>
      </c>
      <c r="B12" s="4" t="s">
        <v>29</v>
      </c>
    </row>
    <row r="13" spans="1:2" ht="30" customHeight="1" x14ac:dyDescent="0.2">
      <c r="A13" s="3" t="s">
        <v>30</v>
      </c>
      <c r="B13" s="4" t="s">
        <v>31</v>
      </c>
    </row>
    <row r="14" spans="1:2" ht="30" customHeight="1" x14ac:dyDescent="0.2">
      <c r="A14" s="3" t="s">
        <v>32</v>
      </c>
      <c r="B14" s="4" t="s">
        <v>33</v>
      </c>
    </row>
    <row r="15" spans="1:2" ht="30" customHeight="1" x14ac:dyDescent="0.2">
      <c r="A15" s="3" t="s">
        <v>34</v>
      </c>
      <c r="B15" s="4" t="s">
        <v>35</v>
      </c>
    </row>
    <row r="16" spans="1:2" ht="30" customHeight="1" x14ac:dyDescent="0.2">
      <c r="A16" s="3" t="s">
        <v>36</v>
      </c>
      <c r="B16" s="4" t="s">
        <v>37</v>
      </c>
    </row>
    <row r="17" spans="1:2" ht="30" customHeight="1" x14ac:dyDescent="0.2">
      <c r="A17" s="3" t="s">
        <v>38</v>
      </c>
      <c r="B17" s="4" t="s">
        <v>39</v>
      </c>
    </row>
    <row r="18" spans="1:2" x14ac:dyDescent="0.2">
      <c r="A18" s="3"/>
      <c r="B18" s="4"/>
    </row>
    <row r="19" spans="1:2" ht="30" customHeight="1" x14ac:dyDescent="0.2">
      <c r="A19" s="3" t="s">
        <v>40</v>
      </c>
      <c r="B19" s="4" t="s">
        <v>41</v>
      </c>
    </row>
    <row r="20" spans="1:2" x14ac:dyDescent="0.2">
      <c r="A20" s="3"/>
      <c r="B20" s="4"/>
    </row>
    <row r="21" spans="1:2" x14ac:dyDescent="0.2">
      <c r="A21" s="3" t="s">
        <v>42</v>
      </c>
      <c r="B21" s="4"/>
    </row>
    <row r="22" spans="1:2" ht="16" x14ac:dyDescent="0.2">
      <c r="A22" s="3" t="s">
        <v>43</v>
      </c>
      <c r="B22" s="4" t="s">
        <v>44</v>
      </c>
    </row>
    <row r="23" spans="1:2" ht="16" x14ac:dyDescent="0.2">
      <c r="A23" s="3" t="s">
        <v>45</v>
      </c>
      <c r="B23" s="4" t="s">
        <v>46</v>
      </c>
    </row>
    <row r="24" spans="1:2" ht="16" x14ac:dyDescent="0.2">
      <c r="A24" s="3" t="s">
        <v>47</v>
      </c>
      <c r="B24" s="4" t="s">
        <v>48</v>
      </c>
    </row>
    <row r="25" spans="1:2" ht="16" x14ac:dyDescent="0.2">
      <c r="A25" s="3" t="s">
        <v>49</v>
      </c>
      <c r="B25" s="4" t="s">
        <v>50</v>
      </c>
    </row>
    <row r="26" spans="1:2" ht="16" x14ac:dyDescent="0.2">
      <c r="A26" s="3" t="s">
        <v>51</v>
      </c>
      <c r="B26" s="4" t="s">
        <v>52</v>
      </c>
    </row>
    <row r="27" spans="1:2" ht="16" x14ac:dyDescent="0.2">
      <c r="A27" s="3" t="s">
        <v>53</v>
      </c>
      <c r="B27" s="4" t="s">
        <v>54</v>
      </c>
    </row>
    <row r="28" spans="1:2" ht="16" x14ac:dyDescent="0.2">
      <c r="A28" s="3" t="s">
        <v>55</v>
      </c>
      <c r="B28" s="4" t="s">
        <v>56</v>
      </c>
    </row>
    <row r="29" spans="1:2" ht="16" x14ac:dyDescent="0.2">
      <c r="A29" s="3" t="s">
        <v>57</v>
      </c>
      <c r="B29" s="4" t="s">
        <v>58</v>
      </c>
    </row>
    <row r="30" spans="1:2" ht="16" x14ac:dyDescent="0.2">
      <c r="A30" s="3" t="s">
        <v>59</v>
      </c>
      <c r="B30" s="4" t="s">
        <v>60</v>
      </c>
    </row>
    <row r="31" spans="1:2" ht="16" x14ac:dyDescent="0.2">
      <c r="A31" s="3" t="s">
        <v>61</v>
      </c>
      <c r="B31" s="4" t="s">
        <v>62</v>
      </c>
    </row>
    <row r="32" spans="1:2" ht="16" x14ac:dyDescent="0.2">
      <c r="A32" s="3" t="s">
        <v>63</v>
      </c>
      <c r="B32" s="4" t="s">
        <v>64</v>
      </c>
    </row>
    <row r="33" spans="1:2" x14ac:dyDescent="0.2">
      <c r="A33" s="3"/>
      <c r="B33" s="4"/>
    </row>
    <row r="34" spans="1:2" ht="30" customHeight="1" x14ac:dyDescent="0.2">
      <c r="A34" s="3" t="s">
        <v>65</v>
      </c>
      <c r="B34" s="4" t="s">
        <v>66</v>
      </c>
    </row>
    <row r="35" spans="1:2" ht="30" customHeight="1" x14ac:dyDescent="0.2">
      <c r="A35" s="3" t="s">
        <v>67</v>
      </c>
      <c r="B35" s="4" t="s">
        <v>68</v>
      </c>
    </row>
    <row r="36" spans="1:2" ht="30" customHeight="1" x14ac:dyDescent="0.2">
      <c r="A36" s="3" t="s">
        <v>69</v>
      </c>
      <c r="B36" s="4" t="s">
        <v>70</v>
      </c>
    </row>
    <row r="37" spans="1:2" ht="30" customHeight="1" x14ac:dyDescent="0.2">
      <c r="A37" s="3" t="s">
        <v>71</v>
      </c>
      <c r="B37" s="4" t="s">
        <v>72</v>
      </c>
    </row>
    <row r="38" spans="1:2" x14ac:dyDescent="0.2">
      <c r="A38" s="3"/>
      <c r="B38" s="4"/>
    </row>
    <row r="39" spans="1:2" ht="30" customHeight="1" x14ac:dyDescent="0.2">
      <c r="A39" s="3" t="s">
        <v>73</v>
      </c>
      <c r="B39" s="4" t="s">
        <v>74</v>
      </c>
    </row>
    <row r="40" spans="1:2" ht="16" x14ac:dyDescent="0.2">
      <c r="A40" s="3" t="s">
        <v>75</v>
      </c>
      <c r="B40" s="4" t="s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tabSelected="1" workbookViewId="0"/>
  </sheetViews>
  <sheetFormatPr baseColWidth="10" defaultColWidth="8.83203125" defaultRowHeight="15" x14ac:dyDescent="0.2"/>
  <cols>
    <col min="1" max="1" width="10" customWidth="1"/>
    <col min="2" max="3" width="16" customWidth="1"/>
    <col min="4" max="4" width="12" customWidth="1"/>
    <col min="5" max="5" width="16" customWidth="1"/>
    <col min="6" max="6" width="14" customWidth="1"/>
    <col min="7" max="8" width="16" customWidth="1"/>
  </cols>
  <sheetData>
    <row r="1" spans="1:8" ht="19" x14ac:dyDescent="0.25">
      <c r="A1" s="1" t="s">
        <v>77</v>
      </c>
    </row>
    <row r="2" spans="1:8" x14ac:dyDescent="0.2">
      <c r="A2" s="2" t="s">
        <v>78</v>
      </c>
    </row>
    <row r="4" spans="1:8" ht="30" customHeight="1" x14ac:dyDescent="0.2">
      <c r="A4" s="5" t="s">
        <v>79</v>
      </c>
      <c r="B4" s="5" t="s">
        <v>80</v>
      </c>
      <c r="C4" s="5" t="s">
        <v>81</v>
      </c>
      <c r="D4" s="5" t="s">
        <v>82</v>
      </c>
      <c r="E4" s="5" t="s">
        <v>83</v>
      </c>
      <c r="F4" s="5" t="s">
        <v>84</v>
      </c>
      <c r="G4" s="5" t="s">
        <v>85</v>
      </c>
      <c r="H4" s="5" t="s">
        <v>86</v>
      </c>
    </row>
    <row r="5" spans="1:8" x14ac:dyDescent="0.2">
      <c r="A5" s="6">
        <v>2016</v>
      </c>
      <c r="B5" s="7">
        <v>643158</v>
      </c>
      <c r="C5" s="7"/>
      <c r="D5" s="8"/>
      <c r="E5" s="7">
        <v>859</v>
      </c>
      <c r="F5" s="7">
        <v>732</v>
      </c>
      <c r="G5" s="9">
        <f t="shared" ref="G5:G14" si="0">B5/F5</f>
        <v>878.63114754098365</v>
      </c>
      <c r="H5" s="9">
        <f t="shared" ref="H5:H14" si="1">B5/$B$5*100</f>
        <v>100</v>
      </c>
    </row>
    <row r="6" spans="1:8" x14ac:dyDescent="0.2">
      <c r="A6" s="6">
        <v>2017</v>
      </c>
      <c r="B6" s="7">
        <v>644943</v>
      </c>
      <c r="C6" s="7">
        <f t="shared" ref="C6:C14" si="2">B6-B5</f>
        <v>1785</v>
      </c>
      <c r="D6" s="8">
        <f t="shared" ref="D6:D14" si="3">IFERROR(C6/B5,"")</f>
        <v>2.7753677945388227E-3</v>
      </c>
      <c r="E6" s="7">
        <v>855</v>
      </c>
      <c r="F6" s="7">
        <v>731</v>
      </c>
      <c r="G6" s="9">
        <f t="shared" si="0"/>
        <v>882.27496580027355</v>
      </c>
      <c r="H6" s="9">
        <f t="shared" si="1"/>
        <v>100.27753677945388</v>
      </c>
    </row>
    <row r="7" spans="1:8" x14ac:dyDescent="0.2">
      <c r="A7" s="6">
        <v>2018</v>
      </c>
      <c r="B7" s="7">
        <v>642240</v>
      </c>
      <c r="C7" s="7">
        <f t="shared" si="2"/>
        <v>-2703</v>
      </c>
      <c r="D7" s="8">
        <f t="shared" si="3"/>
        <v>-4.1910680478739982E-3</v>
      </c>
      <c r="E7" s="7">
        <v>852</v>
      </c>
      <c r="F7" s="7">
        <v>730</v>
      </c>
      <c r="G7" s="9">
        <f t="shared" si="0"/>
        <v>879.78082191780823</v>
      </c>
      <c r="H7" s="9">
        <f t="shared" si="1"/>
        <v>99.857266799138003</v>
      </c>
    </row>
    <row r="8" spans="1:8" x14ac:dyDescent="0.2">
      <c r="A8" s="6">
        <v>2019</v>
      </c>
      <c r="B8" s="7">
        <v>642677</v>
      </c>
      <c r="C8" s="7">
        <f t="shared" si="2"/>
        <v>437</v>
      </c>
      <c r="D8" s="8">
        <f t="shared" si="3"/>
        <v>6.8043099152964625E-4</v>
      </c>
      <c r="E8" s="7">
        <v>845</v>
      </c>
      <c r="F8" s="7">
        <v>722</v>
      </c>
      <c r="G8" s="9">
        <f t="shared" si="0"/>
        <v>890.13434903047096</v>
      </c>
      <c r="H8" s="9">
        <f t="shared" si="1"/>
        <v>99.925212778197576</v>
      </c>
    </row>
    <row r="9" spans="1:8" x14ac:dyDescent="0.2">
      <c r="A9" s="6">
        <v>2020</v>
      </c>
      <c r="B9" s="7">
        <v>651417</v>
      </c>
      <c r="C9" s="7">
        <f t="shared" si="2"/>
        <v>8740</v>
      </c>
      <c r="D9" s="8">
        <f t="shared" si="3"/>
        <v>1.3599366400229043E-2</v>
      </c>
      <c r="E9" s="7">
        <v>837</v>
      </c>
      <c r="F9" s="7">
        <v>720</v>
      </c>
      <c r="G9" s="9">
        <f t="shared" si="0"/>
        <v>904.74583333333328</v>
      </c>
      <c r="H9" s="9">
        <f t="shared" si="1"/>
        <v>101.28413235938913</v>
      </c>
    </row>
    <row r="10" spans="1:8" x14ac:dyDescent="0.2">
      <c r="A10" s="6">
        <v>2021</v>
      </c>
      <c r="B10" s="7">
        <v>673983</v>
      </c>
      <c r="C10" s="7">
        <f t="shared" si="2"/>
        <v>22566</v>
      </c>
      <c r="D10" s="8">
        <f t="shared" si="3"/>
        <v>3.4641404814427623E-2</v>
      </c>
      <c r="E10" s="7">
        <v>837</v>
      </c>
      <c r="F10" s="7">
        <v>720</v>
      </c>
      <c r="G10" s="9">
        <f t="shared" si="0"/>
        <v>936.08749999999998</v>
      </c>
      <c r="H10" s="9">
        <f t="shared" si="1"/>
        <v>104.79275698972882</v>
      </c>
    </row>
    <row r="11" spans="1:8" x14ac:dyDescent="0.2">
      <c r="A11" s="6">
        <v>2022</v>
      </c>
      <c r="B11" s="7">
        <v>682942</v>
      </c>
      <c r="C11" s="7">
        <f t="shared" si="2"/>
        <v>8959</v>
      </c>
      <c r="D11" s="8">
        <f t="shared" si="3"/>
        <v>1.32926201402706E-2</v>
      </c>
      <c r="E11" s="7">
        <v>838</v>
      </c>
      <c r="F11" s="7">
        <v>729</v>
      </c>
      <c r="G11" s="9">
        <f t="shared" si="0"/>
        <v>936.82030178326477</v>
      </c>
      <c r="H11" s="9">
        <f t="shared" si="1"/>
        <v>106.18572730184496</v>
      </c>
    </row>
    <row r="12" spans="1:8" x14ac:dyDescent="0.2">
      <c r="A12" s="6">
        <v>2023</v>
      </c>
      <c r="B12" s="7">
        <v>682126</v>
      </c>
      <c r="C12" s="7">
        <f t="shared" si="2"/>
        <v>-816</v>
      </c>
      <c r="D12" s="8">
        <f t="shared" si="3"/>
        <v>-1.1948306005488021E-3</v>
      </c>
      <c r="E12" s="7">
        <v>832</v>
      </c>
      <c r="F12" s="7">
        <v>725</v>
      </c>
      <c r="G12" s="9">
        <f t="shared" si="0"/>
        <v>940.86344827586208</v>
      </c>
      <c r="H12" s="9">
        <f t="shared" si="1"/>
        <v>106.05885334552319</v>
      </c>
    </row>
    <row r="13" spans="1:8" x14ac:dyDescent="0.2">
      <c r="A13" s="6">
        <v>2024</v>
      </c>
      <c r="B13" s="7">
        <v>686708</v>
      </c>
      <c r="C13" s="7">
        <f t="shared" si="2"/>
        <v>4582</v>
      </c>
      <c r="D13" s="8">
        <f t="shared" si="3"/>
        <v>6.7172340593966507E-3</v>
      </c>
      <c r="E13" s="7">
        <v>832</v>
      </c>
      <c r="F13" s="7">
        <v>726</v>
      </c>
      <c r="G13" s="9">
        <f t="shared" si="0"/>
        <v>945.87878787878788</v>
      </c>
      <c r="H13" s="9">
        <f t="shared" si="1"/>
        <v>106.77127548751628</v>
      </c>
    </row>
    <row r="14" spans="1:8" x14ac:dyDescent="0.2">
      <c r="A14" s="6">
        <v>2025</v>
      </c>
      <c r="B14" s="7">
        <v>695617</v>
      </c>
      <c r="C14" s="7">
        <f t="shared" si="2"/>
        <v>8909</v>
      </c>
      <c r="D14" s="8">
        <f t="shared" si="3"/>
        <v>1.297349091608078E-2</v>
      </c>
      <c r="E14" s="7">
        <v>823</v>
      </c>
      <c r="F14" s="7">
        <v>721</v>
      </c>
      <c r="G14" s="9">
        <f t="shared" si="0"/>
        <v>964.79472954230232</v>
      </c>
      <c r="H14" s="9">
        <f t="shared" si="1"/>
        <v>108.15647166015194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7"/>
  <sheetViews>
    <sheetView workbookViewId="0">
      <selection activeCell="F31" sqref="F31"/>
    </sheetView>
  </sheetViews>
  <sheetFormatPr baseColWidth="10" defaultColWidth="8.83203125" defaultRowHeight="15" x14ac:dyDescent="0.2"/>
  <cols>
    <col min="1" max="1" width="18" customWidth="1"/>
    <col min="2" max="19" width="11" customWidth="1"/>
  </cols>
  <sheetData>
    <row r="1" spans="1:19" ht="19" x14ac:dyDescent="0.25">
      <c r="A1" s="1" t="s">
        <v>87</v>
      </c>
    </row>
    <row r="2" spans="1:19" x14ac:dyDescent="0.2">
      <c r="A2" s="2" t="s">
        <v>88</v>
      </c>
    </row>
    <row r="4" spans="1:19" x14ac:dyDescent="0.2">
      <c r="A4" s="10" t="s">
        <v>89</v>
      </c>
      <c r="B4" s="27">
        <v>2020</v>
      </c>
      <c r="C4" s="27"/>
      <c r="D4" s="27"/>
      <c r="E4" s="27">
        <v>2021</v>
      </c>
      <c r="F4" s="27"/>
      <c r="G4" s="27"/>
      <c r="H4" s="27">
        <v>2022</v>
      </c>
      <c r="I4" s="27"/>
      <c r="J4" s="27"/>
      <c r="K4" s="27">
        <v>2023</v>
      </c>
      <c r="L4" s="27"/>
      <c r="M4" s="27"/>
      <c r="N4" s="27">
        <v>2024</v>
      </c>
      <c r="O4" s="27"/>
      <c r="P4" s="27"/>
      <c r="Q4" s="27">
        <v>2025</v>
      </c>
      <c r="R4" s="27"/>
      <c r="S4" s="27"/>
    </row>
    <row r="5" spans="1:19" ht="30" customHeight="1" x14ac:dyDescent="0.2">
      <c r="A5" s="5" t="s">
        <v>89</v>
      </c>
      <c r="B5" s="5" t="s">
        <v>90</v>
      </c>
      <c r="C5" s="5" t="s">
        <v>91</v>
      </c>
      <c r="D5" s="5" t="s">
        <v>92</v>
      </c>
      <c r="E5" s="5" t="s">
        <v>90</v>
      </c>
      <c r="F5" s="5" t="s">
        <v>91</v>
      </c>
      <c r="G5" s="5" t="s">
        <v>92</v>
      </c>
      <c r="H5" s="5" t="s">
        <v>90</v>
      </c>
      <c r="I5" s="5" t="s">
        <v>91</v>
      </c>
      <c r="J5" s="5" t="s">
        <v>92</v>
      </c>
      <c r="K5" s="5" t="s">
        <v>90</v>
      </c>
      <c r="L5" s="5" t="s">
        <v>91</v>
      </c>
      <c r="M5" s="5" t="s">
        <v>92</v>
      </c>
      <c r="N5" s="5" t="s">
        <v>90</v>
      </c>
      <c r="O5" s="5" t="s">
        <v>91</v>
      </c>
      <c r="P5" s="5" t="s">
        <v>92</v>
      </c>
      <c r="Q5" s="5" t="s">
        <v>90</v>
      </c>
      <c r="R5" s="5" t="s">
        <v>91</v>
      </c>
      <c r="S5" s="5" t="s">
        <v>92</v>
      </c>
    </row>
    <row r="6" spans="1:19" x14ac:dyDescent="0.2">
      <c r="A6" s="11" t="s">
        <v>93</v>
      </c>
      <c r="B6" s="7">
        <v>1186</v>
      </c>
      <c r="C6" s="7">
        <v>754</v>
      </c>
      <c r="D6" s="7">
        <f t="shared" ref="D6:D16" si="0">B6+C6</f>
        <v>1940</v>
      </c>
      <c r="E6" s="7">
        <v>1310</v>
      </c>
      <c r="F6" s="7">
        <v>861</v>
      </c>
      <c r="G6" s="7">
        <f t="shared" ref="G6:G16" si="1">E6+F6</f>
        <v>2171</v>
      </c>
      <c r="H6" s="7">
        <v>1326</v>
      </c>
      <c r="I6" s="7">
        <v>886</v>
      </c>
      <c r="J6" s="7">
        <f t="shared" ref="J6:J16" si="2">H6+I6</f>
        <v>2212</v>
      </c>
      <c r="K6" s="7">
        <v>1265</v>
      </c>
      <c r="L6" s="7">
        <v>865</v>
      </c>
      <c r="M6" s="7">
        <f t="shared" ref="M6:M16" si="3">K6+L6</f>
        <v>2130</v>
      </c>
      <c r="N6" s="7">
        <v>1334</v>
      </c>
      <c r="O6" s="7">
        <v>855</v>
      </c>
      <c r="P6" s="7">
        <f t="shared" ref="P6:P16" si="4">N6+O6</f>
        <v>2189</v>
      </c>
      <c r="Q6" s="7">
        <v>1347</v>
      </c>
      <c r="R6" s="7">
        <v>824</v>
      </c>
      <c r="S6" s="7">
        <f t="shared" ref="S6:S16" si="5">Q6+R6</f>
        <v>2171</v>
      </c>
    </row>
    <row r="7" spans="1:19" x14ac:dyDescent="0.2">
      <c r="A7" s="11" t="s">
        <v>94</v>
      </c>
      <c r="B7" s="7">
        <v>14729</v>
      </c>
      <c r="C7" s="7">
        <v>7726</v>
      </c>
      <c r="D7" s="7">
        <f t="shared" si="0"/>
        <v>22455</v>
      </c>
      <c r="E7" s="7">
        <v>15438</v>
      </c>
      <c r="F7" s="7">
        <v>8137</v>
      </c>
      <c r="G7" s="7">
        <f t="shared" si="1"/>
        <v>23575</v>
      </c>
      <c r="H7" s="7">
        <v>15302</v>
      </c>
      <c r="I7" s="7">
        <v>8228</v>
      </c>
      <c r="J7" s="7">
        <f t="shared" si="2"/>
        <v>23530</v>
      </c>
      <c r="K7" s="7">
        <v>14582</v>
      </c>
      <c r="L7" s="7">
        <v>7791</v>
      </c>
      <c r="M7" s="7">
        <f t="shared" si="3"/>
        <v>22373</v>
      </c>
      <c r="N7" s="7">
        <v>14137</v>
      </c>
      <c r="O7" s="7">
        <v>7655</v>
      </c>
      <c r="P7" s="7">
        <f t="shared" si="4"/>
        <v>21792</v>
      </c>
      <c r="Q7" s="7">
        <v>14268</v>
      </c>
      <c r="R7" s="7">
        <v>7472</v>
      </c>
      <c r="S7" s="7">
        <f t="shared" si="5"/>
        <v>21740</v>
      </c>
    </row>
    <row r="8" spans="1:19" x14ac:dyDescent="0.2">
      <c r="A8" s="11" t="s">
        <v>95</v>
      </c>
      <c r="B8" s="7">
        <v>11761</v>
      </c>
      <c r="C8" s="7">
        <v>5056</v>
      </c>
      <c r="D8" s="7">
        <f t="shared" si="0"/>
        <v>16817</v>
      </c>
      <c r="E8" s="7">
        <v>12612</v>
      </c>
      <c r="F8" s="7">
        <v>5560</v>
      </c>
      <c r="G8" s="7">
        <f t="shared" si="1"/>
        <v>18172</v>
      </c>
      <c r="H8" s="7">
        <v>12769</v>
      </c>
      <c r="I8" s="7">
        <v>5766</v>
      </c>
      <c r="J8" s="7">
        <f t="shared" si="2"/>
        <v>18535</v>
      </c>
      <c r="K8" s="7">
        <v>12676</v>
      </c>
      <c r="L8" s="7">
        <v>5680</v>
      </c>
      <c r="M8" s="7">
        <f t="shared" si="3"/>
        <v>18356</v>
      </c>
      <c r="N8" s="7">
        <v>12704</v>
      </c>
      <c r="O8" s="7">
        <v>5562</v>
      </c>
      <c r="P8" s="7">
        <f t="shared" si="4"/>
        <v>18266</v>
      </c>
      <c r="Q8" s="7">
        <v>13350</v>
      </c>
      <c r="R8" s="7">
        <v>5537</v>
      </c>
      <c r="S8" s="7">
        <f t="shared" si="5"/>
        <v>18887</v>
      </c>
    </row>
    <row r="9" spans="1:19" x14ac:dyDescent="0.2">
      <c r="A9" s="11" t="s">
        <v>96</v>
      </c>
      <c r="B9" s="7">
        <v>5371</v>
      </c>
      <c r="C9" s="7">
        <v>2048</v>
      </c>
      <c r="D9" s="7">
        <f t="shared" si="0"/>
        <v>7419</v>
      </c>
      <c r="E9" s="7">
        <v>5744</v>
      </c>
      <c r="F9" s="7">
        <v>2171</v>
      </c>
      <c r="G9" s="7">
        <f t="shared" si="1"/>
        <v>7915</v>
      </c>
      <c r="H9" s="7">
        <v>6136</v>
      </c>
      <c r="I9" s="7">
        <v>2259</v>
      </c>
      <c r="J9" s="7">
        <f t="shared" si="2"/>
        <v>8395</v>
      </c>
      <c r="K9" s="7">
        <v>6372</v>
      </c>
      <c r="L9" s="7">
        <v>2338</v>
      </c>
      <c r="M9" s="7">
        <f t="shared" si="3"/>
        <v>8710</v>
      </c>
      <c r="N9" s="7">
        <v>6595</v>
      </c>
      <c r="O9" s="7">
        <v>2478</v>
      </c>
      <c r="P9" s="7">
        <f t="shared" si="4"/>
        <v>9073</v>
      </c>
      <c r="Q9" s="7">
        <v>7024</v>
      </c>
      <c r="R9" s="7">
        <v>2498</v>
      </c>
      <c r="S9" s="7">
        <f t="shared" si="5"/>
        <v>9522</v>
      </c>
    </row>
    <row r="10" spans="1:19" x14ac:dyDescent="0.2">
      <c r="A10" s="11" t="s">
        <v>97</v>
      </c>
      <c r="B10" s="7">
        <v>16396</v>
      </c>
      <c r="C10" s="7">
        <v>5888</v>
      </c>
      <c r="D10" s="7">
        <f t="shared" si="0"/>
        <v>22284</v>
      </c>
      <c r="E10" s="7">
        <v>18583</v>
      </c>
      <c r="F10" s="7">
        <v>6818</v>
      </c>
      <c r="G10" s="7">
        <f t="shared" si="1"/>
        <v>25401</v>
      </c>
      <c r="H10" s="7">
        <v>19744</v>
      </c>
      <c r="I10" s="7">
        <v>7169</v>
      </c>
      <c r="J10" s="7">
        <f t="shared" si="2"/>
        <v>26913</v>
      </c>
      <c r="K10" s="7">
        <v>21136</v>
      </c>
      <c r="L10" s="7">
        <v>7410</v>
      </c>
      <c r="M10" s="7">
        <f t="shared" si="3"/>
        <v>28546</v>
      </c>
      <c r="N10" s="7">
        <v>22933</v>
      </c>
      <c r="O10" s="7">
        <v>7498</v>
      </c>
      <c r="P10" s="7">
        <f t="shared" si="4"/>
        <v>30431</v>
      </c>
      <c r="Q10" s="7">
        <v>24839</v>
      </c>
      <c r="R10" s="7">
        <v>8060</v>
      </c>
      <c r="S10" s="7">
        <f t="shared" si="5"/>
        <v>32899</v>
      </c>
    </row>
    <row r="11" spans="1:19" x14ac:dyDescent="0.2">
      <c r="A11" s="11" t="s">
        <v>98</v>
      </c>
      <c r="B11" s="7">
        <v>27102</v>
      </c>
      <c r="C11" s="7">
        <v>8883</v>
      </c>
      <c r="D11" s="7">
        <f t="shared" si="0"/>
        <v>35985</v>
      </c>
      <c r="E11" s="7">
        <v>29800</v>
      </c>
      <c r="F11" s="7">
        <v>9674</v>
      </c>
      <c r="G11" s="7">
        <f t="shared" si="1"/>
        <v>39474</v>
      </c>
      <c r="H11" s="7">
        <v>32083</v>
      </c>
      <c r="I11" s="7">
        <v>10272</v>
      </c>
      <c r="J11" s="7">
        <f t="shared" si="2"/>
        <v>42355</v>
      </c>
      <c r="K11" s="7">
        <v>33711</v>
      </c>
      <c r="L11" s="7">
        <v>10598</v>
      </c>
      <c r="M11" s="7">
        <f t="shared" si="3"/>
        <v>44309</v>
      </c>
      <c r="N11" s="7">
        <v>36261</v>
      </c>
      <c r="O11" s="7">
        <v>11216</v>
      </c>
      <c r="P11" s="7">
        <f t="shared" si="4"/>
        <v>47477</v>
      </c>
      <c r="Q11" s="7">
        <v>39369</v>
      </c>
      <c r="R11" s="7">
        <v>12016</v>
      </c>
      <c r="S11" s="7">
        <f t="shared" si="5"/>
        <v>51385</v>
      </c>
    </row>
    <row r="12" spans="1:19" x14ac:dyDescent="0.2">
      <c r="A12" s="11" t="s">
        <v>99</v>
      </c>
      <c r="B12" s="7">
        <v>17853</v>
      </c>
      <c r="C12" s="7">
        <v>6690</v>
      </c>
      <c r="D12" s="7">
        <f t="shared" si="0"/>
        <v>24543</v>
      </c>
      <c r="E12" s="7">
        <v>18346</v>
      </c>
      <c r="F12" s="7">
        <v>6586</v>
      </c>
      <c r="G12" s="7">
        <f t="shared" si="1"/>
        <v>24932</v>
      </c>
      <c r="H12" s="7">
        <v>18886</v>
      </c>
      <c r="I12" s="7">
        <v>6522</v>
      </c>
      <c r="J12" s="7">
        <f t="shared" si="2"/>
        <v>25408</v>
      </c>
      <c r="K12" s="7">
        <v>19125</v>
      </c>
      <c r="L12" s="7">
        <v>6213</v>
      </c>
      <c r="M12" s="7">
        <f t="shared" si="3"/>
        <v>25338</v>
      </c>
      <c r="N12" s="7">
        <v>20100</v>
      </c>
      <c r="O12" s="7">
        <v>6285</v>
      </c>
      <c r="P12" s="7">
        <f t="shared" si="4"/>
        <v>26385</v>
      </c>
      <c r="Q12" s="7">
        <v>21606</v>
      </c>
      <c r="R12" s="7">
        <v>6399</v>
      </c>
      <c r="S12" s="7">
        <f t="shared" si="5"/>
        <v>28005</v>
      </c>
    </row>
    <row r="13" spans="1:19" x14ac:dyDescent="0.2">
      <c r="A13" s="11" t="s">
        <v>100</v>
      </c>
      <c r="B13" s="7">
        <v>52795</v>
      </c>
      <c r="C13" s="7">
        <v>28258</v>
      </c>
      <c r="D13" s="7">
        <f t="shared" si="0"/>
        <v>81053</v>
      </c>
      <c r="E13" s="7">
        <v>51990</v>
      </c>
      <c r="F13" s="7">
        <v>27498</v>
      </c>
      <c r="G13" s="7">
        <f t="shared" si="1"/>
        <v>79488</v>
      </c>
      <c r="H13" s="7">
        <v>50959</v>
      </c>
      <c r="I13" s="7">
        <v>26350</v>
      </c>
      <c r="J13" s="7">
        <f t="shared" si="2"/>
        <v>77309</v>
      </c>
      <c r="K13" s="7">
        <v>49188</v>
      </c>
      <c r="L13" s="7">
        <v>24641</v>
      </c>
      <c r="M13" s="7">
        <f t="shared" si="3"/>
        <v>73829</v>
      </c>
      <c r="N13" s="7">
        <v>48359</v>
      </c>
      <c r="O13" s="7">
        <v>23329</v>
      </c>
      <c r="P13" s="7">
        <f t="shared" si="4"/>
        <v>71688</v>
      </c>
      <c r="Q13" s="7">
        <v>48396</v>
      </c>
      <c r="R13" s="7">
        <v>22454</v>
      </c>
      <c r="S13" s="7">
        <f t="shared" si="5"/>
        <v>70850</v>
      </c>
    </row>
    <row r="14" spans="1:19" x14ac:dyDescent="0.2">
      <c r="A14" s="11" t="s">
        <v>101</v>
      </c>
      <c r="B14" s="7">
        <v>50885</v>
      </c>
      <c r="C14" s="7">
        <v>31288</v>
      </c>
      <c r="D14" s="7">
        <f t="shared" si="0"/>
        <v>82173</v>
      </c>
      <c r="E14" s="7">
        <v>49901</v>
      </c>
      <c r="F14" s="7">
        <v>30978</v>
      </c>
      <c r="G14" s="7">
        <f t="shared" si="1"/>
        <v>80879</v>
      </c>
      <c r="H14" s="7">
        <v>48560</v>
      </c>
      <c r="I14" s="7">
        <v>30061</v>
      </c>
      <c r="J14" s="7">
        <f t="shared" si="2"/>
        <v>78621</v>
      </c>
      <c r="K14" s="7">
        <v>44944</v>
      </c>
      <c r="L14" s="7">
        <v>27721</v>
      </c>
      <c r="M14" s="7">
        <f t="shared" si="3"/>
        <v>72665</v>
      </c>
      <c r="N14" s="7">
        <v>40824</v>
      </c>
      <c r="O14" s="7">
        <v>25139</v>
      </c>
      <c r="P14" s="7">
        <f t="shared" si="4"/>
        <v>65963</v>
      </c>
      <c r="Q14" s="7">
        <v>37439</v>
      </c>
      <c r="R14" s="7">
        <v>22880</v>
      </c>
      <c r="S14" s="7">
        <f t="shared" si="5"/>
        <v>60319</v>
      </c>
    </row>
    <row r="15" spans="1:19" x14ac:dyDescent="0.2">
      <c r="A15" s="11" t="s">
        <v>102</v>
      </c>
      <c r="B15" s="7">
        <v>49696</v>
      </c>
      <c r="C15" s="7">
        <v>31963</v>
      </c>
      <c r="D15" s="7">
        <f t="shared" si="0"/>
        <v>81659</v>
      </c>
      <c r="E15" s="7">
        <v>53246</v>
      </c>
      <c r="F15" s="7">
        <v>33615</v>
      </c>
      <c r="G15" s="7">
        <f t="shared" si="1"/>
        <v>86861</v>
      </c>
      <c r="H15" s="7">
        <v>55916</v>
      </c>
      <c r="I15" s="7">
        <v>35419</v>
      </c>
      <c r="J15" s="7">
        <f t="shared" si="2"/>
        <v>91335</v>
      </c>
      <c r="K15" s="7">
        <v>57646</v>
      </c>
      <c r="L15" s="7">
        <v>36313</v>
      </c>
      <c r="M15" s="7">
        <f t="shared" si="3"/>
        <v>93959</v>
      </c>
      <c r="N15" s="7">
        <v>58289</v>
      </c>
      <c r="O15" s="7">
        <v>36450</v>
      </c>
      <c r="P15" s="7">
        <f t="shared" si="4"/>
        <v>94739</v>
      </c>
      <c r="Q15" s="7">
        <v>57318</v>
      </c>
      <c r="R15" s="7">
        <v>36368</v>
      </c>
      <c r="S15" s="7">
        <f t="shared" si="5"/>
        <v>93686</v>
      </c>
    </row>
    <row r="16" spans="1:19" x14ac:dyDescent="0.2">
      <c r="A16" s="11" t="s">
        <v>103</v>
      </c>
      <c r="B16" s="7">
        <v>168242</v>
      </c>
      <c r="C16" s="7">
        <v>106847</v>
      </c>
      <c r="D16" s="7">
        <f t="shared" si="0"/>
        <v>275089</v>
      </c>
      <c r="E16" s="7">
        <v>174848</v>
      </c>
      <c r="F16" s="7">
        <v>110267</v>
      </c>
      <c r="G16" s="7">
        <f t="shared" si="1"/>
        <v>285115</v>
      </c>
      <c r="H16" s="7">
        <v>176788</v>
      </c>
      <c r="I16" s="7">
        <v>111541</v>
      </c>
      <c r="J16" s="7">
        <f t="shared" si="2"/>
        <v>288329</v>
      </c>
      <c r="K16" s="7">
        <v>179148</v>
      </c>
      <c r="L16" s="7">
        <v>112763</v>
      </c>
      <c r="M16" s="7">
        <f t="shared" si="3"/>
        <v>291911</v>
      </c>
      <c r="N16" s="7">
        <v>183833</v>
      </c>
      <c r="O16" s="7">
        <v>114872</v>
      </c>
      <c r="P16" s="7">
        <f t="shared" si="4"/>
        <v>298705</v>
      </c>
      <c r="Q16" s="7">
        <v>189106</v>
      </c>
      <c r="R16" s="7">
        <v>117047</v>
      </c>
      <c r="S16" s="7">
        <f t="shared" si="5"/>
        <v>306153</v>
      </c>
    </row>
    <row r="17" spans="1:19" x14ac:dyDescent="0.2">
      <c r="A17" s="12" t="s">
        <v>92</v>
      </c>
      <c r="B17" s="13">
        <f t="shared" ref="B17:S17" si="6">SUM(B6:B16)</f>
        <v>416016</v>
      </c>
      <c r="C17" s="13">
        <f t="shared" si="6"/>
        <v>235401</v>
      </c>
      <c r="D17" s="13">
        <f t="shared" si="6"/>
        <v>651417</v>
      </c>
      <c r="E17" s="13">
        <f t="shared" si="6"/>
        <v>431818</v>
      </c>
      <c r="F17" s="13">
        <f t="shared" si="6"/>
        <v>242165</v>
      </c>
      <c r="G17" s="13">
        <f t="shared" si="6"/>
        <v>673983</v>
      </c>
      <c r="H17" s="13">
        <f t="shared" si="6"/>
        <v>438469</v>
      </c>
      <c r="I17" s="13">
        <f t="shared" si="6"/>
        <v>244473</v>
      </c>
      <c r="J17" s="13">
        <f t="shared" si="6"/>
        <v>682942</v>
      </c>
      <c r="K17" s="13">
        <f t="shared" si="6"/>
        <v>439793</v>
      </c>
      <c r="L17" s="13">
        <f t="shared" si="6"/>
        <v>242333</v>
      </c>
      <c r="M17" s="13">
        <f t="shared" si="6"/>
        <v>682126</v>
      </c>
      <c r="N17" s="13">
        <f t="shared" si="6"/>
        <v>445369</v>
      </c>
      <c r="O17" s="13">
        <f t="shared" si="6"/>
        <v>241339</v>
      </c>
      <c r="P17" s="13">
        <f t="shared" si="6"/>
        <v>686708</v>
      </c>
      <c r="Q17" s="13">
        <f t="shared" si="6"/>
        <v>454062</v>
      </c>
      <c r="R17" s="13">
        <f t="shared" si="6"/>
        <v>241555</v>
      </c>
      <c r="S17" s="13">
        <f t="shared" si="6"/>
        <v>695617</v>
      </c>
    </row>
  </sheetData>
  <mergeCells count="6">
    <mergeCell ref="K4:M4"/>
    <mergeCell ref="B4:D4"/>
    <mergeCell ref="H4:J4"/>
    <mergeCell ref="Q4:S4"/>
    <mergeCell ref="E4:G4"/>
    <mergeCell ref="N4:P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6"/>
  <sheetViews>
    <sheetView workbookViewId="0">
      <selection activeCell="I11" sqref="I11"/>
    </sheetView>
  </sheetViews>
  <sheetFormatPr baseColWidth="10" defaultColWidth="8.83203125" defaultRowHeight="15" x14ac:dyDescent="0.2"/>
  <cols>
    <col min="1" max="1" width="8" customWidth="1"/>
    <col min="2" max="2" width="16" customWidth="1"/>
    <col min="3" max="4" width="12" customWidth="1"/>
    <col min="5" max="5" width="14" customWidth="1"/>
  </cols>
  <sheetData>
    <row r="1" spans="1:5" ht="19" x14ac:dyDescent="0.25">
      <c r="A1" s="1" t="s">
        <v>104</v>
      </c>
    </row>
    <row r="2" spans="1:5" x14ac:dyDescent="0.2">
      <c r="A2" s="2" t="s">
        <v>105</v>
      </c>
    </row>
    <row r="4" spans="1:5" ht="30" customHeight="1" x14ac:dyDescent="0.2">
      <c r="A4" s="5" t="s">
        <v>79</v>
      </c>
      <c r="B4" s="5" t="s">
        <v>89</v>
      </c>
      <c r="C4" s="5" t="s">
        <v>106</v>
      </c>
      <c r="D4" s="5" t="s">
        <v>107</v>
      </c>
      <c r="E4" s="5" t="s">
        <v>80</v>
      </c>
    </row>
    <row r="5" spans="1:5" x14ac:dyDescent="0.2">
      <c r="A5">
        <v>2020</v>
      </c>
      <c r="B5" t="s">
        <v>93</v>
      </c>
      <c r="C5">
        <v>1</v>
      </c>
      <c r="D5" t="s">
        <v>90</v>
      </c>
      <c r="E5" s="14">
        <v>1186</v>
      </c>
    </row>
    <row r="6" spans="1:5" x14ac:dyDescent="0.2">
      <c r="A6">
        <v>2020</v>
      </c>
      <c r="B6" t="s">
        <v>93</v>
      </c>
      <c r="C6">
        <v>1</v>
      </c>
      <c r="D6" t="s">
        <v>91</v>
      </c>
      <c r="E6" s="14">
        <v>754</v>
      </c>
    </row>
    <row r="7" spans="1:5" x14ac:dyDescent="0.2">
      <c r="A7">
        <v>2020</v>
      </c>
      <c r="B7" t="s">
        <v>94</v>
      </c>
      <c r="C7">
        <v>2</v>
      </c>
      <c r="D7" t="s">
        <v>90</v>
      </c>
      <c r="E7" s="14">
        <v>14729</v>
      </c>
    </row>
    <row r="8" spans="1:5" x14ac:dyDescent="0.2">
      <c r="A8">
        <v>2020</v>
      </c>
      <c r="B8" t="s">
        <v>94</v>
      </c>
      <c r="C8">
        <v>2</v>
      </c>
      <c r="D8" t="s">
        <v>91</v>
      </c>
      <c r="E8" s="14">
        <v>7726</v>
      </c>
    </row>
    <row r="9" spans="1:5" x14ac:dyDescent="0.2">
      <c r="A9">
        <v>2020</v>
      </c>
      <c r="B9" t="s">
        <v>95</v>
      </c>
      <c r="C9">
        <v>3</v>
      </c>
      <c r="D9" t="s">
        <v>90</v>
      </c>
      <c r="E9" s="14">
        <v>11761</v>
      </c>
    </row>
    <row r="10" spans="1:5" x14ac:dyDescent="0.2">
      <c r="A10">
        <v>2020</v>
      </c>
      <c r="B10" t="s">
        <v>95</v>
      </c>
      <c r="C10">
        <v>3</v>
      </c>
      <c r="D10" t="s">
        <v>91</v>
      </c>
      <c r="E10" s="14">
        <v>5056</v>
      </c>
    </row>
    <row r="11" spans="1:5" x14ac:dyDescent="0.2">
      <c r="A11">
        <v>2020</v>
      </c>
      <c r="B11" t="s">
        <v>96</v>
      </c>
      <c r="C11">
        <v>4</v>
      </c>
      <c r="D11" t="s">
        <v>90</v>
      </c>
      <c r="E11" s="14">
        <v>5371</v>
      </c>
    </row>
    <row r="12" spans="1:5" x14ac:dyDescent="0.2">
      <c r="A12">
        <v>2020</v>
      </c>
      <c r="B12" t="s">
        <v>96</v>
      </c>
      <c r="C12">
        <v>4</v>
      </c>
      <c r="D12" t="s">
        <v>91</v>
      </c>
      <c r="E12" s="14">
        <v>2048</v>
      </c>
    </row>
    <row r="13" spans="1:5" x14ac:dyDescent="0.2">
      <c r="A13">
        <v>2020</v>
      </c>
      <c r="B13" t="s">
        <v>97</v>
      </c>
      <c r="C13">
        <v>5</v>
      </c>
      <c r="D13" t="s">
        <v>90</v>
      </c>
      <c r="E13" s="14">
        <v>16396</v>
      </c>
    </row>
    <row r="14" spans="1:5" x14ac:dyDescent="0.2">
      <c r="A14">
        <v>2020</v>
      </c>
      <c r="B14" t="s">
        <v>97</v>
      </c>
      <c r="C14">
        <v>5</v>
      </c>
      <c r="D14" t="s">
        <v>91</v>
      </c>
      <c r="E14" s="14">
        <v>5888</v>
      </c>
    </row>
    <row r="15" spans="1:5" x14ac:dyDescent="0.2">
      <c r="A15">
        <v>2020</v>
      </c>
      <c r="B15" t="s">
        <v>98</v>
      </c>
      <c r="C15">
        <v>6</v>
      </c>
      <c r="D15" t="s">
        <v>90</v>
      </c>
      <c r="E15" s="14">
        <v>27102</v>
      </c>
    </row>
    <row r="16" spans="1:5" x14ac:dyDescent="0.2">
      <c r="A16">
        <v>2020</v>
      </c>
      <c r="B16" t="s">
        <v>98</v>
      </c>
      <c r="C16">
        <v>6</v>
      </c>
      <c r="D16" t="s">
        <v>91</v>
      </c>
      <c r="E16" s="14">
        <v>8883</v>
      </c>
    </row>
    <row r="17" spans="1:5" x14ac:dyDescent="0.2">
      <c r="A17">
        <v>2020</v>
      </c>
      <c r="B17" t="s">
        <v>99</v>
      </c>
      <c r="C17">
        <v>7</v>
      </c>
      <c r="D17" t="s">
        <v>90</v>
      </c>
      <c r="E17" s="14">
        <v>17853</v>
      </c>
    </row>
    <row r="18" spans="1:5" x14ac:dyDescent="0.2">
      <c r="A18">
        <v>2020</v>
      </c>
      <c r="B18" t="s">
        <v>99</v>
      </c>
      <c r="C18">
        <v>7</v>
      </c>
      <c r="D18" t="s">
        <v>91</v>
      </c>
      <c r="E18" s="14">
        <v>6690</v>
      </c>
    </row>
    <row r="19" spans="1:5" x14ac:dyDescent="0.2">
      <c r="A19">
        <v>2020</v>
      </c>
      <c r="B19" t="s">
        <v>100</v>
      </c>
      <c r="C19">
        <v>8</v>
      </c>
      <c r="D19" t="s">
        <v>90</v>
      </c>
      <c r="E19" s="14">
        <v>52795</v>
      </c>
    </row>
    <row r="20" spans="1:5" x14ac:dyDescent="0.2">
      <c r="A20">
        <v>2020</v>
      </c>
      <c r="B20" t="s">
        <v>100</v>
      </c>
      <c r="C20">
        <v>8</v>
      </c>
      <c r="D20" t="s">
        <v>91</v>
      </c>
      <c r="E20" s="14">
        <v>28258</v>
      </c>
    </row>
    <row r="21" spans="1:5" x14ac:dyDescent="0.2">
      <c r="A21">
        <v>2020</v>
      </c>
      <c r="B21" t="s">
        <v>101</v>
      </c>
      <c r="C21">
        <v>9</v>
      </c>
      <c r="D21" t="s">
        <v>90</v>
      </c>
      <c r="E21" s="14">
        <v>50885</v>
      </c>
    </row>
    <row r="22" spans="1:5" x14ac:dyDescent="0.2">
      <c r="A22">
        <v>2020</v>
      </c>
      <c r="B22" t="s">
        <v>101</v>
      </c>
      <c r="C22">
        <v>9</v>
      </c>
      <c r="D22" t="s">
        <v>91</v>
      </c>
      <c r="E22" s="14">
        <v>31288</v>
      </c>
    </row>
    <row r="23" spans="1:5" x14ac:dyDescent="0.2">
      <c r="A23">
        <v>2020</v>
      </c>
      <c r="B23" t="s">
        <v>102</v>
      </c>
      <c r="C23">
        <v>10</v>
      </c>
      <c r="D23" t="s">
        <v>90</v>
      </c>
      <c r="E23" s="14">
        <v>49696</v>
      </c>
    </row>
    <row r="24" spans="1:5" x14ac:dyDescent="0.2">
      <c r="A24">
        <v>2020</v>
      </c>
      <c r="B24" t="s">
        <v>102</v>
      </c>
      <c r="C24">
        <v>10</v>
      </c>
      <c r="D24" t="s">
        <v>91</v>
      </c>
      <c r="E24" s="14">
        <v>31963</v>
      </c>
    </row>
    <row r="25" spans="1:5" x14ac:dyDescent="0.2">
      <c r="A25">
        <v>2020</v>
      </c>
      <c r="B25" t="s">
        <v>103</v>
      </c>
      <c r="C25">
        <v>11</v>
      </c>
      <c r="D25" t="s">
        <v>90</v>
      </c>
      <c r="E25" s="14">
        <v>168242</v>
      </c>
    </row>
    <row r="26" spans="1:5" x14ac:dyDescent="0.2">
      <c r="A26">
        <v>2020</v>
      </c>
      <c r="B26" t="s">
        <v>103</v>
      </c>
      <c r="C26">
        <v>11</v>
      </c>
      <c r="D26" t="s">
        <v>91</v>
      </c>
      <c r="E26" s="14">
        <v>106847</v>
      </c>
    </row>
    <row r="27" spans="1:5" x14ac:dyDescent="0.2">
      <c r="A27">
        <v>2021</v>
      </c>
      <c r="B27" t="s">
        <v>93</v>
      </c>
      <c r="C27">
        <v>1</v>
      </c>
      <c r="D27" t="s">
        <v>90</v>
      </c>
      <c r="E27" s="14">
        <v>1310</v>
      </c>
    </row>
    <row r="28" spans="1:5" x14ac:dyDescent="0.2">
      <c r="A28">
        <v>2021</v>
      </c>
      <c r="B28" t="s">
        <v>93</v>
      </c>
      <c r="C28">
        <v>1</v>
      </c>
      <c r="D28" t="s">
        <v>91</v>
      </c>
      <c r="E28" s="14">
        <v>861</v>
      </c>
    </row>
    <row r="29" spans="1:5" x14ac:dyDescent="0.2">
      <c r="A29">
        <v>2021</v>
      </c>
      <c r="B29" t="s">
        <v>94</v>
      </c>
      <c r="C29">
        <v>2</v>
      </c>
      <c r="D29" t="s">
        <v>90</v>
      </c>
      <c r="E29" s="14">
        <v>15438</v>
      </c>
    </row>
    <row r="30" spans="1:5" x14ac:dyDescent="0.2">
      <c r="A30">
        <v>2021</v>
      </c>
      <c r="B30" t="s">
        <v>94</v>
      </c>
      <c r="C30">
        <v>2</v>
      </c>
      <c r="D30" t="s">
        <v>91</v>
      </c>
      <c r="E30" s="14">
        <v>8137</v>
      </c>
    </row>
    <row r="31" spans="1:5" x14ac:dyDescent="0.2">
      <c r="A31">
        <v>2021</v>
      </c>
      <c r="B31" t="s">
        <v>95</v>
      </c>
      <c r="C31">
        <v>3</v>
      </c>
      <c r="D31" t="s">
        <v>90</v>
      </c>
      <c r="E31" s="14">
        <v>12612</v>
      </c>
    </row>
    <row r="32" spans="1:5" x14ac:dyDescent="0.2">
      <c r="A32">
        <v>2021</v>
      </c>
      <c r="B32" t="s">
        <v>95</v>
      </c>
      <c r="C32">
        <v>3</v>
      </c>
      <c r="D32" t="s">
        <v>91</v>
      </c>
      <c r="E32" s="14">
        <v>5560</v>
      </c>
    </row>
    <row r="33" spans="1:5" x14ac:dyDescent="0.2">
      <c r="A33">
        <v>2021</v>
      </c>
      <c r="B33" t="s">
        <v>96</v>
      </c>
      <c r="C33">
        <v>4</v>
      </c>
      <c r="D33" t="s">
        <v>90</v>
      </c>
      <c r="E33" s="14">
        <v>5744</v>
      </c>
    </row>
    <row r="34" spans="1:5" x14ac:dyDescent="0.2">
      <c r="A34">
        <v>2021</v>
      </c>
      <c r="B34" t="s">
        <v>96</v>
      </c>
      <c r="C34">
        <v>4</v>
      </c>
      <c r="D34" t="s">
        <v>91</v>
      </c>
      <c r="E34" s="14">
        <v>2171</v>
      </c>
    </row>
    <row r="35" spans="1:5" x14ac:dyDescent="0.2">
      <c r="A35">
        <v>2021</v>
      </c>
      <c r="B35" t="s">
        <v>97</v>
      </c>
      <c r="C35">
        <v>5</v>
      </c>
      <c r="D35" t="s">
        <v>90</v>
      </c>
      <c r="E35" s="14">
        <v>18583</v>
      </c>
    </row>
    <row r="36" spans="1:5" x14ac:dyDescent="0.2">
      <c r="A36">
        <v>2021</v>
      </c>
      <c r="B36" t="s">
        <v>97</v>
      </c>
      <c r="C36">
        <v>5</v>
      </c>
      <c r="D36" t="s">
        <v>91</v>
      </c>
      <c r="E36" s="14">
        <v>6818</v>
      </c>
    </row>
    <row r="37" spans="1:5" x14ac:dyDescent="0.2">
      <c r="A37">
        <v>2021</v>
      </c>
      <c r="B37" t="s">
        <v>98</v>
      </c>
      <c r="C37">
        <v>6</v>
      </c>
      <c r="D37" t="s">
        <v>90</v>
      </c>
      <c r="E37" s="14">
        <v>29800</v>
      </c>
    </row>
    <row r="38" spans="1:5" x14ac:dyDescent="0.2">
      <c r="A38">
        <v>2021</v>
      </c>
      <c r="B38" t="s">
        <v>98</v>
      </c>
      <c r="C38">
        <v>6</v>
      </c>
      <c r="D38" t="s">
        <v>91</v>
      </c>
      <c r="E38" s="14">
        <v>9674</v>
      </c>
    </row>
    <row r="39" spans="1:5" x14ac:dyDescent="0.2">
      <c r="A39">
        <v>2021</v>
      </c>
      <c r="B39" t="s">
        <v>99</v>
      </c>
      <c r="C39">
        <v>7</v>
      </c>
      <c r="D39" t="s">
        <v>90</v>
      </c>
      <c r="E39" s="14">
        <v>18346</v>
      </c>
    </row>
    <row r="40" spans="1:5" x14ac:dyDescent="0.2">
      <c r="A40">
        <v>2021</v>
      </c>
      <c r="B40" t="s">
        <v>99</v>
      </c>
      <c r="C40">
        <v>7</v>
      </c>
      <c r="D40" t="s">
        <v>91</v>
      </c>
      <c r="E40" s="14">
        <v>6586</v>
      </c>
    </row>
    <row r="41" spans="1:5" x14ac:dyDescent="0.2">
      <c r="A41">
        <v>2021</v>
      </c>
      <c r="B41" t="s">
        <v>100</v>
      </c>
      <c r="C41">
        <v>8</v>
      </c>
      <c r="D41" t="s">
        <v>90</v>
      </c>
      <c r="E41" s="14">
        <v>51990</v>
      </c>
    </row>
    <row r="42" spans="1:5" x14ac:dyDescent="0.2">
      <c r="A42">
        <v>2021</v>
      </c>
      <c r="B42" t="s">
        <v>100</v>
      </c>
      <c r="C42">
        <v>8</v>
      </c>
      <c r="D42" t="s">
        <v>91</v>
      </c>
      <c r="E42" s="14">
        <v>27498</v>
      </c>
    </row>
    <row r="43" spans="1:5" x14ac:dyDescent="0.2">
      <c r="A43">
        <v>2021</v>
      </c>
      <c r="B43" t="s">
        <v>101</v>
      </c>
      <c r="C43">
        <v>9</v>
      </c>
      <c r="D43" t="s">
        <v>90</v>
      </c>
      <c r="E43" s="14">
        <v>49901</v>
      </c>
    </row>
    <row r="44" spans="1:5" x14ac:dyDescent="0.2">
      <c r="A44">
        <v>2021</v>
      </c>
      <c r="B44" t="s">
        <v>101</v>
      </c>
      <c r="C44">
        <v>9</v>
      </c>
      <c r="D44" t="s">
        <v>91</v>
      </c>
      <c r="E44" s="14">
        <v>30978</v>
      </c>
    </row>
    <row r="45" spans="1:5" x14ac:dyDescent="0.2">
      <c r="A45">
        <v>2021</v>
      </c>
      <c r="B45" t="s">
        <v>102</v>
      </c>
      <c r="C45">
        <v>10</v>
      </c>
      <c r="D45" t="s">
        <v>90</v>
      </c>
      <c r="E45" s="14">
        <v>53246</v>
      </c>
    </row>
    <row r="46" spans="1:5" x14ac:dyDescent="0.2">
      <c r="A46">
        <v>2021</v>
      </c>
      <c r="B46" t="s">
        <v>102</v>
      </c>
      <c r="C46">
        <v>10</v>
      </c>
      <c r="D46" t="s">
        <v>91</v>
      </c>
      <c r="E46" s="14">
        <v>33615</v>
      </c>
    </row>
    <row r="47" spans="1:5" x14ac:dyDescent="0.2">
      <c r="A47">
        <v>2021</v>
      </c>
      <c r="B47" t="s">
        <v>103</v>
      </c>
      <c r="C47">
        <v>11</v>
      </c>
      <c r="D47" t="s">
        <v>90</v>
      </c>
      <c r="E47" s="14">
        <v>174848</v>
      </c>
    </row>
    <row r="48" spans="1:5" x14ac:dyDescent="0.2">
      <c r="A48">
        <v>2021</v>
      </c>
      <c r="B48" t="s">
        <v>103</v>
      </c>
      <c r="C48">
        <v>11</v>
      </c>
      <c r="D48" t="s">
        <v>91</v>
      </c>
      <c r="E48" s="14">
        <v>110267</v>
      </c>
    </row>
    <row r="49" spans="1:5" x14ac:dyDescent="0.2">
      <c r="A49">
        <v>2022</v>
      </c>
      <c r="B49" t="s">
        <v>93</v>
      </c>
      <c r="C49">
        <v>1</v>
      </c>
      <c r="D49" t="s">
        <v>90</v>
      </c>
      <c r="E49" s="14">
        <v>1326</v>
      </c>
    </row>
    <row r="50" spans="1:5" x14ac:dyDescent="0.2">
      <c r="A50">
        <v>2022</v>
      </c>
      <c r="B50" t="s">
        <v>93</v>
      </c>
      <c r="C50">
        <v>1</v>
      </c>
      <c r="D50" t="s">
        <v>91</v>
      </c>
      <c r="E50" s="14">
        <v>886</v>
      </c>
    </row>
    <row r="51" spans="1:5" x14ac:dyDescent="0.2">
      <c r="A51">
        <v>2022</v>
      </c>
      <c r="B51" t="s">
        <v>94</v>
      </c>
      <c r="C51">
        <v>2</v>
      </c>
      <c r="D51" t="s">
        <v>90</v>
      </c>
      <c r="E51" s="14">
        <v>15302</v>
      </c>
    </row>
    <row r="52" spans="1:5" x14ac:dyDescent="0.2">
      <c r="A52">
        <v>2022</v>
      </c>
      <c r="B52" t="s">
        <v>94</v>
      </c>
      <c r="C52">
        <v>2</v>
      </c>
      <c r="D52" t="s">
        <v>91</v>
      </c>
      <c r="E52" s="14">
        <v>8228</v>
      </c>
    </row>
    <row r="53" spans="1:5" x14ac:dyDescent="0.2">
      <c r="A53">
        <v>2022</v>
      </c>
      <c r="B53" t="s">
        <v>95</v>
      </c>
      <c r="C53">
        <v>3</v>
      </c>
      <c r="D53" t="s">
        <v>90</v>
      </c>
      <c r="E53" s="14">
        <v>12769</v>
      </c>
    </row>
    <row r="54" spans="1:5" x14ac:dyDescent="0.2">
      <c r="A54">
        <v>2022</v>
      </c>
      <c r="B54" t="s">
        <v>95</v>
      </c>
      <c r="C54">
        <v>3</v>
      </c>
      <c r="D54" t="s">
        <v>91</v>
      </c>
      <c r="E54" s="14">
        <v>5766</v>
      </c>
    </row>
    <row r="55" spans="1:5" x14ac:dyDescent="0.2">
      <c r="A55">
        <v>2022</v>
      </c>
      <c r="B55" t="s">
        <v>96</v>
      </c>
      <c r="C55">
        <v>4</v>
      </c>
      <c r="D55" t="s">
        <v>90</v>
      </c>
      <c r="E55" s="14">
        <v>6136</v>
      </c>
    </row>
    <row r="56" spans="1:5" x14ac:dyDescent="0.2">
      <c r="A56">
        <v>2022</v>
      </c>
      <c r="B56" t="s">
        <v>96</v>
      </c>
      <c r="C56">
        <v>4</v>
      </c>
      <c r="D56" t="s">
        <v>91</v>
      </c>
      <c r="E56" s="14">
        <v>2259</v>
      </c>
    </row>
    <row r="57" spans="1:5" x14ac:dyDescent="0.2">
      <c r="A57">
        <v>2022</v>
      </c>
      <c r="B57" t="s">
        <v>97</v>
      </c>
      <c r="C57">
        <v>5</v>
      </c>
      <c r="D57" t="s">
        <v>90</v>
      </c>
      <c r="E57" s="14">
        <v>19744</v>
      </c>
    </row>
    <row r="58" spans="1:5" x14ac:dyDescent="0.2">
      <c r="A58">
        <v>2022</v>
      </c>
      <c r="B58" t="s">
        <v>97</v>
      </c>
      <c r="C58">
        <v>5</v>
      </c>
      <c r="D58" t="s">
        <v>91</v>
      </c>
      <c r="E58" s="14">
        <v>7169</v>
      </c>
    </row>
    <row r="59" spans="1:5" x14ac:dyDescent="0.2">
      <c r="A59">
        <v>2022</v>
      </c>
      <c r="B59" t="s">
        <v>98</v>
      </c>
      <c r="C59">
        <v>6</v>
      </c>
      <c r="D59" t="s">
        <v>90</v>
      </c>
      <c r="E59" s="14">
        <v>32083</v>
      </c>
    </row>
    <row r="60" spans="1:5" x14ac:dyDescent="0.2">
      <c r="A60">
        <v>2022</v>
      </c>
      <c r="B60" t="s">
        <v>98</v>
      </c>
      <c r="C60">
        <v>6</v>
      </c>
      <c r="D60" t="s">
        <v>91</v>
      </c>
      <c r="E60" s="14">
        <v>10272</v>
      </c>
    </row>
    <row r="61" spans="1:5" x14ac:dyDescent="0.2">
      <c r="A61">
        <v>2022</v>
      </c>
      <c r="B61" t="s">
        <v>99</v>
      </c>
      <c r="C61">
        <v>7</v>
      </c>
      <c r="D61" t="s">
        <v>90</v>
      </c>
      <c r="E61" s="14">
        <v>18886</v>
      </c>
    </row>
    <row r="62" spans="1:5" x14ac:dyDescent="0.2">
      <c r="A62">
        <v>2022</v>
      </c>
      <c r="B62" t="s">
        <v>99</v>
      </c>
      <c r="C62">
        <v>7</v>
      </c>
      <c r="D62" t="s">
        <v>91</v>
      </c>
      <c r="E62" s="14">
        <v>6522</v>
      </c>
    </row>
    <row r="63" spans="1:5" x14ac:dyDescent="0.2">
      <c r="A63">
        <v>2022</v>
      </c>
      <c r="B63" t="s">
        <v>100</v>
      </c>
      <c r="C63">
        <v>8</v>
      </c>
      <c r="D63" t="s">
        <v>90</v>
      </c>
      <c r="E63" s="14">
        <v>50959</v>
      </c>
    </row>
    <row r="64" spans="1:5" x14ac:dyDescent="0.2">
      <c r="A64">
        <v>2022</v>
      </c>
      <c r="B64" t="s">
        <v>100</v>
      </c>
      <c r="C64">
        <v>8</v>
      </c>
      <c r="D64" t="s">
        <v>91</v>
      </c>
      <c r="E64" s="14">
        <v>26350</v>
      </c>
    </row>
    <row r="65" spans="1:5" x14ac:dyDescent="0.2">
      <c r="A65">
        <v>2022</v>
      </c>
      <c r="B65" t="s">
        <v>101</v>
      </c>
      <c r="C65">
        <v>9</v>
      </c>
      <c r="D65" t="s">
        <v>90</v>
      </c>
      <c r="E65" s="14">
        <v>48560</v>
      </c>
    </row>
    <row r="66" spans="1:5" x14ac:dyDescent="0.2">
      <c r="A66">
        <v>2022</v>
      </c>
      <c r="B66" t="s">
        <v>101</v>
      </c>
      <c r="C66">
        <v>9</v>
      </c>
      <c r="D66" t="s">
        <v>91</v>
      </c>
      <c r="E66" s="14">
        <v>30061</v>
      </c>
    </row>
    <row r="67" spans="1:5" x14ac:dyDescent="0.2">
      <c r="A67">
        <v>2022</v>
      </c>
      <c r="B67" t="s">
        <v>102</v>
      </c>
      <c r="C67">
        <v>10</v>
      </c>
      <c r="D67" t="s">
        <v>90</v>
      </c>
      <c r="E67" s="14">
        <v>55916</v>
      </c>
    </row>
    <row r="68" spans="1:5" x14ac:dyDescent="0.2">
      <c r="A68">
        <v>2022</v>
      </c>
      <c r="B68" t="s">
        <v>102</v>
      </c>
      <c r="C68">
        <v>10</v>
      </c>
      <c r="D68" t="s">
        <v>91</v>
      </c>
      <c r="E68" s="14">
        <v>35419</v>
      </c>
    </row>
    <row r="69" spans="1:5" x14ac:dyDescent="0.2">
      <c r="A69">
        <v>2022</v>
      </c>
      <c r="B69" t="s">
        <v>103</v>
      </c>
      <c r="C69">
        <v>11</v>
      </c>
      <c r="D69" t="s">
        <v>90</v>
      </c>
      <c r="E69" s="14">
        <v>176788</v>
      </c>
    </row>
    <row r="70" spans="1:5" x14ac:dyDescent="0.2">
      <c r="A70">
        <v>2022</v>
      </c>
      <c r="B70" t="s">
        <v>103</v>
      </c>
      <c r="C70">
        <v>11</v>
      </c>
      <c r="D70" t="s">
        <v>91</v>
      </c>
      <c r="E70" s="14">
        <v>111541</v>
      </c>
    </row>
    <row r="71" spans="1:5" x14ac:dyDescent="0.2">
      <c r="A71">
        <v>2023</v>
      </c>
      <c r="B71" t="s">
        <v>93</v>
      </c>
      <c r="C71">
        <v>1</v>
      </c>
      <c r="D71" t="s">
        <v>90</v>
      </c>
      <c r="E71" s="14">
        <v>1265</v>
      </c>
    </row>
    <row r="72" spans="1:5" x14ac:dyDescent="0.2">
      <c r="A72">
        <v>2023</v>
      </c>
      <c r="B72" t="s">
        <v>93</v>
      </c>
      <c r="C72">
        <v>1</v>
      </c>
      <c r="D72" t="s">
        <v>91</v>
      </c>
      <c r="E72" s="14">
        <v>865</v>
      </c>
    </row>
    <row r="73" spans="1:5" x14ac:dyDescent="0.2">
      <c r="A73">
        <v>2023</v>
      </c>
      <c r="B73" t="s">
        <v>94</v>
      </c>
      <c r="C73">
        <v>2</v>
      </c>
      <c r="D73" t="s">
        <v>90</v>
      </c>
      <c r="E73" s="14">
        <v>14582</v>
      </c>
    </row>
    <row r="74" spans="1:5" x14ac:dyDescent="0.2">
      <c r="A74">
        <v>2023</v>
      </c>
      <c r="B74" t="s">
        <v>94</v>
      </c>
      <c r="C74">
        <v>2</v>
      </c>
      <c r="D74" t="s">
        <v>91</v>
      </c>
      <c r="E74" s="14">
        <v>7791</v>
      </c>
    </row>
    <row r="75" spans="1:5" x14ac:dyDescent="0.2">
      <c r="A75">
        <v>2023</v>
      </c>
      <c r="B75" t="s">
        <v>95</v>
      </c>
      <c r="C75">
        <v>3</v>
      </c>
      <c r="D75" t="s">
        <v>90</v>
      </c>
      <c r="E75" s="14">
        <v>12676</v>
      </c>
    </row>
    <row r="76" spans="1:5" x14ac:dyDescent="0.2">
      <c r="A76">
        <v>2023</v>
      </c>
      <c r="B76" t="s">
        <v>95</v>
      </c>
      <c r="C76">
        <v>3</v>
      </c>
      <c r="D76" t="s">
        <v>91</v>
      </c>
      <c r="E76" s="14">
        <v>5680</v>
      </c>
    </row>
    <row r="77" spans="1:5" x14ac:dyDescent="0.2">
      <c r="A77">
        <v>2023</v>
      </c>
      <c r="B77" t="s">
        <v>96</v>
      </c>
      <c r="C77">
        <v>4</v>
      </c>
      <c r="D77" t="s">
        <v>90</v>
      </c>
      <c r="E77" s="14">
        <v>6372</v>
      </c>
    </row>
    <row r="78" spans="1:5" x14ac:dyDescent="0.2">
      <c r="A78">
        <v>2023</v>
      </c>
      <c r="B78" t="s">
        <v>96</v>
      </c>
      <c r="C78">
        <v>4</v>
      </c>
      <c r="D78" t="s">
        <v>91</v>
      </c>
      <c r="E78" s="14">
        <v>2338</v>
      </c>
    </row>
    <row r="79" spans="1:5" x14ac:dyDescent="0.2">
      <c r="A79">
        <v>2023</v>
      </c>
      <c r="B79" t="s">
        <v>97</v>
      </c>
      <c r="C79">
        <v>5</v>
      </c>
      <c r="D79" t="s">
        <v>90</v>
      </c>
      <c r="E79" s="14">
        <v>21136</v>
      </c>
    </row>
    <row r="80" spans="1:5" x14ac:dyDescent="0.2">
      <c r="A80">
        <v>2023</v>
      </c>
      <c r="B80" t="s">
        <v>97</v>
      </c>
      <c r="C80">
        <v>5</v>
      </c>
      <c r="D80" t="s">
        <v>91</v>
      </c>
      <c r="E80" s="14">
        <v>7410</v>
      </c>
    </row>
    <row r="81" spans="1:5" x14ac:dyDescent="0.2">
      <c r="A81">
        <v>2023</v>
      </c>
      <c r="B81" t="s">
        <v>98</v>
      </c>
      <c r="C81">
        <v>6</v>
      </c>
      <c r="D81" t="s">
        <v>90</v>
      </c>
      <c r="E81" s="14">
        <v>33711</v>
      </c>
    </row>
    <row r="82" spans="1:5" x14ac:dyDescent="0.2">
      <c r="A82">
        <v>2023</v>
      </c>
      <c r="B82" t="s">
        <v>98</v>
      </c>
      <c r="C82">
        <v>6</v>
      </c>
      <c r="D82" t="s">
        <v>91</v>
      </c>
      <c r="E82" s="14">
        <v>10598</v>
      </c>
    </row>
    <row r="83" spans="1:5" x14ac:dyDescent="0.2">
      <c r="A83">
        <v>2023</v>
      </c>
      <c r="B83" t="s">
        <v>99</v>
      </c>
      <c r="C83">
        <v>7</v>
      </c>
      <c r="D83" t="s">
        <v>90</v>
      </c>
      <c r="E83" s="14">
        <v>19125</v>
      </c>
    </row>
    <row r="84" spans="1:5" x14ac:dyDescent="0.2">
      <c r="A84">
        <v>2023</v>
      </c>
      <c r="B84" t="s">
        <v>99</v>
      </c>
      <c r="C84">
        <v>7</v>
      </c>
      <c r="D84" t="s">
        <v>91</v>
      </c>
      <c r="E84" s="14">
        <v>6213</v>
      </c>
    </row>
    <row r="85" spans="1:5" x14ac:dyDescent="0.2">
      <c r="A85">
        <v>2023</v>
      </c>
      <c r="B85" t="s">
        <v>100</v>
      </c>
      <c r="C85">
        <v>8</v>
      </c>
      <c r="D85" t="s">
        <v>90</v>
      </c>
      <c r="E85" s="14">
        <v>49188</v>
      </c>
    </row>
    <row r="86" spans="1:5" x14ac:dyDescent="0.2">
      <c r="A86">
        <v>2023</v>
      </c>
      <c r="B86" t="s">
        <v>100</v>
      </c>
      <c r="C86">
        <v>8</v>
      </c>
      <c r="D86" t="s">
        <v>91</v>
      </c>
      <c r="E86" s="14">
        <v>24641</v>
      </c>
    </row>
    <row r="87" spans="1:5" x14ac:dyDescent="0.2">
      <c r="A87">
        <v>2023</v>
      </c>
      <c r="B87" t="s">
        <v>101</v>
      </c>
      <c r="C87">
        <v>9</v>
      </c>
      <c r="D87" t="s">
        <v>90</v>
      </c>
      <c r="E87" s="14">
        <v>44944</v>
      </c>
    </row>
    <row r="88" spans="1:5" x14ac:dyDescent="0.2">
      <c r="A88">
        <v>2023</v>
      </c>
      <c r="B88" t="s">
        <v>101</v>
      </c>
      <c r="C88">
        <v>9</v>
      </c>
      <c r="D88" t="s">
        <v>91</v>
      </c>
      <c r="E88" s="14">
        <v>27721</v>
      </c>
    </row>
    <row r="89" spans="1:5" x14ac:dyDescent="0.2">
      <c r="A89">
        <v>2023</v>
      </c>
      <c r="B89" t="s">
        <v>102</v>
      </c>
      <c r="C89">
        <v>10</v>
      </c>
      <c r="D89" t="s">
        <v>90</v>
      </c>
      <c r="E89" s="14">
        <v>57646</v>
      </c>
    </row>
    <row r="90" spans="1:5" x14ac:dyDescent="0.2">
      <c r="A90">
        <v>2023</v>
      </c>
      <c r="B90" t="s">
        <v>102</v>
      </c>
      <c r="C90">
        <v>10</v>
      </c>
      <c r="D90" t="s">
        <v>91</v>
      </c>
      <c r="E90" s="14">
        <v>36313</v>
      </c>
    </row>
    <row r="91" spans="1:5" x14ac:dyDescent="0.2">
      <c r="A91">
        <v>2023</v>
      </c>
      <c r="B91" t="s">
        <v>103</v>
      </c>
      <c r="C91">
        <v>11</v>
      </c>
      <c r="D91" t="s">
        <v>90</v>
      </c>
      <c r="E91" s="14">
        <v>179148</v>
      </c>
    </row>
    <row r="92" spans="1:5" x14ac:dyDescent="0.2">
      <c r="A92">
        <v>2023</v>
      </c>
      <c r="B92" t="s">
        <v>103</v>
      </c>
      <c r="C92">
        <v>11</v>
      </c>
      <c r="D92" t="s">
        <v>91</v>
      </c>
      <c r="E92" s="14">
        <v>112763</v>
      </c>
    </row>
    <row r="93" spans="1:5" x14ac:dyDescent="0.2">
      <c r="A93">
        <v>2024</v>
      </c>
      <c r="B93" t="s">
        <v>93</v>
      </c>
      <c r="C93">
        <v>1</v>
      </c>
      <c r="D93" t="s">
        <v>90</v>
      </c>
      <c r="E93" s="14">
        <v>1334</v>
      </c>
    </row>
    <row r="94" spans="1:5" x14ac:dyDescent="0.2">
      <c r="A94">
        <v>2024</v>
      </c>
      <c r="B94" t="s">
        <v>93</v>
      </c>
      <c r="C94">
        <v>1</v>
      </c>
      <c r="D94" t="s">
        <v>91</v>
      </c>
      <c r="E94" s="14">
        <v>855</v>
      </c>
    </row>
    <row r="95" spans="1:5" x14ac:dyDescent="0.2">
      <c r="A95">
        <v>2024</v>
      </c>
      <c r="B95" t="s">
        <v>94</v>
      </c>
      <c r="C95">
        <v>2</v>
      </c>
      <c r="D95" t="s">
        <v>90</v>
      </c>
      <c r="E95" s="14">
        <v>14137</v>
      </c>
    </row>
    <row r="96" spans="1:5" x14ac:dyDescent="0.2">
      <c r="A96">
        <v>2024</v>
      </c>
      <c r="B96" t="s">
        <v>94</v>
      </c>
      <c r="C96">
        <v>2</v>
      </c>
      <c r="D96" t="s">
        <v>91</v>
      </c>
      <c r="E96" s="14">
        <v>7655</v>
      </c>
    </row>
    <row r="97" spans="1:5" x14ac:dyDescent="0.2">
      <c r="A97">
        <v>2024</v>
      </c>
      <c r="B97" t="s">
        <v>95</v>
      </c>
      <c r="C97">
        <v>3</v>
      </c>
      <c r="D97" t="s">
        <v>90</v>
      </c>
      <c r="E97" s="14">
        <v>12704</v>
      </c>
    </row>
    <row r="98" spans="1:5" x14ac:dyDescent="0.2">
      <c r="A98">
        <v>2024</v>
      </c>
      <c r="B98" t="s">
        <v>95</v>
      </c>
      <c r="C98">
        <v>3</v>
      </c>
      <c r="D98" t="s">
        <v>91</v>
      </c>
      <c r="E98" s="14">
        <v>5562</v>
      </c>
    </row>
    <row r="99" spans="1:5" x14ac:dyDescent="0.2">
      <c r="A99">
        <v>2024</v>
      </c>
      <c r="B99" t="s">
        <v>96</v>
      </c>
      <c r="C99">
        <v>4</v>
      </c>
      <c r="D99" t="s">
        <v>90</v>
      </c>
      <c r="E99" s="14">
        <v>6595</v>
      </c>
    </row>
    <row r="100" spans="1:5" x14ac:dyDescent="0.2">
      <c r="A100">
        <v>2024</v>
      </c>
      <c r="B100" t="s">
        <v>96</v>
      </c>
      <c r="C100">
        <v>4</v>
      </c>
      <c r="D100" t="s">
        <v>91</v>
      </c>
      <c r="E100" s="14">
        <v>2478</v>
      </c>
    </row>
    <row r="101" spans="1:5" x14ac:dyDescent="0.2">
      <c r="A101">
        <v>2024</v>
      </c>
      <c r="B101" t="s">
        <v>97</v>
      </c>
      <c r="C101">
        <v>5</v>
      </c>
      <c r="D101" t="s">
        <v>90</v>
      </c>
      <c r="E101" s="14">
        <v>22933</v>
      </c>
    </row>
    <row r="102" spans="1:5" x14ac:dyDescent="0.2">
      <c r="A102">
        <v>2024</v>
      </c>
      <c r="B102" t="s">
        <v>97</v>
      </c>
      <c r="C102">
        <v>5</v>
      </c>
      <c r="D102" t="s">
        <v>91</v>
      </c>
      <c r="E102" s="14">
        <v>7498</v>
      </c>
    </row>
    <row r="103" spans="1:5" x14ac:dyDescent="0.2">
      <c r="A103">
        <v>2024</v>
      </c>
      <c r="B103" t="s">
        <v>98</v>
      </c>
      <c r="C103">
        <v>6</v>
      </c>
      <c r="D103" t="s">
        <v>90</v>
      </c>
      <c r="E103" s="14">
        <v>36261</v>
      </c>
    </row>
    <row r="104" spans="1:5" x14ac:dyDescent="0.2">
      <c r="A104">
        <v>2024</v>
      </c>
      <c r="B104" t="s">
        <v>98</v>
      </c>
      <c r="C104">
        <v>6</v>
      </c>
      <c r="D104" t="s">
        <v>91</v>
      </c>
      <c r="E104" s="14">
        <v>11216</v>
      </c>
    </row>
    <row r="105" spans="1:5" x14ac:dyDescent="0.2">
      <c r="A105">
        <v>2024</v>
      </c>
      <c r="B105" t="s">
        <v>99</v>
      </c>
      <c r="C105">
        <v>7</v>
      </c>
      <c r="D105" t="s">
        <v>90</v>
      </c>
      <c r="E105" s="14">
        <v>20100</v>
      </c>
    </row>
    <row r="106" spans="1:5" x14ac:dyDescent="0.2">
      <c r="A106">
        <v>2024</v>
      </c>
      <c r="B106" t="s">
        <v>99</v>
      </c>
      <c r="C106">
        <v>7</v>
      </c>
      <c r="D106" t="s">
        <v>91</v>
      </c>
      <c r="E106" s="14">
        <v>6285</v>
      </c>
    </row>
    <row r="107" spans="1:5" x14ac:dyDescent="0.2">
      <c r="A107">
        <v>2024</v>
      </c>
      <c r="B107" t="s">
        <v>100</v>
      </c>
      <c r="C107">
        <v>8</v>
      </c>
      <c r="D107" t="s">
        <v>90</v>
      </c>
      <c r="E107" s="14">
        <v>48359</v>
      </c>
    </row>
    <row r="108" spans="1:5" x14ac:dyDescent="0.2">
      <c r="A108">
        <v>2024</v>
      </c>
      <c r="B108" t="s">
        <v>100</v>
      </c>
      <c r="C108">
        <v>8</v>
      </c>
      <c r="D108" t="s">
        <v>91</v>
      </c>
      <c r="E108" s="14">
        <v>23329</v>
      </c>
    </row>
    <row r="109" spans="1:5" x14ac:dyDescent="0.2">
      <c r="A109">
        <v>2024</v>
      </c>
      <c r="B109" t="s">
        <v>101</v>
      </c>
      <c r="C109">
        <v>9</v>
      </c>
      <c r="D109" t="s">
        <v>90</v>
      </c>
      <c r="E109" s="14">
        <v>40824</v>
      </c>
    </row>
    <row r="110" spans="1:5" x14ac:dyDescent="0.2">
      <c r="A110">
        <v>2024</v>
      </c>
      <c r="B110" t="s">
        <v>101</v>
      </c>
      <c r="C110">
        <v>9</v>
      </c>
      <c r="D110" t="s">
        <v>91</v>
      </c>
      <c r="E110" s="14">
        <v>25139</v>
      </c>
    </row>
    <row r="111" spans="1:5" x14ac:dyDescent="0.2">
      <c r="A111">
        <v>2024</v>
      </c>
      <c r="B111" t="s">
        <v>102</v>
      </c>
      <c r="C111">
        <v>10</v>
      </c>
      <c r="D111" t="s">
        <v>90</v>
      </c>
      <c r="E111" s="14">
        <v>58289</v>
      </c>
    </row>
    <row r="112" spans="1:5" x14ac:dyDescent="0.2">
      <c r="A112">
        <v>2024</v>
      </c>
      <c r="B112" t="s">
        <v>102</v>
      </c>
      <c r="C112">
        <v>10</v>
      </c>
      <c r="D112" t="s">
        <v>91</v>
      </c>
      <c r="E112" s="14">
        <v>36450</v>
      </c>
    </row>
    <row r="113" spans="1:5" x14ac:dyDescent="0.2">
      <c r="A113">
        <v>2024</v>
      </c>
      <c r="B113" t="s">
        <v>103</v>
      </c>
      <c r="C113">
        <v>11</v>
      </c>
      <c r="D113" t="s">
        <v>90</v>
      </c>
      <c r="E113" s="14">
        <v>183833</v>
      </c>
    </row>
    <row r="114" spans="1:5" x14ac:dyDescent="0.2">
      <c r="A114">
        <v>2024</v>
      </c>
      <c r="B114" t="s">
        <v>103</v>
      </c>
      <c r="C114">
        <v>11</v>
      </c>
      <c r="D114" t="s">
        <v>91</v>
      </c>
      <c r="E114" s="14">
        <v>114872</v>
      </c>
    </row>
    <row r="115" spans="1:5" x14ac:dyDescent="0.2">
      <c r="A115">
        <v>2025</v>
      </c>
      <c r="B115" t="s">
        <v>93</v>
      </c>
      <c r="C115">
        <v>1</v>
      </c>
      <c r="D115" t="s">
        <v>90</v>
      </c>
      <c r="E115" s="14">
        <v>1347</v>
      </c>
    </row>
    <row r="116" spans="1:5" x14ac:dyDescent="0.2">
      <c r="A116">
        <v>2025</v>
      </c>
      <c r="B116" t="s">
        <v>93</v>
      </c>
      <c r="C116">
        <v>1</v>
      </c>
      <c r="D116" t="s">
        <v>91</v>
      </c>
      <c r="E116" s="14">
        <v>824</v>
      </c>
    </row>
    <row r="117" spans="1:5" x14ac:dyDescent="0.2">
      <c r="A117">
        <v>2025</v>
      </c>
      <c r="B117" t="s">
        <v>94</v>
      </c>
      <c r="C117">
        <v>2</v>
      </c>
      <c r="D117" t="s">
        <v>90</v>
      </c>
      <c r="E117" s="14">
        <v>14268</v>
      </c>
    </row>
    <row r="118" spans="1:5" x14ac:dyDescent="0.2">
      <c r="A118">
        <v>2025</v>
      </c>
      <c r="B118" t="s">
        <v>94</v>
      </c>
      <c r="C118">
        <v>2</v>
      </c>
      <c r="D118" t="s">
        <v>91</v>
      </c>
      <c r="E118" s="14">
        <v>7472</v>
      </c>
    </row>
    <row r="119" spans="1:5" x14ac:dyDescent="0.2">
      <c r="A119">
        <v>2025</v>
      </c>
      <c r="B119" t="s">
        <v>95</v>
      </c>
      <c r="C119">
        <v>3</v>
      </c>
      <c r="D119" t="s">
        <v>90</v>
      </c>
      <c r="E119" s="14">
        <v>13350</v>
      </c>
    </row>
    <row r="120" spans="1:5" x14ac:dyDescent="0.2">
      <c r="A120">
        <v>2025</v>
      </c>
      <c r="B120" t="s">
        <v>95</v>
      </c>
      <c r="C120">
        <v>3</v>
      </c>
      <c r="D120" t="s">
        <v>91</v>
      </c>
      <c r="E120" s="14">
        <v>5537</v>
      </c>
    </row>
    <row r="121" spans="1:5" x14ac:dyDescent="0.2">
      <c r="A121">
        <v>2025</v>
      </c>
      <c r="B121" t="s">
        <v>96</v>
      </c>
      <c r="C121">
        <v>4</v>
      </c>
      <c r="D121" t="s">
        <v>90</v>
      </c>
      <c r="E121" s="14">
        <v>7024</v>
      </c>
    </row>
    <row r="122" spans="1:5" x14ac:dyDescent="0.2">
      <c r="A122">
        <v>2025</v>
      </c>
      <c r="B122" t="s">
        <v>96</v>
      </c>
      <c r="C122">
        <v>4</v>
      </c>
      <c r="D122" t="s">
        <v>91</v>
      </c>
      <c r="E122" s="14">
        <v>2498</v>
      </c>
    </row>
    <row r="123" spans="1:5" x14ac:dyDescent="0.2">
      <c r="A123">
        <v>2025</v>
      </c>
      <c r="B123" t="s">
        <v>97</v>
      </c>
      <c r="C123">
        <v>5</v>
      </c>
      <c r="D123" t="s">
        <v>90</v>
      </c>
      <c r="E123" s="14">
        <v>24839</v>
      </c>
    </row>
    <row r="124" spans="1:5" x14ac:dyDescent="0.2">
      <c r="A124">
        <v>2025</v>
      </c>
      <c r="B124" t="s">
        <v>97</v>
      </c>
      <c r="C124">
        <v>5</v>
      </c>
      <c r="D124" t="s">
        <v>91</v>
      </c>
      <c r="E124" s="14">
        <v>8060</v>
      </c>
    </row>
    <row r="125" spans="1:5" x14ac:dyDescent="0.2">
      <c r="A125">
        <v>2025</v>
      </c>
      <c r="B125" t="s">
        <v>98</v>
      </c>
      <c r="C125">
        <v>6</v>
      </c>
      <c r="D125" t="s">
        <v>90</v>
      </c>
      <c r="E125" s="14">
        <v>39369</v>
      </c>
    </row>
    <row r="126" spans="1:5" x14ac:dyDescent="0.2">
      <c r="A126">
        <v>2025</v>
      </c>
      <c r="B126" t="s">
        <v>98</v>
      </c>
      <c r="C126">
        <v>6</v>
      </c>
      <c r="D126" t="s">
        <v>91</v>
      </c>
      <c r="E126" s="14">
        <v>12016</v>
      </c>
    </row>
    <row r="127" spans="1:5" x14ac:dyDescent="0.2">
      <c r="A127">
        <v>2025</v>
      </c>
      <c r="B127" t="s">
        <v>99</v>
      </c>
      <c r="C127">
        <v>7</v>
      </c>
      <c r="D127" t="s">
        <v>90</v>
      </c>
      <c r="E127" s="14">
        <v>21606</v>
      </c>
    </row>
    <row r="128" spans="1:5" x14ac:dyDescent="0.2">
      <c r="A128">
        <v>2025</v>
      </c>
      <c r="B128" t="s">
        <v>99</v>
      </c>
      <c r="C128">
        <v>7</v>
      </c>
      <c r="D128" t="s">
        <v>91</v>
      </c>
      <c r="E128" s="14">
        <v>6399</v>
      </c>
    </row>
    <row r="129" spans="1:5" x14ac:dyDescent="0.2">
      <c r="A129">
        <v>2025</v>
      </c>
      <c r="B129" t="s">
        <v>100</v>
      </c>
      <c r="C129">
        <v>8</v>
      </c>
      <c r="D129" t="s">
        <v>90</v>
      </c>
      <c r="E129" s="14">
        <v>48396</v>
      </c>
    </row>
    <row r="130" spans="1:5" x14ac:dyDescent="0.2">
      <c r="A130">
        <v>2025</v>
      </c>
      <c r="B130" t="s">
        <v>100</v>
      </c>
      <c r="C130">
        <v>8</v>
      </c>
      <c r="D130" t="s">
        <v>91</v>
      </c>
      <c r="E130" s="14">
        <v>22454</v>
      </c>
    </row>
    <row r="131" spans="1:5" x14ac:dyDescent="0.2">
      <c r="A131">
        <v>2025</v>
      </c>
      <c r="B131" t="s">
        <v>101</v>
      </c>
      <c r="C131">
        <v>9</v>
      </c>
      <c r="D131" t="s">
        <v>90</v>
      </c>
      <c r="E131" s="14">
        <v>37439</v>
      </c>
    </row>
    <row r="132" spans="1:5" x14ac:dyDescent="0.2">
      <c r="A132">
        <v>2025</v>
      </c>
      <c r="B132" t="s">
        <v>101</v>
      </c>
      <c r="C132">
        <v>9</v>
      </c>
      <c r="D132" t="s">
        <v>91</v>
      </c>
      <c r="E132" s="14">
        <v>22880</v>
      </c>
    </row>
    <row r="133" spans="1:5" x14ac:dyDescent="0.2">
      <c r="A133">
        <v>2025</v>
      </c>
      <c r="B133" t="s">
        <v>102</v>
      </c>
      <c r="C133">
        <v>10</v>
      </c>
      <c r="D133" t="s">
        <v>90</v>
      </c>
      <c r="E133" s="14">
        <v>57318</v>
      </c>
    </row>
    <row r="134" spans="1:5" x14ac:dyDescent="0.2">
      <c r="A134">
        <v>2025</v>
      </c>
      <c r="B134" t="s">
        <v>102</v>
      </c>
      <c r="C134">
        <v>10</v>
      </c>
      <c r="D134" t="s">
        <v>91</v>
      </c>
      <c r="E134" s="14">
        <v>36368</v>
      </c>
    </row>
    <row r="135" spans="1:5" x14ac:dyDescent="0.2">
      <c r="A135">
        <v>2025</v>
      </c>
      <c r="B135" t="s">
        <v>103</v>
      </c>
      <c r="C135">
        <v>11</v>
      </c>
      <c r="D135" t="s">
        <v>90</v>
      </c>
      <c r="E135" s="14">
        <v>189106</v>
      </c>
    </row>
    <row r="136" spans="1:5" x14ac:dyDescent="0.2">
      <c r="A136">
        <v>2025</v>
      </c>
      <c r="B136" t="s">
        <v>103</v>
      </c>
      <c r="C136">
        <v>11</v>
      </c>
      <c r="D136" t="s">
        <v>91</v>
      </c>
      <c r="E136" s="14">
        <v>117047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6"/>
  <sheetViews>
    <sheetView workbookViewId="0">
      <selection activeCell="G24" sqref="G24"/>
    </sheetView>
  </sheetViews>
  <sheetFormatPr baseColWidth="10" defaultColWidth="8.83203125" defaultRowHeight="15" x14ac:dyDescent="0.2"/>
  <cols>
    <col min="1" max="1" width="30" customWidth="1"/>
    <col min="2" max="4" width="13" customWidth="1"/>
    <col min="5" max="5" width="11" customWidth="1"/>
    <col min="6" max="7" width="12" customWidth="1"/>
    <col min="8" max="8" width="13" customWidth="1"/>
    <col min="9" max="9" width="12" customWidth="1"/>
    <col min="10" max="10" width="14" customWidth="1"/>
    <col min="11" max="11" width="13" customWidth="1"/>
    <col min="12" max="13" width="16" customWidth="1"/>
    <col min="14" max="14" width="17" customWidth="1"/>
  </cols>
  <sheetData>
    <row r="1" spans="1:14" ht="19" x14ac:dyDescent="0.25">
      <c r="A1" s="1" t="s">
        <v>108</v>
      </c>
    </row>
    <row r="2" spans="1:14" x14ac:dyDescent="0.2">
      <c r="A2" s="2" t="s">
        <v>109</v>
      </c>
    </row>
    <row r="4" spans="1:14" ht="30" customHeight="1" x14ac:dyDescent="0.2">
      <c r="A4" s="5" t="s">
        <v>110</v>
      </c>
      <c r="B4" s="5" t="s">
        <v>111</v>
      </c>
      <c r="C4" s="5" t="s">
        <v>112</v>
      </c>
      <c r="D4" s="5" t="s">
        <v>81</v>
      </c>
      <c r="E4" s="5" t="s">
        <v>82</v>
      </c>
      <c r="F4" s="5" t="s">
        <v>113</v>
      </c>
      <c r="G4" s="5" t="s">
        <v>114</v>
      </c>
      <c r="H4" s="5" t="s">
        <v>115</v>
      </c>
      <c r="I4" s="5" t="s">
        <v>116</v>
      </c>
      <c r="J4" s="5" t="s">
        <v>83</v>
      </c>
      <c r="K4" s="5" t="s">
        <v>117</v>
      </c>
      <c r="L4" s="5" t="s">
        <v>118</v>
      </c>
      <c r="M4" s="5" t="s">
        <v>85</v>
      </c>
      <c r="N4" s="5" t="s">
        <v>119</v>
      </c>
    </row>
    <row r="5" spans="1:14" x14ac:dyDescent="0.2">
      <c r="A5" s="6" t="s">
        <v>120</v>
      </c>
      <c r="B5" s="7">
        <v>76079</v>
      </c>
      <c r="C5" s="7">
        <v>77785</v>
      </c>
      <c r="D5" s="7">
        <f t="shared" ref="D5:D17" si="0">B5-C5</f>
        <v>-1706</v>
      </c>
      <c r="E5" s="8">
        <f t="shared" ref="E5:E17" si="1">IFERROR(D5/C5,"")</f>
        <v>-2.1932249148293372E-2</v>
      </c>
      <c r="F5" s="7">
        <v>48708</v>
      </c>
      <c r="G5" s="7">
        <v>27371</v>
      </c>
      <c r="H5" s="15">
        <f t="shared" ref="H5:H18" si="2">G5/B5</f>
        <v>0.35977076459995533</v>
      </c>
      <c r="I5" s="7">
        <v>89</v>
      </c>
      <c r="J5" s="7">
        <v>100</v>
      </c>
      <c r="K5" s="7">
        <v>11245898</v>
      </c>
      <c r="L5" s="9">
        <f t="shared" ref="L5:L16" si="3">B5/K5*1000</f>
        <v>6.7650444633234272</v>
      </c>
      <c r="M5" s="9">
        <f t="shared" ref="M5:M17" si="4">IFERROR(B5/I5,"")</f>
        <v>854.82022471910113</v>
      </c>
      <c r="N5" s="9">
        <f t="shared" ref="N5:N16" si="5">IFERROR(K5/I5,"")</f>
        <v>126358.40449438202</v>
      </c>
    </row>
    <row r="6" spans="1:14" x14ac:dyDescent="0.2">
      <c r="A6" s="6" t="s">
        <v>121</v>
      </c>
      <c r="B6" s="7">
        <v>144501</v>
      </c>
      <c r="C6" s="7">
        <v>143826</v>
      </c>
      <c r="D6" s="7">
        <f t="shared" si="0"/>
        <v>675</v>
      </c>
      <c r="E6" s="8">
        <f t="shared" si="1"/>
        <v>4.6931709148554501E-3</v>
      </c>
      <c r="F6" s="7">
        <v>92486</v>
      </c>
      <c r="G6" s="7">
        <v>52015</v>
      </c>
      <c r="H6" s="15">
        <f t="shared" si="2"/>
        <v>0.35996290683109461</v>
      </c>
      <c r="I6" s="7">
        <v>171</v>
      </c>
      <c r="J6" s="7">
        <v>195</v>
      </c>
      <c r="K6" s="7">
        <v>13248928</v>
      </c>
      <c r="L6" s="9">
        <f t="shared" si="3"/>
        <v>10.906618256209105</v>
      </c>
      <c r="M6" s="9">
        <f t="shared" si="4"/>
        <v>845.03508771929819</v>
      </c>
      <c r="N6" s="9">
        <f t="shared" si="5"/>
        <v>77479.111111111109</v>
      </c>
    </row>
    <row r="7" spans="1:14" x14ac:dyDescent="0.2">
      <c r="A7" s="6" t="s">
        <v>122</v>
      </c>
      <c r="B7" s="7">
        <v>27777</v>
      </c>
      <c r="C7" s="7">
        <v>27491</v>
      </c>
      <c r="D7" s="7">
        <f t="shared" si="0"/>
        <v>286</v>
      </c>
      <c r="E7" s="8">
        <f t="shared" si="1"/>
        <v>1.0403404750645665E-2</v>
      </c>
      <c r="F7" s="7">
        <v>18775</v>
      </c>
      <c r="G7" s="7">
        <v>9002</v>
      </c>
      <c r="H7" s="15">
        <f t="shared" si="2"/>
        <v>0.32408107427007954</v>
      </c>
      <c r="I7" s="7">
        <v>19</v>
      </c>
      <c r="J7" s="7">
        <v>27</v>
      </c>
      <c r="K7" s="7">
        <v>6242012</v>
      </c>
      <c r="L7" s="9">
        <f t="shared" si="3"/>
        <v>4.4500074655415593</v>
      </c>
      <c r="M7" s="9">
        <f t="shared" si="4"/>
        <v>1461.9473684210527</v>
      </c>
      <c r="N7" s="9">
        <f t="shared" si="5"/>
        <v>328526.94736842107</v>
      </c>
    </row>
    <row r="8" spans="1:14" x14ac:dyDescent="0.2">
      <c r="A8" s="6" t="s">
        <v>123</v>
      </c>
      <c r="B8" s="7">
        <v>22099</v>
      </c>
      <c r="C8" s="7">
        <v>21872</v>
      </c>
      <c r="D8" s="7">
        <f t="shared" si="0"/>
        <v>227</v>
      </c>
      <c r="E8" s="8">
        <f t="shared" si="1"/>
        <v>1.0378566203365034E-2</v>
      </c>
      <c r="F8" s="7">
        <v>13936</v>
      </c>
      <c r="G8" s="7">
        <v>8163</v>
      </c>
      <c r="H8" s="15">
        <f t="shared" si="2"/>
        <v>0.36938323001040774</v>
      </c>
      <c r="I8" s="7">
        <v>19</v>
      </c>
      <c r="J8" s="7">
        <v>21</v>
      </c>
      <c r="K8" s="7">
        <v>1862565</v>
      </c>
      <c r="L8" s="9">
        <f t="shared" si="3"/>
        <v>11.864820825045031</v>
      </c>
      <c r="M8" s="9">
        <f t="shared" si="4"/>
        <v>1163.1052631578948</v>
      </c>
      <c r="N8" s="9">
        <f t="shared" si="5"/>
        <v>98029.736842105267</v>
      </c>
    </row>
    <row r="9" spans="1:14" x14ac:dyDescent="0.2">
      <c r="A9" s="6" t="s">
        <v>124</v>
      </c>
      <c r="B9" s="7">
        <v>49741</v>
      </c>
      <c r="C9" s="7">
        <v>50920</v>
      </c>
      <c r="D9" s="7">
        <f t="shared" si="0"/>
        <v>-1179</v>
      </c>
      <c r="E9" s="8">
        <f t="shared" si="1"/>
        <v>-2.3153967007069915E-2</v>
      </c>
      <c r="F9" s="7">
        <v>32266</v>
      </c>
      <c r="G9" s="7">
        <v>17475</v>
      </c>
      <c r="H9" s="15">
        <f t="shared" si="2"/>
        <v>0.35131983675438772</v>
      </c>
      <c r="I9" s="7">
        <v>53</v>
      </c>
      <c r="J9" s="7">
        <v>64</v>
      </c>
      <c r="K9" s="7">
        <v>6280793</v>
      </c>
      <c r="L9" s="9">
        <f t="shared" si="3"/>
        <v>7.9195413700149011</v>
      </c>
      <c r="M9" s="9">
        <f t="shared" si="4"/>
        <v>938.5094339622641</v>
      </c>
      <c r="N9" s="9">
        <f t="shared" si="5"/>
        <v>118505.52830188679</v>
      </c>
    </row>
    <row r="10" spans="1:14" x14ac:dyDescent="0.2">
      <c r="A10" s="6" t="s">
        <v>125</v>
      </c>
      <c r="B10" s="7">
        <v>18752</v>
      </c>
      <c r="C10" s="7">
        <v>18419</v>
      </c>
      <c r="D10" s="7">
        <f t="shared" si="0"/>
        <v>333</v>
      </c>
      <c r="E10" s="8">
        <f t="shared" si="1"/>
        <v>1.8079157391823659E-2</v>
      </c>
      <c r="F10" s="7">
        <v>12251</v>
      </c>
      <c r="G10" s="7">
        <v>6501</v>
      </c>
      <c r="H10" s="15">
        <f t="shared" si="2"/>
        <v>0.34668302047781568</v>
      </c>
      <c r="I10" s="7">
        <v>17</v>
      </c>
      <c r="J10" s="7">
        <v>20</v>
      </c>
      <c r="K10" s="7">
        <v>1573597</v>
      </c>
      <c r="L10" s="9">
        <f t="shared" si="3"/>
        <v>11.916647019535498</v>
      </c>
      <c r="M10" s="9">
        <f t="shared" si="4"/>
        <v>1103.0588235294117</v>
      </c>
      <c r="N10" s="9">
        <f t="shared" si="5"/>
        <v>92564.529411764699</v>
      </c>
    </row>
    <row r="11" spans="1:14" x14ac:dyDescent="0.2">
      <c r="A11" s="6" t="s">
        <v>126</v>
      </c>
      <c r="B11" s="7">
        <v>78772</v>
      </c>
      <c r="C11" s="7">
        <v>74161</v>
      </c>
      <c r="D11" s="7">
        <f t="shared" si="0"/>
        <v>4611</v>
      </c>
      <c r="E11" s="8">
        <f t="shared" si="1"/>
        <v>6.217553700732191E-2</v>
      </c>
      <c r="F11" s="7">
        <v>52184</v>
      </c>
      <c r="G11" s="7">
        <v>26588</v>
      </c>
      <c r="H11" s="15">
        <f t="shared" si="2"/>
        <v>0.33753110242218048</v>
      </c>
      <c r="I11" s="7">
        <v>78</v>
      </c>
      <c r="J11" s="7">
        <v>84</v>
      </c>
      <c r="K11" s="7">
        <v>8709370</v>
      </c>
      <c r="L11" s="9">
        <f t="shared" si="3"/>
        <v>9.044511830362012</v>
      </c>
      <c r="M11" s="9">
        <f t="shared" si="4"/>
        <v>1009.8974358974359</v>
      </c>
      <c r="N11" s="9">
        <f t="shared" si="5"/>
        <v>111658.58974358975</v>
      </c>
    </row>
    <row r="12" spans="1:14" x14ac:dyDescent="0.2">
      <c r="A12" s="6" t="s">
        <v>127</v>
      </c>
      <c r="B12" s="7">
        <v>144750</v>
      </c>
      <c r="C12" s="7">
        <v>142809</v>
      </c>
      <c r="D12" s="7">
        <f t="shared" si="0"/>
        <v>1941</v>
      </c>
      <c r="E12" s="8">
        <f t="shared" si="1"/>
        <v>1.3591580362582191E-2</v>
      </c>
      <c r="F12" s="7">
        <v>94837</v>
      </c>
      <c r="G12" s="7">
        <v>49913</v>
      </c>
      <c r="H12" s="15">
        <f t="shared" si="2"/>
        <v>0.34482210708117444</v>
      </c>
      <c r="I12" s="7">
        <v>157</v>
      </c>
      <c r="J12" s="7">
        <v>172</v>
      </c>
      <c r="K12" s="7">
        <v>18034454</v>
      </c>
      <c r="L12" s="9">
        <f t="shared" si="3"/>
        <v>8.0263034300899836</v>
      </c>
      <c r="M12" s="9">
        <f t="shared" si="4"/>
        <v>921.97452229299358</v>
      </c>
      <c r="N12" s="9">
        <f t="shared" si="5"/>
        <v>114869.13375796178</v>
      </c>
    </row>
    <row r="13" spans="1:14" x14ac:dyDescent="0.2">
      <c r="A13" s="6" t="s">
        <v>128</v>
      </c>
      <c r="B13" s="7">
        <v>30113</v>
      </c>
      <c r="C13" s="7">
        <v>30854</v>
      </c>
      <c r="D13" s="7">
        <f t="shared" si="0"/>
        <v>-741</v>
      </c>
      <c r="E13" s="8">
        <f t="shared" si="1"/>
        <v>-2.4016334997083038E-2</v>
      </c>
      <c r="F13" s="7">
        <v>19803</v>
      </c>
      <c r="G13" s="7">
        <v>10310</v>
      </c>
      <c r="H13" s="15">
        <f t="shared" si="2"/>
        <v>0.34237704645834027</v>
      </c>
      <c r="I13" s="7">
        <v>39</v>
      </c>
      <c r="J13" s="7">
        <v>44</v>
      </c>
      <c r="K13" s="7">
        <v>5141710</v>
      </c>
      <c r="L13" s="9">
        <f t="shared" si="3"/>
        <v>5.8566119053777825</v>
      </c>
      <c r="M13" s="9">
        <f t="shared" si="4"/>
        <v>772.12820512820508</v>
      </c>
      <c r="N13" s="9">
        <f t="shared" si="5"/>
        <v>131838.71794871794</v>
      </c>
    </row>
    <row r="14" spans="1:14" x14ac:dyDescent="0.2">
      <c r="A14" s="6" t="s">
        <v>129</v>
      </c>
      <c r="B14" s="7">
        <v>2168</v>
      </c>
      <c r="C14" s="7">
        <v>2145</v>
      </c>
      <c r="D14" s="7">
        <f t="shared" si="0"/>
        <v>23</v>
      </c>
      <c r="E14" s="8">
        <f t="shared" si="1"/>
        <v>1.0722610722610723E-2</v>
      </c>
      <c r="F14" s="7">
        <v>1113</v>
      </c>
      <c r="G14" s="7">
        <v>1055</v>
      </c>
      <c r="H14" s="15">
        <f t="shared" si="2"/>
        <v>0.48662361623616235</v>
      </c>
      <c r="I14" s="7">
        <v>5</v>
      </c>
      <c r="J14" s="7">
        <v>5</v>
      </c>
      <c r="K14" s="7">
        <v>2135597</v>
      </c>
      <c r="L14" s="9">
        <f t="shared" si="3"/>
        <v>1.0151728064798742</v>
      </c>
      <c r="M14" s="9">
        <f t="shared" si="4"/>
        <v>433.6</v>
      </c>
      <c r="N14" s="9">
        <f t="shared" si="5"/>
        <v>427119.4</v>
      </c>
    </row>
    <row r="15" spans="1:14" x14ac:dyDescent="0.2">
      <c r="A15" s="6" t="s">
        <v>130</v>
      </c>
      <c r="B15" s="7">
        <v>13696</v>
      </c>
      <c r="C15" s="7">
        <v>13201</v>
      </c>
      <c r="D15" s="7">
        <f t="shared" si="0"/>
        <v>495</v>
      </c>
      <c r="E15" s="8">
        <f t="shared" si="1"/>
        <v>3.7497159306113172E-2</v>
      </c>
      <c r="F15" s="7">
        <v>9222</v>
      </c>
      <c r="G15" s="7">
        <v>4474</v>
      </c>
      <c r="H15" s="15">
        <f t="shared" si="2"/>
        <v>0.32666471962616822</v>
      </c>
      <c r="I15" s="7">
        <v>21</v>
      </c>
      <c r="J15" s="7">
        <v>28</v>
      </c>
      <c r="K15" s="7">
        <v>6142699</v>
      </c>
      <c r="L15" s="9">
        <f t="shared" si="3"/>
        <v>2.2296387955848074</v>
      </c>
      <c r="M15" s="9">
        <f t="shared" si="4"/>
        <v>652.19047619047615</v>
      </c>
      <c r="N15" s="9">
        <f t="shared" si="5"/>
        <v>292509.47619047621</v>
      </c>
    </row>
    <row r="16" spans="1:14" x14ac:dyDescent="0.2">
      <c r="A16" s="6" t="s">
        <v>131</v>
      </c>
      <c r="B16" s="7">
        <v>54471</v>
      </c>
      <c r="C16" s="7">
        <v>53822</v>
      </c>
      <c r="D16" s="7">
        <f t="shared" si="0"/>
        <v>649</v>
      </c>
      <c r="E16" s="8">
        <f t="shared" si="1"/>
        <v>1.2058266136524097E-2</v>
      </c>
      <c r="F16" s="7">
        <v>35144</v>
      </c>
      <c r="G16" s="7">
        <v>19327</v>
      </c>
      <c r="H16" s="15">
        <f t="shared" si="2"/>
        <v>0.35481265260413797</v>
      </c>
      <c r="I16" s="7">
        <v>53</v>
      </c>
      <c r="J16" s="7">
        <v>62</v>
      </c>
      <c r="K16" s="7">
        <v>2959517</v>
      </c>
      <c r="L16" s="9">
        <f t="shared" si="3"/>
        <v>18.405368173252594</v>
      </c>
      <c r="M16" s="9">
        <f t="shared" si="4"/>
        <v>1027.7547169811321</v>
      </c>
      <c r="N16" s="9">
        <f t="shared" si="5"/>
        <v>55839.943396226416</v>
      </c>
    </row>
    <row r="17" spans="1:14" x14ac:dyDescent="0.2">
      <c r="A17" s="6" t="s">
        <v>132</v>
      </c>
      <c r="B17" s="7">
        <v>32698</v>
      </c>
      <c r="C17" s="7">
        <v>25637</v>
      </c>
      <c r="D17" s="7">
        <f t="shared" si="0"/>
        <v>7061</v>
      </c>
      <c r="E17" s="8">
        <f t="shared" si="1"/>
        <v>0.27542224129188281</v>
      </c>
      <c r="F17" s="7">
        <v>23337</v>
      </c>
      <c r="G17" s="7">
        <v>9361</v>
      </c>
      <c r="H17" s="15">
        <f t="shared" si="2"/>
        <v>0.28628662303504804</v>
      </c>
      <c r="I17" s="7">
        <v>0</v>
      </c>
      <c r="J17" s="7">
        <v>1</v>
      </c>
      <c r="K17" s="7" t="s">
        <v>133</v>
      </c>
      <c r="L17" s="9" t="s">
        <v>133</v>
      </c>
      <c r="M17" s="9" t="str">
        <f t="shared" si="4"/>
        <v/>
      </c>
      <c r="N17" s="9" t="s">
        <v>133</v>
      </c>
    </row>
    <row r="18" spans="1:14" x14ac:dyDescent="0.2">
      <c r="A18" s="12" t="s">
        <v>92</v>
      </c>
      <c r="B18" s="13">
        <f>SUM(B5:B17)</f>
        <v>695617</v>
      </c>
      <c r="C18" s="13">
        <f>SUM(C5:C17)</f>
        <v>682942</v>
      </c>
      <c r="D18" s="13">
        <f>SUM(D5:D17)</f>
        <v>12675</v>
      </c>
      <c r="E18" s="16">
        <f>D18/C18</f>
        <v>1.8559409144554003E-2</v>
      </c>
      <c r="F18" s="13">
        <f>SUM(F5:F17)</f>
        <v>454062</v>
      </c>
      <c r="G18" s="13">
        <f>SUM(G5:G17)</f>
        <v>241555</v>
      </c>
      <c r="H18" s="17">
        <f t="shared" si="2"/>
        <v>0.34725287047326331</v>
      </c>
      <c r="I18" s="13">
        <f>SUM(I5:I17)</f>
        <v>721</v>
      </c>
      <c r="J18" s="13">
        <f>SUM(J5:J17)</f>
        <v>823</v>
      </c>
      <c r="K18" s="7"/>
      <c r="L18" s="9"/>
      <c r="M18" s="9"/>
      <c r="N18" s="9"/>
    </row>
    <row r="20" spans="1:14" x14ac:dyDescent="0.2">
      <c r="A20" s="2" t="s">
        <v>134</v>
      </c>
    </row>
    <row r="22" spans="1:14" x14ac:dyDescent="0.2">
      <c r="A22" s="18" t="s">
        <v>135</v>
      </c>
    </row>
    <row r="23" spans="1:14" ht="30" customHeight="1" x14ac:dyDescent="0.2">
      <c r="A23" s="5" t="s">
        <v>110</v>
      </c>
      <c r="B23" s="5" t="s">
        <v>136</v>
      </c>
      <c r="C23" s="5" t="s">
        <v>137</v>
      </c>
      <c r="D23" s="5" t="s">
        <v>138</v>
      </c>
      <c r="E23" s="5" t="s">
        <v>92</v>
      </c>
    </row>
    <row r="24" spans="1:14" x14ac:dyDescent="0.2">
      <c r="A24" s="6" t="s">
        <v>120</v>
      </c>
      <c r="B24" s="6">
        <v>18</v>
      </c>
      <c r="C24" s="6">
        <v>52</v>
      </c>
      <c r="D24" s="6">
        <v>19</v>
      </c>
      <c r="E24" s="6">
        <v>89</v>
      </c>
    </row>
    <row r="25" spans="1:14" x14ac:dyDescent="0.2">
      <c r="A25" s="6" t="s">
        <v>121</v>
      </c>
      <c r="B25" s="6">
        <v>43</v>
      </c>
      <c r="C25" s="6">
        <v>107</v>
      </c>
      <c r="D25" s="6">
        <v>21</v>
      </c>
      <c r="E25" s="6">
        <v>171</v>
      </c>
    </row>
    <row r="26" spans="1:14" x14ac:dyDescent="0.2">
      <c r="A26" s="6" t="s">
        <v>122</v>
      </c>
      <c r="B26" s="6">
        <v>4</v>
      </c>
      <c r="C26" s="6">
        <v>2</v>
      </c>
      <c r="D26" s="6">
        <v>13</v>
      </c>
      <c r="E26" s="6">
        <v>19</v>
      </c>
    </row>
    <row r="27" spans="1:14" x14ac:dyDescent="0.2">
      <c r="A27" s="6" t="s">
        <v>123</v>
      </c>
      <c r="B27" s="6">
        <v>3</v>
      </c>
      <c r="C27" s="6">
        <v>11</v>
      </c>
      <c r="D27" s="6">
        <v>5</v>
      </c>
      <c r="E27" s="6">
        <v>19</v>
      </c>
    </row>
    <row r="28" spans="1:14" x14ac:dyDescent="0.2">
      <c r="A28" s="6" t="s">
        <v>124</v>
      </c>
      <c r="B28" s="6">
        <v>10</v>
      </c>
      <c r="C28" s="6">
        <v>30</v>
      </c>
      <c r="D28" s="6">
        <v>13</v>
      </c>
      <c r="E28" s="6">
        <v>53</v>
      </c>
    </row>
    <row r="29" spans="1:14" x14ac:dyDescent="0.2">
      <c r="A29" s="6" t="s">
        <v>125</v>
      </c>
      <c r="B29" s="6">
        <v>4</v>
      </c>
      <c r="C29" s="6">
        <v>6</v>
      </c>
      <c r="D29" s="6">
        <v>7</v>
      </c>
      <c r="E29" s="6">
        <v>17</v>
      </c>
    </row>
    <row r="30" spans="1:14" x14ac:dyDescent="0.2">
      <c r="A30" s="6" t="s">
        <v>126</v>
      </c>
      <c r="B30" s="6">
        <v>11</v>
      </c>
      <c r="C30" s="6">
        <v>53</v>
      </c>
      <c r="D30" s="6">
        <v>14</v>
      </c>
      <c r="E30" s="6">
        <v>78</v>
      </c>
    </row>
    <row r="31" spans="1:14" x14ac:dyDescent="0.2">
      <c r="A31" s="6" t="s">
        <v>127</v>
      </c>
      <c r="B31" s="6">
        <v>28</v>
      </c>
      <c r="C31" s="6">
        <v>104</v>
      </c>
      <c r="D31" s="6">
        <v>25</v>
      </c>
      <c r="E31" s="6">
        <v>157</v>
      </c>
    </row>
    <row r="32" spans="1:14" x14ac:dyDescent="0.2">
      <c r="A32" s="6" t="s">
        <v>128</v>
      </c>
      <c r="B32" s="6">
        <v>5</v>
      </c>
      <c r="C32" s="6">
        <v>27</v>
      </c>
      <c r="D32" s="6">
        <v>7</v>
      </c>
      <c r="E32" s="6">
        <v>39</v>
      </c>
    </row>
    <row r="33" spans="1:5" x14ac:dyDescent="0.2">
      <c r="A33" s="6" t="s">
        <v>129</v>
      </c>
      <c r="B33" s="6">
        <v>3</v>
      </c>
      <c r="C33" s="6">
        <v>2</v>
      </c>
      <c r="D33" s="6">
        <v>0</v>
      </c>
      <c r="E33" s="6">
        <v>5</v>
      </c>
    </row>
    <row r="34" spans="1:5" x14ac:dyDescent="0.2">
      <c r="A34" s="6" t="s">
        <v>130</v>
      </c>
      <c r="B34" s="6">
        <v>7</v>
      </c>
      <c r="C34" s="6">
        <v>12</v>
      </c>
      <c r="D34" s="6">
        <v>2</v>
      </c>
      <c r="E34" s="6">
        <v>21</v>
      </c>
    </row>
    <row r="35" spans="1:5" x14ac:dyDescent="0.2">
      <c r="A35" s="6" t="s">
        <v>131</v>
      </c>
      <c r="B35" s="6">
        <v>7</v>
      </c>
      <c r="C35" s="6">
        <v>31</v>
      </c>
      <c r="D35" s="6">
        <v>15</v>
      </c>
      <c r="E35" s="6">
        <v>53</v>
      </c>
    </row>
    <row r="36" spans="1:5" x14ac:dyDescent="0.2">
      <c r="A36" s="12" t="s">
        <v>92</v>
      </c>
      <c r="B36" s="12">
        <f>SUM(B24:B35)</f>
        <v>143</v>
      </c>
      <c r="C36" s="12">
        <f>SUM(C24:C35)</f>
        <v>437</v>
      </c>
      <c r="D36" s="12">
        <f>SUM(D24:D35)</f>
        <v>141</v>
      </c>
      <c r="E36" s="12">
        <f>SUM(E24:E35)</f>
        <v>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90"/>
  <sheetViews>
    <sheetView workbookViewId="0"/>
  </sheetViews>
  <sheetFormatPr baseColWidth="10" defaultColWidth="8.83203125" defaultRowHeight="15" x14ac:dyDescent="0.2"/>
  <cols>
    <col min="1" max="1" width="8" customWidth="1"/>
    <col min="2" max="2" width="30" customWidth="1"/>
    <col min="3" max="3" width="16" customWidth="1"/>
    <col min="4" max="4" width="12" customWidth="1"/>
    <col min="5" max="5" width="14" customWidth="1"/>
  </cols>
  <sheetData>
    <row r="1" spans="1:5" ht="19" x14ac:dyDescent="0.25">
      <c r="A1" s="1" t="s">
        <v>139</v>
      </c>
    </row>
    <row r="2" spans="1:5" x14ac:dyDescent="0.2">
      <c r="A2" s="2" t="s">
        <v>140</v>
      </c>
    </row>
    <row r="4" spans="1:5" ht="30" customHeight="1" x14ac:dyDescent="0.2">
      <c r="A4" s="5" t="s">
        <v>79</v>
      </c>
      <c r="B4" s="5" t="s">
        <v>110</v>
      </c>
      <c r="C4" s="5" t="s">
        <v>89</v>
      </c>
      <c r="D4" s="5" t="s">
        <v>106</v>
      </c>
      <c r="E4" s="5" t="s">
        <v>80</v>
      </c>
    </row>
    <row r="5" spans="1:5" x14ac:dyDescent="0.2">
      <c r="A5">
        <v>2022</v>
      </c>
      <c r="B5" t="s">
        <v>120</v>
      </c>
      <c r="C5" t="s">
        <v>93</v>
      </c>
      <c r="D5">
        <v>1</v>
      </c>
      <c r="E5" s="14">
        <v>331</v>
      </c>
    </row>
    <row r="6" spans="1:5" x14ac:dyDescent="0.2">
      <c r="A6">
        <v>2022</v>
      </c>
      <c r="B6" t="s">
        <v>120</v>
      </c>
      <c r="C6" t="s">
        <v>94</v>
      </c>
      <c r="D6">
        <v>2</v>
      </c>
      <c r="E6" s="14">
        <v>3370</v>
      </c>
    </row>
    <row r="7" spans="1:5" x14ac:dyDescent="0.2">
      <c r="A7">
        <v>2022</v>
      </c>
      <c r="B7" t="s">
        <v>120</v>
      </c>
      <c r="C7" t="s">
        <v>95</v>
      </c>
      <c r="D7">
        <v>3</v>
      </c>
      <c r="E7" s="14">
        <v>2595</v>
      </c>
    </row>
    <row r="8" spans="1:5" x14ac:dyDescent="0.2">
      <c r="A8">
        <v>2022</v>
      </c>
      <c r="B8" t="s">
        <v>120</v>
      </c>
      <c r="C8" t="s">
        <v>96</v>
      </c>
      <c r="D8">
        <v>4</v>
      </c>
      <c r="E8" s="14">
        <v>1114</v>
      </c>
    </row>
    <row r="9" spans="1:5" x14ac:dyDescent="0.2">
      <c r="A9">
        <v>2022</v>
      </c>
      <c r="B9" t="s">
        <v>120</v>
      </c>
      <c r="C9" t="s">
        <v>97</v>
      </c>
      <c r="D9">
        <v>5</v>
      </c>
      <c r="E9" s="14">
        <v>3420</v>
      </c>
    </row>
    <row r="10" spans="1:5" x14ac:dyDescent="0.2">
      <c r="A10">
        <v>2022</v>
      </c>
      <c r="B10" t="s">
        <v>120</v>
      </c>
      <c r="C10" t="s">
        <v>98</v>
      </c>
      <c r="D10">
        <v>6</v>
      </c>
      <c r="E10" s="14">
        <v>4252</v>
      </c>
    </row>
    <row r="11" spans="1:5" x14ac:dyDescent="0.2">
      <c r="A11">
        <v>2022</v>
      </c>
      <c r="B11" t="s">
        <v>120</v>
      </c>
      <c r="C11" t="s">
        <v>99</v>
      </c>
      <c r="D11">
        <v>7</v>
      </c>
      <c r="E11" s="14">
        <v>2336</v>
      </c>
    </row>
    <row r="12" spans="1:5" x14ac:dyDescent="0.2">
      <c r="A12">
        <v>2022</v>
      </c>
      <c r="B12" t="s">
        <v>120</v>
      </c>
      <c r="C12" t="s">
        <v>100</v>
      </c>
      <c r="D12">
        <v>8</v>
      </c>
      <c r="E12" s="14">
        <v>7223</v>
      </c>
    </row>
    <row r="13" spans="1:5" x14ac:dyDescent="0.2">
      <c r="A13">
        <v>2022</v>
      </c>
      <c r="B13" t="s">
        <v>120</v>
      </c>
      <c r="C13" t="s">
        <v>101</v>
      </c>
      <c r="D13">
        <v>9</v>
      </c>
      <c r="E13" s="14">
        <v>7684</v>
      </c>
    </row>
    <row r="14" spans="1:5" x14ac:dyDescent="0.2">
      <c r="A14">
        <v>2022</v>
      </c>
      <c r="B14" t="s">
        <v>120</v>
      </c>
      <c r="C14" t="s">
        <v>102</v>
      </c>
      <c r="D14">
        <v>10</v>
      </c>
      <c r="E14" s="14">
        <v>9784</v>
      </c>
    </row>
    <row r="15" spans="1:5" x14ac:dyDescent="0.2">
      <c r="A15">
        <v>2022</v>
      </c>
      <c r="B15" t="s">
        <v>120</v>
      </c>
      <c r="C15" t="s">
        <v>103</v>
      </c>
      <c r="D15">
        <v>11</v>
      </c>
      <c r="E15" s="14">
        <v>35676</v>
      </c>
    </row>
    <row r="16" spans="1:5" x14ac:dyDescent="0.2">
      <c r="A16">
        <v>2022</v>
      </c>
      <c r="B16" t="s">
        <v>121</v>
      </c>
      <c r="C16" t="s">
        <v>93</v>
      </c>
      <c r="D16">
        <v>1</v>
      </c>
      <c r="E16" s="14">
        <v>616</v>
      </c>
    </row>
    <row r="17" spans="1:5" x14ac:dyDescent="0.2">
      <c r="A17">
        <v>2022</v>
      </c>
      <c r="B17" t="s">
        <v>121</v>
      </c>
      <c r="C17" t="s">
        <v>94</v>
      </c>
      <c r="D17">
        <v>2</v>
      </c>
      <c r="E17" s="14">
        <v>5433</v>
      </c>
    </row>
    <row r="18" spans="1:5" x14ac:dyDescent="0.2">
      <c r="A18">
        <v>2022</v>
      </c>
      <c r="B18" t="s">
        <v>121</v>
      </c>
      <c r="C18" t="s">
        <v>95</v>
      </c>
      <c r="D18">
        <v>3</v>
      </c>
      <c r="E18" s="14">
        <v>3730</v>
      </c>
    </row>
    <row r="19" spans="1:5" x14ac:dyDescent="0.2">
      <c r="A19">
        <v>2022</v>
      </c>
      <c r="B19" t="s">
        <v>121</v>
      </c>
      <c r="C19" t="s">
        <v>96</v>
      </c>
      <c r="D19">
        <v>4</v>
      </c>
      <c r="E19" s="14">
        <v>1686</v>
      </c>
    </row>
    <row r="20" spans="1:5" x14ac:dyDescent="0.2">
      <c r="A20">
        <v>2022</v>
      </c>
      <c r="B20" t="s">
        <v>121</v>
      </c>
      <c r="C20" t="s">
        <v>97</v>
      </c>
      <c r="D20">
        <v>5</v>
      </c>
      <c r="E20" s="14">
        <v>5696</v>
      </c>
    </row>
    <row r="21" spans="1:5" x14ac:dyDescent="0.2">
      <c r="A21">
        <v>2022</v>
      </c>
      <c r="B21" t="s">
        <v>121</v>
      </c>
      <c r="C21" t="s">
        <v>98</v>
      </c>
      <c r="D21">
        <v>6</v>
      </c>
      <c r="E21" s="14">
        <v>9902</v>
      </c>
    </row>
    <row r="22" spans="1:5" x14ac:dyDescent="0.2">
      <c r="A22">
        <v>2022</v>
      </c>
      <c r="B22" t="s">
        <v>121</v>
      </c>
      <c r="C22" t="s">
        <v>99</v>
      </c>
      <c r="D22">
        <v>7</v>
      </c>
      <c r="E22" s="14">
        <v>5574</v>
      </c>
    </row>
    <row r="23" spans="1:5" x14ac:dyDescent="0.2">
      <c r="A23">
        <v>2022</v>
      </c>
      <c r="B23" t="s">
        <v>121</v>
      </c>
      <c r="C23" t="s">
        <v>100</v>
      </c>
      <c r="D23">
        <v>8</v>
      </c>
      <c r="E23" s="14">
        <v>16632</v>
      </c>
    </row>
    <row r="24" spans="1:5" x14ac:dyDescent="0.2">
      <c r="A24">
        <v>2022</v>
      </c>
      <c r="B24" t="s">
        <v>121</v>
      </c>
      <c r="C24" t="s">
        <v>101</v>
      </c>
      <c r="D24">
        <v>9</v>
      </c>
      <c r="E24" s="14">
        <v>16031</v>
      </c>
    </row>
    <row r="25" spans="1:5" x14ac:dyDescent="0.2">
      <c r="A25">
        <v>2022</v>
      </c>
      <c r="B25" t="s">
        <v>121</v>
      </c>
      <c r="C25" t="s">
        <v>102</v>
      </c>
      <c r="D25">
        <v>10</v>
      </c>
      <c r="E25" s="14">
        <v>18881</v>
      </c>
    </row>
    <row r="26" spans="1:5" x14ac:dyDescent="0.2">
      <c r="A26">
        <v>2022</v>
      </c>
      <c r="B26" t="s">
        <v>121</v>
      </c>
      <c r="C26" t="s">
        <v>103</v>
      </c>
      <c r="D26">
        <v>11</v>
      </c>
      <c r="E26" s="14">
        <v>59645</v>
      </c>
    </row>
    <row r="27" spans="1:5" x14ac:dyDescent="0.2">
      <c r="A27">
        <v>2022</v>
      </c>
      <c r="B27" t="s">
        <v>122</v>
      </c>
      <c r="C27" t="s">
        <v>93</v>
      </c>
      <c r="D27">
        <v>1</v>
      </c>
      <c r="E27" s="14">
        <v>66</v>
      </c>
    </row>
    <row r="28" spans="1:5" x14ac:dyDescent="0.2">
      <c r="A28">
        <v>2022</v>
      </c>
      <c r="B28" t="s">
        <v>122</v>
      </c>
      <c r="C28" t="s">
        <v>94</v>
      </c>
      <c r="D28">
        <v>2</v>
      </c>
      <c r="E28" s="14">
        <v>1020</v>
      </c>
    </row>
    <row r="29" spans="1:5" x14ac:dyDescent="0.2">
      <c r="A29">
        <v>2022</v>
      </c>
      <c r="B29" t="s">
        <v>122</v>
      </c>
      <c r="C29" t="s">
        <v>95</v>
      </c>
      <c r="D29">
        <v>3</v>
      </c>
      <c r="E29" s="14">
        <v>801</v>
      </c>
    </row>
    <row r="30" spans="1:5" x14ac:dyDescent="0.2">
      <c r="A30">
        <v>2022</v>
      </c>
      <c r="B30" t="s">
        <v>122</v>
      </c>
      <c r="C30" t="s">
        <v>96</v>
      </c>
      <c r="D30">
        <v>4</v>
      </c>
      <c r="E30" s="14">
        <v>289</v>
      </c>
    </row>
    <row r="31" spans="1:5" x14ac:dyDescent="0.2">
      <c r="A31">
        <v>2022</v>
      </c>
      <c r="B31" t="s">
        <v>122</v>
      </c>
      <c r="C31" t="s">
        <v>97</v>
      </c>
      <c r="D31">
        <v>5</v>
      </c>
      <c r="E31" s="14">
        <v>901</v>
      </c>
    </row>
    <row r="32" spans="1:5" x14ac:dyDescent="0.2">
      <c r="A32">
        <v>2022</v>
      </c>
      <c r="B32" t="s">
        <v>122</v>
      </c>
      <c r="C32" t="s">
        <v>98</v>
      </c>
      <c r="D32">
        <v>6</v>
      </c>
      <c r="E32" s="14">
        <v>1721</v>
      </c>
    </row>
    <row r="33" spans="1:5" x14ac:dyDescent="0.2">
      <c r="A33">
        <v>2022</v>
      </c>
      <c r="B33" t="s">
        <v>122</v>
      </c>
      <c r="C33" t="s">
        <v>99</v>
      </c>
      <c r="D33">
        <v>7</v>
      </c>
      <c r="E33" s="14">
        <v>1153</v>
      </c>
    </row>
    <row r="34" spans="1:5" x14ac:dyDescent="0.2">
      <c r="A34">
        <v>2022</v>
      </c>
      <c r="B34" t="s">
        <v>122</v>
      </c>
      <c r="C34" t="s">
        <v>100</v>
      </c>
      <c r="D34">
        <v>8</v>
      </c>
      <c r="E34" s="14">
        <v>3645</v>
      </c>
    </row>
    <row r="35" spans="1:5" x14ac:dyDescent="0.2">
      <c r="A35">
        <v>2022</v>
      </c>
      <c r="B35" t="s">
        <v>122</v>
      </c>
      <c r="C35" t="s">
        <v>101</v>
      </c>
      <c r="D35">
        <v>9</v>
      </c>
      <c r="E35" s="14">
        <v>3510</v>
      </c>
    </row>
    <row r="36" spans="1:5" x14ac:dyDescent="0.2">
      <c r="A36">
        <v>2022</v>
      </c>
      <c r="B36" t="s">
        <v>122</v>
      </c>
      <c r="C36" t="s">
        <v>102</v>
      </c>
      <c r="D36">
        <v>10</v>
      </c>
      <c r="E36" s="14">
        <v>3999</v>
      </c>
    </row>
    <row r="37" spans="1:5" x14ac:dyDescent="0.2">
      <c r="A37">
        <v>2022</v>
      </c>
      <c r="B37" t="s">
        <v>122</v>
      </c>
      <c r="C37" t="s">
        <v>103</v>
      </c>
      <c r="D37">
        <v>11</v>
      </c>
      <c r="E37" s="14">
        <v>10386</v>
      </c>
    </row>
    <row r="38" spans="1:5" x14ac:dyDescent="0.2">
      <c r="A38">
        <v>2022</v>
      </c>
      <c r="B38" t="s">
        <v>123</v>
      </c>
      <c r="C38" t="s">
        <v>93</v>
      </c>
      <c r="D38">
        <v>1</v>
      </c>
      <c r="E38" s="14">
        <v>70</v>
      </c>
    </row>
    <row r="39" spans="1:5" x14ac:dyDescent="0.2">
      <c r="A39">
        <v>2022</v>
      </c>
      <c r="B39" t="s">
        <v>123</v>
      </c>
      <c r="C39" t="s">
        <v>94</v>
      </c>
      <c r="D39">
        <v>2</v>
      </c>
      <c r="E39" s="14">
        <v>1138</v>
      </c>
    </row>
    <row r="40" spans="1:5" x14ac:dyDescent="0.2">
      <c r="A40">
        <v>2022</v>
      </c>
      <c r="B40" t="s">
        <v>123</v>
      </c>
      <c r="C40" t="s">
        <v>95</v>
      </c>
      <c r="D40">
        <v>3</v>
      </c>
      <c r="E40" s="14">
        <v>1020</v>
      </c>
    </row>
    <row r="41" spans="1:5" x14ac:dyDescent="0.2">
      <c r="A41">
        <v>2022</v>
      </c>
      <c r="B41" t="s">
        <v>123</v>
      </c>
      <c r="C41" t="s">
        <v>96</v>
      </c>
      <c r="D41">
        <v>4</v>
      </c>
      <c r="E41" s="14">
        <v>453</v>
      </c>
    </row>
    <row r="42" spans="1:5" x14ac:dyDescent="0.2">
      <c r="A42">
        <v>2022</v>
      </c>
      <c r="B42" t="s">
        <v>123</v>
      </c>
      <c r="C42" t="s">
        <v>97</v>
      </c>
      <c r="D42">
        <v>5</v>
      </c>
      <c r="E42" s="14">
        <v>1069</v>
      </c>
    </row>
    <row r="43" spans="1:5" x14ac:dyDescent="0.2">
      <c r="A43">
        <v>2022</v>
      </c>
      <c r="B43" t="s">
        <v>123</v>
      </c>
      <c r="C43" t="s">
        <v>98</v>
      </c>
      <c r="D43">
        <v>6</v>
      </c>
      <c r="E43" s="14">
        <v>1210</v>
      </c>
    </row>
    <row r="44" spans="1:5" x14ac:dyDescent="0.2">
      <c r="A44">
        <v>2022</v>
      </c>
      <c r="B44" t="s">
        <v>123</v>
      </c>
      <c r="C44" t="s">
        <v>99</v>
      </c>
      <c r="D44">
        <v>7</v>
      </c>
      <c r="E44" s="14">
        <v>571</v>
      </c>
    </row>
    <row r="45" spans="1:5" x14ac:dyDescent="0.2">
      <c r="A45">
        <v>2022</v>
      </c>
      <c r="B45" t="s">
        <v>123</v>
      </c>
      <c r="C45" t="s">
        <v>100</v>
      </c>
      <c r="D45">
        <v>8</v>
      </c>
      <c r="E45" s="14">
        <v>2110</v>
      </c>
    </row>
    <row r="46" spans="1:5" x14ac:dyDescent="0.2">
      <c r="A46">
        <v>2022</v>
      </c>
      <c r="B46" t="s">
        <v>123</v>
      </c>
      <c r="C46" t="s">
        <v>101</v>
      </c>
      <c r="D46">
        <v>9</v>
      </c>
      <c r="E46" s="14">
        <v>2364</v>
      </c>
    </row>
    <row r="47" spans="1:5" x14ac:dyDescent="0.2">
      <c r="A47">
        <v>2022</v>
      </c>
      <c r="B47" t="s">
        <v>123</v>
      </c>
      <c r="C47" t="s">
        <v>102</v>
      </c>
      <c r="D47">
        <v>10</v>
      </c>
      <c r="E47" s="14">
        <v>2638</v>
      </c>
    </row>
    <row r="48" spans="1:5" x14ac:dyDescent="0.2">
      <c r="A48">
        <v>2022</v>
      </c>
      <c r="B48" t="s">
        <v>123</v>
      </c>
      <c r="C48" t="s">
        <v>103</v>
      </c>
      <c r="D48">
        <v>11</v>
      </c>
      <c r="E48" s="14">
        <v>9229</v>
      </c>
    </row>
    <row r="49" spans="1:5" x14ac:dyDescent="0.2">
      <c r="A49">
        <v>2022</v>
      </c>
      <c r="B49" t="s">
        <v>124</v>
      </c>
      <c r="C49" t="s">
        <v>93</v>
      </c>
      <c r="D49">
        <v>1</v>
      </c>
      <c r="E49" s="14">
        <v>169</v>
      </c>
    </row>
    <row r="50" spans="1:5" x14ac:dyDescent="0.2">
      <c r="A50">
        <v>2022</v>
      </c>
      <c r="B50" t="s">
        <v>124</v>
      </c>
      <c r="C50" t="s">
        <v>94</v>
      </c>
      <c r="D50">
        <v>2</v>
      </c>
      <c r="E50" s="14">
        <v>2216</v>
      </c>
    </row>
    <row r="51" spans="1:5" x14ac:dyDescent="0.2">
      <c r="A51">
        <v>2022</v>
      </c>
      <c r="B51" t="s">
        <v>124</v>
      </c>
      <c r="C51" t="s">
        <v>95</v>
      </c>
      <c r="D51">
        <v>3</v>
      </c>
      <c r="E51" s="14">
        <v>1548</v>
      </c>
    </row>
    <row r="52" spans="1:5" x14ac:dyDescent="0.2">
      <c r="A52">
        <v>2022</v>
      </c>
      <c r="B52" t="s">
        <v>124</v>
      </c>
      <c r="C52" t="s">
        <v>96</v>
      </c>
      <c r="D52">
        <v>4</v>
      </c>
      <c r="E52" s="14">
        <v>631</v>
      </c>
    </row>
    <row r="53" spans="1:5" x14ac:dyDescent="0.2">
      <c r="A53">
        <v>2022</v>
      </c>
      <c r="B53" t="s">
        <v>124</v>
      </c>
      <c r="C53" t="s">
        <v>97</v>
      </c>
      <c r="D53">
        <v>5</v>
      </c>
      <c r="E53" s="14">
        <v>1851</v>
      </c>
    </row>
    <row r="54" spans="1:5" x14ac:dyDescent="0.2">
      <c r="A54">
        <v>2022</v>
      </c>
      <c r="B54" t="s">
        <v>124</v>
      </c>
      <c r="C54" t="s">
        <v>98</v>
      </c>
      <c r="D54">
        <v>6</v>
      </c>
      <c r="E54" s="14">
        <v>2564</v>
      </c>
    </row>
    <row r="55" spans="1:5" x14ac:dyDescent="0.2">
      <c r="A55">
        <v>2022</v>
      </c>
      <c r="B55" t="s">
        <v>124</v>
      </c>
      <c r="C55" t="s">
        <v>99</v>
      </c>
      <c r="D55">
        <v>7</v>
      </c>
      <c r="E55" s="14">
        <v>1636</v>
      </c>
    </row>
    <row r="56" spans="1:5" x14ac:dyDescent="0.2">
      <c r="A56">
        <v>2022</v>
      </c>
      <c r="B56" t="s">
        <v>124</v>
      </c>
      <c r="C56" t="s">
        <v>100</v>
      </c>
      <c r="D56">
        <v>8</v>
      </c>
      <c r="E56" s="14">
        <v>5457</v>
      </c>
    </row>
    <row r="57" spans="1:5" x14ac:dyDescent="0.2">
      <c r="A57">
        <v>2022</v>
      </c>
      <c r="B57" t="s">
        <v>124</v>
      </c>
      <c r="C57" t="s">
        <v>101</v>
      </c>
      <c r="D57">
        <v>9</v>
      </c>
      <c r="E57" s="14">
        <v>5527</v>
      </c>
    </row>
    <row r="58" spans="1:5" x14ac:dyDescent="0.2">
      <c r="A58">
        <v>2022</v>
      </c>
      <c r="B58" t="s">
        <v>124</v>
      </c>
      <c r="C58" t="s">
        <v>102</v>
      </c>
      <c r="D58">
        <v>10</v>
      </c>
      <c r="E58" s="14">
        <v>6547</v>
      </c>
    </row>
    <row r="59" spans="1:5" x14ac:dyDescent="0.2">
      <c r="A59">
        <v>2022</v>
      </c>
      <c r="B59" t="s">
        <v>124</v>
      </c>
      <c r="C59" t="s">
        <v>103</v>
      </c>
      <c r="D59">
        <v>11</v>
      </c>
      <c r="E59" s="14">
        <v>22774</v>
      </c>
    </row>
    <row r="60" spans="1:5" x14ac:dyDescent="0.2">
      <c r="A60">
        <v>2022</v>
      </c>
      <c r="B60" t="s">
        <v>125</v>
      </c>
      <c r="C60" t="s">
        <v>93</v>
      </c>
      <c r="D60">
        <v>1</v>
      </c>
      <c r="E60" s="14">
        <v>19</v>
      </c>
    </row>
    <row r="61" spans="1:5" x14ac:dyDescent="0.2">
      <c r="A61">
        <v>2022</v>
      </c>
      <c r="B61" t="s">
        <v>125</v>
      </c>
      <c r="C61" t="s">
        <v>94</v>
      </c>
      <c r="D61">
        <v>2</v>
      </c>
      <c r="E61" s="14">
        <v>222</v>
      </c>
    </row>
    <row r="62" spans="1:5" x14ac:dyDescent="0.2">
      <c r="A62">
        <v>2022</v>
      </c>
      <c r="B62" t="s">
        <v>125</v>
      </c>
      <c r="C62" t="s">
        <v>95</v>
      </c>
      <c r="D62">
        <v>3</v>
      </c>
      <c r="E62" s="14">
        <v>326</v>
      </c>
    </row>
    <row r="63" spans="1:5" x14ac:dyDescent="0.2">
      <c r="A63">
        <v>2022</v>
      </c>
      <c r="B63" t="s">
        <v>125</v>
      </c>
      <c r="C63" t="s">
        <v>96</v>
      </c>
      <c r="D63">
        <v>4</v>
      </c>
      <c r="E63" s="14">
        <v>146</v>
      </c>
    </row>
    <row r="64" spans="1:5" x14ac:dyDescent="0.2">
      <c r="A64">
        <v>2022</v>
      </c>
      <c r="B64" t="s">
        <v>125</v>
      </c>
      <c r="C64" t="s">
        <v>97</v>
      </c>
      <c r="D64">
        <v>5</v>
      </c>
      <c r="E64" s="14">
        <v>418</v>
      </c>
    </row>
    <row r="65" spans="1:5" x14ac:dyDescent="0.2">
      <c r="A65">
        <v>2022</v>
      </c>
      <c r="B65" t="s">
        <v>125</v>
      </c>
      <c r="C65" t="s">
        <v>98</v>
      </c>
      <c r="D65">
        <v>6</v>
      </c>
      <c r="E65" s="14">
        <v>1050</v>
      </c>
    </row>
    <row r="66" spans="1:5" x14ac:dyDescent="0.2">
      <c r="A66">
        <v>2022</v>
      </c>
      <c r="B66" t="s">
        <v>125</v>
      </c>
      <c r="C66" t="s">
        <v>99</v>
      </c>
      <c r="D66">
        <v>7</v>
      </c>
      <c r="E66" s="14">
        <v>977</v>
      </c>
    </row>
    <row r="67" spans="1:5" x14ac:dyDescent="0.2">
      <c r="A67">
        <v>2022</v>
      </c>
      <c r="B67" t="s">
        <v>125</v>
      </c>
      <c r="C67" t="s">
        <v>100</v>
      </c>
      <c r="D67">
        <v>8</v>
      </c>
      <c r="E67" s="14">
        <v>3187</v>
      </c>
    </row>
    <row r="68" spans="1:5" x14ac:dyDescent="0.2">
      <c r="A68">
        <v>2022</v>
      </c>
      <c r="B68" t="s">
        <v>125</v>
      </c>
      <c r="C68" t="s">
        <v>101</v>
      </c>
      <c r="D68">
        <v>9</v>
      </c>
      <c r="E68" s="14">
        <v>2835</v>
      </c>
    </row>
    <row r="69" spans="1:5" x14ac:dyDescent="0.2">
      <c r="A69">
        <v>2022</v>
      </c>
      <c r="B69" t="s">
        <v>125</v>
      </c>
      <c r="C69" t="s">
        <v>102</v>
      </c>
      <c r="D69">
        <v>10</v>
      </c>
      <c r="E69" s="14">
        <v>3022</v>
      </c>
    </row>
    <row r="70" spans="1:5" x14ac:dyDescent="0.2">
      <c r="A70">
        <v>2022</v>
      </c>
      <c r="B70" t="s">
        <v>125</v>
      </c>
      <c r="C70" t="s">
        <v>103</v>
      </c>
      <c r="D70">
        <v>11</v>
      </c>
      <c r="E70" s="14">
        <v>6217</v>
      </c>
    </row>
    <row r="71" spans="1:5" x14ac:dyDescent="0.2">
      <c r="A71">
        <v>2022</v>
      </c>
      <c r="B71" t="s">
        <v>126</v>
      </c>
      <c r="C71" t="s">
        <v>93</v>
      </c>
      <c r="D71">
        <v>1</v>
      </c>
      <c r="E71" s="14">
        <v>171</v>
      </c>
    </row>
    <row r="72" spans="1:5" x14ac:dyDescent="0.2">
      <c r="A72">
        <v>2022</v>
      </c>
      <c r="B72" t="s">
        <v>126</v>
      </c>
      <c r="C72" t="s">
        <v>94</v>
      </c>
      <c r="D72">
        <v>2</v>
      </c>
      <c r="E72" s="14">
        <v>2287</v>
      </c>
    </row>
    <row r="73" spans="1:5" x14ac:dyDescent="0.2">
      <c r="A73">
        <v>2022</v>
      </c>
      <c r="B73" t="s">
        <v>126</v>
      </c>
      <c r="C73" t="s">
        <v>95</v>
      </c>
      <c r="D73">
        <v>3</v>
      </c>
      <c r="E73" s="14">
        <v>1864</v>
      </c>
    </row>
    <row r="74" spans="1:5" x14ac:dyDescent="0.2">
      <c r="A74">
        <v>2022</v>
      </c>
      <c r="B74" t="s">
        <v>126</v>
      </c>
      <c r="C74" t="s">
        <v>96</v>
      </c>
      <c r="D74">
        <v>4</v>
      </c>
      <c r="E74" s="14">
        <v>872</v>
      </c>
    </row>
    <row r="75" spans="1:5" x14ac:dyDescent="0.2">
      <c r="A75">
        <v>2022</v>
      </c>
      <c r="B75" t="s">
        <v>126</v>
      </c>
      <c r="C75" t="s">
        <v>97</v>
      </c>
      <c r="D75">
        <v>5</v>
      </c>
      <c r="E75" s="14">
        <v>2764</v>
      </c>
    </row>
    <row r="76" spans="1:5" x14ac:dyDescent="0.2">
      <c r="A76">
        <v>2022</v>
      </c>
      <c r="B76" t="s">
        <v>126</v>
      </c>
      <c r="C76" t="s">
        <v>98</v>
      </c>
      <c r="D76">
        <v>6</v>
      </c>
      <c r="E76" s="14">
        <v>4186</v>
      </c>
    </row>
    <row r="77" spans="1:5" x14ac:dyDescent="0.2">
      <c r="A77">
        <v>2022</v>
      </c>
      <c r="B77" t="s">
        <v>126</v>
      </c>
      <c r="C77" t="s">
        <v>99</v>
      </c>
      <c r="D77">
        <v>7</v>
      </c>
      <c r="E77" s="14">
        <v>2673</v>
      </c>
    </row>
    <row r="78" spans="1:5" x14ac:dyDescent="0.2">
      <c r="A78">
        <v>2022</v>
      </c>
      <c r="B78" t="s">
        <v>126</v>
      </c>
      <c r="C78" t="s">
        <v>100</v>
      </c>
      <c r="D78">
        <v>8</v>
      </c>
      <c r="E78" s="14">
        <v>8346</v>
      </c>
    </row>
    <row r="79" spans="1:5" x14ac:dyDescent="0.2">
      <c r="A79">
        <v>2022</v>
      </c>
      <c r="B79" t="s">
        <v>126</v>
      </c>
      <c r="C79" t="s">
        <v>101</v>
      </c>
      <c r="D79">
        <v>9</v>
      </c>
      <c r="E79" s="14">
        <v>8546</v>
      </c>
    </row>
    <row r="80" spans="1:5" x14ac:dyDescent="0.2">
      <c r="A80">
        <v>2022</v>
      </c>
      <c r="B80" t="s">
        <v>126</v>
      </c>
      <c r="C80" t="s">
        <v>102</v>
      </c>
      <c r="D80">
        <v>10</v>
      </c>
      <c r="E80" s="14">
        <v>9686</v>
      </c>
    </row>
    <row r="81" spans="1:5" x14ac:dyDescent="0.2">
      <c r="A81">
        <v>2022</v>
      </c>
      <c r="B81" t="s">
        <v>126</v>
      </c>
      <c r="C81" t="s">
        <v>103</v>
      </c>
      <c r="D81">
        <v>11</v>
      </c>
      <c r="E81" s="14">
        <v>32766</v>
      </c>
    </row>
    <row r="82" spans="1:5" x14ac:dyDescent="0.2">
      <c r="A82">
        <v>2022</v>
      </c>
      <c r="B82" t="s">
        <v>127</v>
      </c>
      <c r="C82" t="s">
        <v>93</v>
      </c>
      <c r="D82">
        <v>1</v>
      </c>
      <c r="E82" s="14">
        <v>433</v>
      </c>
    </row>
    <row r="83" spans="1:5" x14ac:dyDescent="0.2">
      <c r="A83">
        <v>2022</v>
      </c>
      <c r="B83" t="s">
        <v>127</v>
      </c>
      <c r="C83" t="s">
        <v>94</v>
      </c>
      <c r="D83">
        <v>2</v>
      </c>
      <c r="E83" s="14">
        <v>4328</v>
      </c>
    </row>
    <row r="84" spans="1:5" x14ac:dyDescent="0.2">
      <c r="A84">
        <v>2022</v>
      </c>
      <c r="B84" t="s">
        <v>127</v>
      </c>
      <c r="C84" t="s">
        <v>95</v>
      </c>
      <c r="D84">
        <v>3</v>
      </c>
      <c r="E84" s="14">
        <v>3666</v>
      </c>
    </row>
    <row r="85" spans="1:5" x14ac:dyDescent="0.2">
      <c r="A85">
        <v>2022</v>
      </c>
      <c r="B85" t="s">
        <v>127</v>
      </c>
      <c r="C85" t="s">
        <v>96</v>
      </c>
      <c r="D85">
        <v>4</v>
      </c>
      <c r="E85" s="14">
        <v>1778</v>
      </c>
    </row>
    <row r="86" spans="1:5" x14ac:dyDescent="0.2">
      <c r="A86">
        <v>2022</v>
      </c>
      <c r="B86" t="s">
        <v>127</v>
      </c>
      <c r="C86" t="s">
        <v>97</v>
      </c>
      <c r="D86">
        <v>5</v>
      </c>
      <c r="E86" s="14">
        <v>5919</v>
      </c>
    </row>
    <row r="87" spans="1:5" x14ac:dyDescent="0.2">
      <c r="A87">
        <v>2022</v>
      </c>
      <c r="B87" t="s">
        <v>127</v>
      </c>
      <c r="C87" t="s">
        <v>98</v>
      </c>
      <c r="D87">
        <v>6</v>
      </c>
      <c r="E87" s="14">
        <v>8994</v>
      </c>
    </row>
    <row r="88" spans="1:5" x14ac:dyDescent="0.2">
      <c r="A88">
        <v>2022</v>
      </c>
      <c r="B88" t="s">
        <v>127</v>
      </c>
      <c r="C88" t="s">
        <v>99</v>
      </c>
      <c r="D88">
        <v>7</v>
      </c>
      <c r="E88" s="14">
        <v>4893</v>
      </c>
    </row>
    <row r="89" spans="1:5" x14ac:dyDescent="0.2">
      <c r="A89">
        <v>2022</v>
      </c>
      <c r="B89" t="s">
        <v>127</v>
      </c>
      <c r="C89" t="s">
        <v>100</v>
      </c>
      <c r="D89">
        <v>8</v>
      </c>
      <c r="E89" s="14">
        <v>14036</v>
      </c>
    </row>
    <row r="90" spans="1:5" x14ac:dyDescent="0.2">
      <c r="A90">
        <v>2022</v>
      </c>
      <c r="B90" t="s">
        <v>127</v>
      </c>
      <c r="C90" t="s">
        <v>101</v>
      </c>
      <c r="D90">
        <v>9</v>
      </c>
      <c r="E90" s="14">
        <v>15820</v>
      </c>
    </row>
    <row r="91" spans="1:5" x14ac:dyDescent="0.2">
      <c r="A91">
        <v>2022</v>
      </c>
      <c r="B91" t="s">
        <v>127</v>
      </c>
      <c r="C91" t="s">
        <v>102</v>
      </c>
      <c r="D91">
        <v>10</v>
      </c>
      <c r="E91" s="14">
        <v>18808</v>
      </c>
    </row>
    <row r="92" spans="1:5" x14ac:dyDescent="0.2">
      <c r="A92">
        <v>2022</v>
      </c>
      <c r="B92" t="s">
        <v>127</v>
      </c>
      <c r="C92" t="s">
        <v>103</v>
      </c>
      <c r="D92">
        <v>11</v>
      </c>
      <c r="E92" s="14">
        <v>64134</v>
      </c>
    </row>
    <row r="93" spans="1:5" x14ac:dyDescent="0.2">
      <c r="A93">
        <v>2022</v>
      </c>
      <c r="B93" t="s">
        <v>128</v>
      </c>
      <c r="C93" t="s">
        <v>93</v>
      </c>
      <c r="D93">
        <v>1</v>
      </c>
      <c r="E93" s="14">
        <v>144</v>
      </c>
    </row>
    <row r="94" spans="1:5" x14ac:dyDescent="0.2">
      <c r="A94">
        <v>2022</v>
      </c>
      <c r="B94" t="s">
        <v>128</v>
      </c>
      <c r="C94" t="s">
        <v>94</v>
      </c>
      <c r="D94">
        <v>2</v>
      </c>
      <c r="E94" s="14">
        <v>1082</v>
      </c>
    </row>
    <row r="95" spans="1:5" x14ac:dyDescent="0.2">
      <c r="A95">
        <v>2022</v>
      </c>
      <c r="B95" t="s">
        <v>128</v>
      </c>
      <c r="C95" t="s">
        <v>95</v>
      </c>
      <c r="D95">
        <v>3</v>
      </c>
      <c r="E95" s="14">
        <v>792</v>
      </c>
    </row>
    <row r="96" spans="1:5" x14ac:dyDescent="0.2">
      <c r="A96">
        <v>2022</v>
      </c>
      <c r="B96" t="s">
        <v>128</v>
      </c>
      <c r="C96" t="s">
        <v>96</v>
      </c>
      <c r="D96">
        <v>4</v>
      </c>
      <c r="E96" s="14">
        <v>334</v>
      </c>
    </row>
    <row r="97" spans="1:5" x14ac:dyDescent="0.2">
      <c r="A97">
        <v>2022</v>
      </c>
      <c r="B97" t="s">
        <v>128</v>
      </c>
      <c r="C97" t="s">
        <v>97</v>
      </c>
      <c r="D97">
        <v>5</v>
      </c>
      <c r="E97" s="14">
        <v>1170</v>
      </c>
    </row>
    <row r="98" spans="1:5" x14ac:dyDescent="0.2">
      <c r="A98">
        <v>2022</v>
      </c>
      <c r="B98" t="s">
        <v>128</v>
      </c>
      <c r="C98" t="s">
        <v>98</v>
      </c>
      <c r="D98">
        <v>6</v>
      </c>
      <c r="E98" s="14">
        <v>1607</v>
      </c>
    </row>
    <row r="99" spans="1:5" x14ac:dyDescent="0.2">
      <c r="A99">
        <v>2022</v>
      </c>
      <c r="B99" t="s">
        <v>128</v>
      </c>
      <c r="C99" t="s">
        <v>99</v>
      </c>
      <c r="D99">
        <v>7</v>
      </c>
      <c r="E99" s="14">
        <v>1026</v>
      </c>
    </row>
    <row r="100" spans="1:5" x14ac:dyDescent="0.2">
      <c r="A100">
        <v>2022</v>
      </c>
      <c r="B100" t="s">
        <v>128</v>
      </c>
      <c r="C100" t="s">
        <v>100</v>
      </c>
      <c r="D100">
        <v>8</v>
      </c>
      <c r="E100" s="14">
        <v>3080</v>
      </c>
    </row>
    <row r="101" spans="1:5" x14ac:dyDescent="0.2">
      <c r="A101">
        <v>2022</v>
      </c>
      <c r="B101" t="s">
        <v>128</v>
      </c>
      <c r="C101" t="s">
        <v>101</v>
      </c>
      <c r="D101">
        <v>9</v>
      </c>
      <c r="E101" s="14">
        <v>3446</v>
      </c>
    </row>
    <row r="102" spans="1:5" x14ac:dyDescent="0.2">
      <c r="A102">
        <v>2022</v>
      </c>
      <c r="B102" t="s">
        <v>128</v>
      </c>
      <c r="C102" t="s">
        <v>102</v>
      </c>
      <c r="D102">
        <v>10</v>
      </c>
      <c r="E102" s="14">
        <v>4285</v>
      </c>
    </row>
    <row r="103" spans="1:5" x14ac:dyDescent="0.2">
      <c r="A103">
        <v>2022</v>
      </c>
      <c r="B103" t="s">
        <v>128</v>
      </c>
      <c r="C103" t="s">
        <v>103</v>
      </c>
      <c r="D103">
        <v>11</v>
      </c>
      <c r="E103" s="14">
        <v>13888</v>
      </c>
    </row>
    <row r="104" spans="1:5" x14ac:dyDescent="0.2">
      <c r="A104">
        <v>2022</v>
      </c>
      <c r="B104" t="s">
        <v>129</v>
      </c>
      <c r="C104" t="s">
        <v>93</v>
      </c>
      <c r="D104">
        <v>1</v>
      </c>
      <c r="E104" s="14">
        <v>11</v>
      </c>
    </row>
    <row r="105" spans="1:5" x14ac:dyDescent="0.2">
      <c r="A105">
        <v>2022</v>
      </c>
      <c r="B105" t="s">
        <v>129</v>
      </c>
      <c r="C105" t="s">
        <v>94</v>
      </c>
      <c r="D105">
        <v>2</v>
      </c>
      <c r="E105" s="14">
        <v>108</v>
      </c>
    </row>
    <row r="106" spans="1:5" x14ac:dyDescent="0.2">
      <c r="A106">
        <v>2022</v>
      </c>
      <c r="B106" t="s">
        <v>129</v>
      </c>
      <c r="C106" t="s">
        <v>95</v>
      </c>
      <c r="D106">
        <v>3</v>
      </c>
      <c r="E106" s="14">
        <v>88</v>
      </c>
    </row>
    <row r="107" spans="1:5" x14ac:dyDescent="0.2">
      <c r="A107">
        <v>2022</v>
      </c>
      <c r="B107" t="s">
        <v>129</v>
      </c>
      <c r="C107" t="s">
        <v>96</v>
      </c>
      <c r="D107">
        <v>4</v>
      </c>
      <c r="E107" s="14">
        <v>37</v>
      </c>
    </row>
    <row r="108" spans="1:5" x14ac:dyDescent="0.2">
      <c r="A108">
        <v>2022</v>
      </c>
      <c r="B108" t="s">
        <v>129</v>
      </c>
      <c r="C108" t="s">
        <v>97</v>
      </c>
      <c r="D108">
        <v>5</v>
      </c>
      <c r="E108" s="14">
        <v>129</v>
      </c>
    </row>
    <row r="109" spans="1:5" x14ac:dyDescent="0.2">
      <c r="A109">
        <v>2022</v>
      </c>
      <c r="B109" t="s">
        <v>129</v>
      </c>
      <c r="C109" t="s">
        <v>98</v>
      </c>
      <c r="D109">
        <v>6</v>
      </c>
      <c r="E109" s="14">
        <v>117</v>
      </c>
    </row>
    <row r="110" spans="1:5" x14ac:dyDescent="0.2">
      <c r="A110">
        <v>2022</v>
      </c>
      <c r="B110" t="s">
        <v>129</v>
      </c>
      <c r="C110" t="s">
        <v>99</v>
      </c>
      <c r="D110">
        <v>7</v>
      </c>
      <c r="E110" s="14">
        <v>93</v>
      </c>
    </row>
    <row r="111" spans="1:5" x14ac:dyDescent="0.2">
      <c r="A111">
        <v>2022</v>
      </c>
      <c r="B111" t="s">
        <v>129</v>
      </c>
      <c r="C111" t="s">
        <v>100</v>
      </c>
      <c r="D111">
        <v>8</v>
      </c>
      <c r="E111" s="14">
        <v>311</v>
      </c>
    </row>
    <row r="112" spans="1:5" x14ac:dyDescent="0.2">
      <c r="A112">
        <v>2022</v>
      </c>
      <c r="B112" t="s">
        <v>129</v>
      </c>
      <c r="C112" t="s">
        <v>101</v>
      </c>
      <c r="D112">
        <v>9</v>
      </c>
      <c r="E112" s="14">
        <v>343</v>
      </c>
    </row>
    <row r="113" spans="1:5" x14ac:dyDescent="0.2">
      <c r="A113">
        <v>2022</v>
      </c>
      <c r="B113" t="s">
        <v>129</v>
      </c>
      <c r="C113" t="s">
        <v>102</v>
      </c>
      <c r="D113">
        <v>10</v>
      </c>
      <c r="E113" s="14">
        <v>329</v>
      </c>
    </row>
    <row r="114" spans="1:5" x14ac:dyDescent="0.2">
      <c r="A114">
        <v>2022</v>
      </c>
      <c r="B114" t="s">
        <v>129</v>
      </c>
      <c r="C114" t="s">
        <v>103</v>
      </c>
      <c r="D114">
        <v>11</v>
      </c>
      <c r="E114" s="14">
        <v>579</v>
      </c>
    </row>
    <row r="115" spans="1:5" x14ac:dyDescent="0.2">
      <c r="A115">
        <v>2022</v>
      </c>
      <c r="B115" t="s">
        <v>130</v>
      </c>
      <c r="C115" t="s">
        <v>93</v>
      </c>
      <c r="D115">
        <v>1</v>
      </c>
      <c r="E115" s="14">
        <v>24</v>
      </c>
    </row>
    <row r="116" spans="1:5" x14ac:dyDescent="0.2">
      <c r="A116">
        <v>2022</v>
      </c>
      <c r="B116" t="s">
        <v>130</v>
      </c>
      <c r="C116" t="s">
        <v>94</v>
      </c>
      <c r="D116">
        <v>2</v>
      </c>
      <c r="E116" s="14">
        <v>474</v>
      </c>
    </row>
    <row r="117" spans="1:5" x14ac:dyDescent="0.2">
      <c r="A117">
        <v>2022</v>
      </c>
      <c r="B117" t="s">
        <v>130</v>
      </c>
      <c r="C117" t="s">
        <v>95</v>
      </c>
      <c r="D117">
        <v>3</v>
      </c>
      <c r="E117" s="14">
        <v>401</v>
      </c>
    </row>
    <row r="118" spans="1:5" x14ac:dyDescent="0.2">
      <c r="A118">
        <v>2022</v>
      </c>
      <c r="B118" t="s">
        <v>130</v>
      </c>
      <c r="C118" t="s">
        <v>96</v>
      </c>
      <c r="D118">
        <v>4</v>
      </c>
      <c r="E118" s="14">
        <v>158</v>
      </c>
    </row>
    <row r="119" spans="1:5" x14ac:dyDescent="0.2">
      <c r="A119">
        <v>2022</v>
      </c>
      <c r="B119" t="s">
        <v>130</v>
      </c>
      <c r="C119" t="s">
        <v>97</v>
      </c>
      <c r="D119">
        <v>5</v>
      </c>
      <c r="E119" s="14">
        <v>511</v>
      </c>
    </row>
    <row r="120" spans="1:5" x14ac:dyDescent="0.2">
      <c r="A120">
        <v>2022</v>
      </c>
      <c r="B120" t="s">
        <v>130</v>
      </c>
      <c r="C120" t="s">
        <v>98</v>
      </c>
      <c r="D120">
        <v>6</v>
      </c>
      <c r="E120" s="14">
        <v>767</v>
      </c>
    </row>
    <row r="121" spans="1:5" x14ac:dyDescent="0.2">
      <c r="A121">
        <v>2022</v>
      </c>
      <c r="B121" t="s">
        <v>130</v>
      </c>
      <c r="C121" t="s">
        <v>99</v>
      </c>
      <c r="D121">
        <v>7</v>
      </c>
      <c r="E121" s="14">
        <v>606</v>
      </c>
    </row>
    <row r="122" spans="1:5" x14ac:dyDescent="0.2">
      <c r="A122">
        <v>2022</v>
      </c>
      <c r="B122" t="s">
        <v>130</v>
      </c>
      <c r="C122" t="s">
        <v>100</v>
      </c>
      <c r="D122">
        <v>8</v>
      </c>
      <c r="E122" s="14">
        <v>2107</v>
      </c>
    </row>
    <row r="123" spans="1:5" x14ac:dyDescent="0.2">
      <c r="A123">
        <v>2022</v>
      </c>
      <c r="B123" t="s">
        <v>130</v>
      </c>
      <c r="C123" t="s">
        <v>101</v>
      </c>
      <c r="D123">
        <v>9</v>
      </c>
      <c r="E123" s="14">
        <v>2027</v>
      </c>
    </row>
    <row r="124" spans="1:5" x14ac:dyDescent="0.2">
      <c r="A124">
        <v>2022</v>
      </c>
      <c r="B124" t="s">
        <v>130</v>
      </c>
      <c r="C124" t="s">
        <v>102</v>
      </c>
      <c r="D124">
        <v>10</v>
      </c>
      <c r="E124" s="14">
        <v>2146</v>
      </c>
    </row>
    <row r="125" spans="1:5" x14ac:dyDescent="0.2">
      <c r="A125">
        <v>2022</v>
      </c>
      <c r="B125" t="s">
        <v>130</v>
      </c>
      <c r="C125" t="s">
        <v>103</v>
      </c>
      <c r="D125">
        <v>11</v>
      </c>
      <c r="E125" s="14">
        <v>3980</v>
      </c>
    </row>
    <row r="126" spans="1:5" x14ac:dyDescent="0.2">
      <c r="A126">
        <v>2022</v>
      </c>
      <c r="B126" t="s">
        <v>131</v>
      </c>
      <c r="C126" t="s">
        <v>93</v>
      </c>
      <c r="D126">
        <v>1</v>
      </c>
      <c r="E126" s="14">
        <v>155</v>
      </c>
    </row>
    <row r="127" spans="1:5" x14ac:dyDescent="0.2">
      <c r="A127">
        <v>2022</v>
      </c>
      <c r="B127" t="s">
        <v>131</v>
      </c>
      <c r="C127" t="s">
        <v>94</v>
      </c>
      <c r="D127">
        <v>2</v>
      </c>
      <c r="E127" s="14">
        <v>1818</v>
      </c>
    </row>
    <row r="128" spans="1:5" x14ac:dyDescent="0.2">
      <c r="A128">
        <v>2022</v>
      </c>
      <c r="B128" t="s">
        <v>131</v>
      </c>
      <c r="C128" t="s">
        <v>95</v>
      </c>
      <c r="D128">
        <v>3</v>
      </c>
      <c r="E128" s="14">
        <v>1552</v>
      </c>
    </row>
    <row r="129" spans="1:5" x14ac:dyDescent="0.2">
      <c r="A129">
        <v>2022</v>
      </c>
      <c r="B129" t="s">
        <v>131</v>
      </c>
      <c r="C129" t="s">
        <v>96</v>
      </c>
      <c r="D129">
        <v>4</v>
      </c>
      <c r="E129" s="14">
        <v>696</v>
      </c>
    </row>
    <row r="130" spans="1:5" x14ac:dyDescent="0.2">
      <c r="A130">
        <v>2022</v>
      </c>
      <c r="B130" t="s">
        <v>131</v>
      </c>
      <c r="C130" t="s">
        <v>97</v>
      </c>
      <c r="D130">
        <v>5</v>
      </c>
      <c r="E130" s="14">
        <v>2018</v>
      </c>
    </row>
    <row r="131" spans="1:5" x14ac:dyDescent="0.2">
      <c r="A131">
        <v>2022</v>
      </c>
      <c r="B131" t="s">
        <v>131</v>
      </c>
      <c r="C131" t="s">
        <v>98</v>
      </c>
      <c r="D131">
        <v>6</v>
      </c>
      <c r="E131" s="14">
        <v>3022</v>
      </c>
    </row>
    <row r="132" spans="1:5" x14ac:dyDescent="0.2">
      <c r="A132">
        <v>2022</v>
      </c>
      <c r="B132" t="s">
        <v>131</v>
      </c>
      <c r="C132" t="s">
        <v>99</v>
      </c>
      <c r="D132">
        <v>7</v>
      </c>
      <c r="E132" s="14">
        <v>1877</v>
      </c>
    </row>
    <row r="133" spans="1:5" x14ac:dyDescent="0.2">
      <c r="A133">
        <v>2022</v>
      </c>
      <c r="B133" t="s">
        <v>131</v>
      </c>
      <c r="C133" t="s">
        <v>100</v>
      </c>
      <c r="D133">
        <v>8</v>
      </c>
      <c r="E133" s="14">
        <v>6178</v>
      </c>
    </row>
    <row r="134" spans="1:5" x14ac:dyDescent="0.2">
      <c r="A134">
        <v>2022</v>
      </c>
      <c r="B134" t="s">
        <v>131</v>
      </c>
      <c r="C134" t="s">
        <v>101</v>
      </c>
      <c r="D134">
        <v>9</v>
      </c>
      <c r="E134" s="14">
        <v>6466</v>
      </c>
    </row>
    <row r="135" spans="1:5" x14ac:dyDescent="0.2">
      <c r="A135">
        <v>2022</v>
      </c>
      <c r="B135" t="s">
        <v>131</v>
      </c>
      <c r="C135" t="s">
        <v>102</v>
      </c>
      <c r="D135">
        <v>10</v>
      </c>
      <c r="E135" s="14">
        <v>7389</v>
      </c>
    </row>
    <row r="136" spans="1:5" x14ac:dyDescent="0.2">
      <c r="A136">
        <v>2022</v>
      </c>
      <c r="B136" t="s">
        <v>131</v>
      </c>
      <c r="C136" t="s">
        <v>103</v>
      </c>
      <c r="D136">
        <v>11</v>
      </c>
      <c r="E136" s="14">
        <v>22651</v>
      </c>
    </row>
    <row r="137" spans="1:5" x14ac:dyDescent="0.2">
      <c r="A137">
        <v>2022</v>
      </c>
      <c r="B137" t="s">
        <v>132</v>
      </c>
      <c r="C137" t="s">
        <v>93</v>
      </c>
      <c r="D137">
        <v>1</v>
      </c>
      <c r="E137" s="14">
        <v>3</v>
      </c>
    </row>
    <row r="138" spans="1:5" x14ac:dyDescent="0.2">
      <c r="A138">
        <v>2022</v>
      </c>
      <c r="B138" t="s">
        <v>132</v>
      </c>
      <c r="C138" t="s">
        <v>94</v>
      </c>
      <c r="D138">
        <v>2</v>
      </c>
      <c r="E138" s="14">
        <v>34</v>
      </c>
    </row>
    <row r="139" spans="1:5" x14ac:dyDescent="0.2">
      <c r="A139">
        <v>2022</v>
      </c>
      <c r="B139" t="s">
        <v>132</v>
      </c>
      <c r="C139" t="s">
        <v>95</v>
      </c>
      <c r="D139">
        <v>3</v>
      </c>
      <c r="E139" s="14">
        <v>152</v>
      </c>
    </row>
    <row r="140" spans="1:5" x14ac:dyDescent="0.2">
      <c r="A140">
        <v>2022</v>
      </c>
      <c r="B140" t="s">
        <v>132</v>
      </c>
      <c r="C140" t="s">
        <v>96</v>
      </c>
      <c r="D140">
        <v>4</v>
      </c>
      <c r="E140" s="14">
        <v>201</v>
      </c>
    </row>
    <row r="141" spans="1:5" x14ac:dyDescent="0.2">
      <c r="A141">
        <v>2022</v>
      </c>
      <c r="B141" t="s">
        <v>132</v>
      </c>
      <c r="C141" t="s">
        <v>97</v>
      </c>
      <c r="D141">
        <v>5</v>
      </c>
      <c r="E141" s="14">
        <v>1047</v>
      </c>
    </row>
    <row r="142" spans="1:5" x14ac:dyDescent="0.2">
      <c r="A142">
        <v>2022</v>
      </c>
      <c r="B142" t="s">
        <v>132</v>
      </c>
      <c r="C142" t="s">
        <v>98</v>
      </c>
      <c r="D142">
        <v>6</v>
      </c>
      <c r="E142" s="14">
        <v>2963</v>
      </c>
    </row>
    <row r="143" spans="1:5" x14ac:dyDescent="0.2">
      <c r="A143">
        <v>2022</v>
      </c>
      <c r="B143" t="s">
        <v>132</v>
      </c>
      <c r="C143" t="s">
        <v>99</v>
      </c>
      <c r="D143">
        <v>7</v>
      </c>
      <c r="E143" s="14">
        <v>1993</v>
      </c>
    </row>
    <row r="144" spans="1:5" x14ac:dyDescent="0.2">
      <c r="A144">
        <v>2022</v>
      </c>
      <c r="B144" t="s">
        <v>132</v>
      </c>
      <c r="C144" t="s">
        <v>100</v>
      </c>
      <c r="D144">
        <v>8</v>
      </c>
      <c r="E144" s="14">
        <v>4997</v>
      </c>
    </row>
    <row r="145" spans="1:5" x14ac:dyDescent="0.2">
      <c r="A145">
        <v>2022</v>
      </c>
      <c r="B145" t="s">
        <v>132</v>
      </c>
      <c r="C145" t="s">
        <v>101</v>
      </c>
      <c r="D145">
        <v>9</v>
      </c>
      <c r="E145" s="14">
        <v>4022</v>
      </c>
    </row>
    <row r="146" spans="1:5" x14ac:dyDescent="0.2">
      <c r="A146">
        <v>2022</v>
      </c>
      <c r="B146" t="s">
        <v>132</v>
      </c>
      <c r="C146" t="s">
        <v>102</v>
      </c>
      <c r="D146">
        <v>10</v>
      </c>
      <c r="E146" s="14">
        <v>3821</v>
      </c>
    </row>
    <row r="147" spans="1:5" x14ac:dyDescent="0.2">
      <c r="A147">
        <v>2022</v>
      </c>
      <c r="B147" t="s">
        <v>132</v>
      </c>
      <c r="C147" t="s">
        <v>103</v>
      </c>
      <c r="D147">
        <v>11</v>
      </c>
      <c r="E147" s="14">
        <v>6404</v>
      </c>
    </row>
    <row r="148" spans="1:5" x14ac:dyDescent="0.2">
      <c r="A148">
        <v>2025</v>
      </c>
      <c r="B148" t="s">
        <v>120</v>
      </c>
      <c r="C148" t="s">
        <v>93</v>
      </c>
      <c r="D148">
        <v>1</v>
      </c>
      <c r="E148" s="14">
        <v>345</v>
      </c>
    </row>
    <row r="149" spans="1:5" x14ac:dyDescent="0.2">
      <c r="A149">
        <v>2025</v>
      </c>
      <c r="B149" t="s">
        <v>120</v>
      </c>
      <c r="C149" t="s">
        <v>94</v>
      </c>
      <c r="D149">
        <v>2</v>
      </c>
      <c r="E149" s="14">
        <v>3111</v>
      </c>
    </row>
    <row r="150" spans="1:5" x14ac:dyDescent="0.2">
      <c r="A150">
        <v>2025</v>
      </c>
      <c r="B150" t="s">
        <v>120</v>
      </c>
      <c r="C150" t="s">
        <v>95</v>
      </c>
      <c r="D150">
        <v>3</v>
      </c>
      <c r="E150" s="14">
        <v>2436</v>
      </c>
    </row>
    <row r="151" spans="1:5" x14ac:dyDescent="0.2">
      <c r="A151">
        <v>2025</v>
      </c>
      <c r="B151" t="s">
        <v>120</v>
      </c>
      <c r="C151" t="s">
        <v>96</v>
      </c>
      <c r="D151">
        <v>4</v>
      </c>
      <c r="E151" s="14">
        <v>1205</v>
      </c>
    </row>
    <row r="152" spans="1:5" x14ac:dyDescent="0.2">
      <c r="A152">
        <v>2025</v>
      </c>
      <c r="B152" t="s">
        <v>120</v>
      </c>
      <c r="C152" t="s">
        <v>97</v>
      </c>
      <c r="D152">
        <v>5</v>
      </c>
      <c r="E152" s="14">
        <v>3876</v>
      </c>
    </row>
    <row r="153" spans="1:5" x14ac:dyDescent="0.2">
      <c r="A153">
        <v>2025</v>
      </c>
      <c r="B153" t="s">
        <v>120</v>
      </c>
      <c r="C153" t="s">
        <v>98</v>
      </c>
      <c r="D153">
        <v>6</v>
      </c>
      <c r="E153" s="14">
        <v>4775</v>
      </c>
    </row>
    <row r="154" spans="1:5" x14ac:dyDescent="0.2">
      <c r="A154">
        <v>2025</v>
      </c>
      <c r="B154" t="s">
        <v>120</v>
      </c>
      <c r="C154" t="s">
        <v>99</v>
      </c>
      <c r="D154">
        <v>7</v>
      </c>
      <c r="E154" s="14">
        <v>2360</v>
      </c>
    </row>
    <row r="155" spans="1:5" x14ac:dyDescent="0.2">
      <c r="A155">
        <v>2025</v>
      </c>
      <c r="B155" t="s">
        <v>120</v>
      </c>
      <c r="C155" t="s">
        <v>100</v>
      </c>
      <c r="D155">
        <v>8</v>
      </c>
      <c r="E155" s="14">
        <v>6153</v>
      </c>
    </row>
    <row r="156" spans="1:5" x14ac:dyDescent="0.2">
      <c r="A156">
        <v>2025</v>
      </c>
      <c r="B156" t="s">
        <v>120</v>
      </c>
      <c r="C156" t="s">
        <v>101</v>
      </c>
      <c r="D156">
        <v>9</v>
      </c>
      <c r="E156" s="14">
        <v>5605</v>
      </c>
    </row>
    <row r="157" spans="1:5" x14ac:dyDescent="0.2">
      <c r="A157">
        <v>2025</v>
      </c>
      <c r="B157" t="s">
        <v>120</v>
      </c>
      <c r="C157" t="s">
        <v>102</v>
      </c>
      <c r="D157">
        <v>10</v>
      </c>
      <c r="E157" s="14">
        <v>9334</v>
      </c>
    </row>
    <row r="158" spans="1:5" x14ac:dyDescent="0.2">
      <c r="A158">
        <v>2025</v>
      </c>
      <c r="B158" t="s">
        <v>120</v>
      </c>
      <c r="C158" t="s">
        <v>103</v>
      </c>
      <c r="D158">
        <v>11</v>
      </c>
      <c r="E158" s="14">
        <v>36879</v>
      </c>
    </row>
    <row r="159" spans="1:5" x14ac:dyDescent="0.2">
      <c r="A159">
        <v>2025</v>
      </c>
      <c r="B159" t="s">
        <v>121</v>
      </c>
      <c r="C159" t="s">
        <v>93</v>
      </c>
      <c r="D159">
        <v>1</v>
      </c>
      <c r="E159" s="14">
        <v>501</v>
      </c>
    </row>
    <row r="160" spans="1:5" x14ac:dyDescent="0.2">
      <c r="A160">
        <v>2025</v>
      </c>
      <c r="B160" t="s">
        <v>121</v>
      </c>
      <c r="C160" t="s">
        <v>94</v>
      </c>
      <c r="D160">
        <v>2</v>
      </c>
      <c r="E160" s="14">
        <v>4990</v>
      </c>
    </row>
    <row r="161" spans="1:5" x14ac:dyDescent="0.2">
      <c r="A161">
        <v>2025</v>
      </c>
      <c r="B161" t="s">
        <v>121</v>
      </c>
      <c r="C161" t="s">
        <v>95</v>
      </c>
      <c r="D161">
        <v>3</v>
      </c>
      <c r="E161" s="14">
        <v>4066</v>
      </c>
    </row>
    <row r="162" spans="1:5" x14ac:dyDescent="0.2">
      <c r="A162">
        <v>2025</v>
      </c>
      <c r="B162" t="s">
        <v>121</v>
      </c>
      <c r="C162" t="s">
        <v>96</v>
      </c>
      <c r="D162">
        <v>4</v>
      </c>
      <c r="E162" s="14">
        <v>1865</v>
      </c>
    </row>
    <row r="163" spans="1:5" x14ac:dyDescent="0.2">
      <c r="A163">
        <v>2025</v>
      </c>
      <c r="B163" t="s">
        <v>121</v>
      </c>
      <c r="C163" t="s">
        <v>97</v>
      </c>
      <c r="D163">
        <v>5</v>
      </c>
      <c r="E163" s="14">
        <v>6658</v>
      </c>
    </row>
    <row r="164" spans="1:5" x14ac:dyDescent="0.2">
      <c r="A164">
        <v>2025</v>
      </c>
      <c r="B164" t="s">
        <v>121</v>
      </c>
      <c r="C164" t="s">
        <v>98</v>
      </c>
      <c r="D164">
        <v>6</v>
      </c>
      <c r="E164" s="14">
        <v>10954</v>
      </c>
    </row>
    <row r="165" spans="1:5" x14ac:dyDescent="0.2">
      <c r="A165">
        <v>2025</v>
      </c>
      <c r="B165" t="s">
        <v>121</v>
      </c>
      <c r="C165" t="s">
        <v>99</v>
      </c>
      <c r="D165">
        <v>7</v>
      </c>
      <c r="E165" s="14">
        <v>5872</v>
      </c>
    </row>
    <row r="166" spans="1:5" x14ac:dyDescent="0.2">
      <c r="A166">
        <v>2025</v>
      </c>
      <c r="B166" t="s">
        <v>121</v>
      </c>
      <c r="C166" t="s">
        <v>100</v>
      </c>
      <c r="D166">
        <v>8</v>
      </c>
      <c r="E166" s="14">
        <v>15051</v>
      </c>
    </row>
    <row r="167" spans="1:5" x14ac:dyDescent="0.2">
      <c r="A167">
        <v>2025</v>
      </c>
      <c r="B167" t="s">
        <v>121</v>
      </c>
      <c r="C167" t="s">
        <v>101</v>
      </c>
      <c r="D167">
        <v>9</v>
      </c>
      <c r="E167" s="14">
        <v>12181</v>
      </c>
    </row>
    <row r="168" spans="1:5" x14ac:dyDescent="0.2">
      <c r="A168">
        <v>2025</v>
      </c>
      <c r="B168" t="s">
        <v>121</v>
      </c>
      <c r="C168" t="s">
        <v>102</v>
      </c>
      <c r="D168">
        <v>10</v>
      </c>
      <c r="E168" s="14">
        <v>18918</v>
      </c>
    </row>
    <row r="169" spans="1:5" x14ac:dyDescent="0.2">
      <c r="A169">
        <v>2025</v>
      </c>
      <c r="B169" t="s">
        <v>121</v>
      </c>
      <c r="C169" t="s">
        <v>103</v>
      </c>
      <c r="D169">
        <v>11</v>
      </c>
      <c r="E169" s="14">
        <v>63445</v>
      </c>
    </row>
    <row r="170" spans="1:5" x14ac:dyDescent="0.2">
      <c r="A170">
        <v>2025</v>
      </c>
      <c r="B170" t="s">
        <v>122</v>
      </c>
      <c r="C170" t="s">
        <v>93</v>
      </c>
      <c r="D170">
        <v>1</v>
      </c>
      <c r="E170" s="14">
        <v>75</v>
      </c>
    </row>
    <row r="171" spans="1:5" x14ac:dyDescent="0.2">
      <c r="A171">
        <v>2025</v>
      </c>
      <c r="B171" t="s">
        <v>122</v>
      </c>
      <c r="C171" t="s">
        <v>94</v>
      </c>
      <c r="D171">
        <v>2</v>
      </c>
      <c r="E171" s="14">
        <v>940</v>
      </c>
    </row>
    <row r="172" spans="1:5" x14ac:dyDescent="0.2">
      <c r="A172">
        <v>2025</v>
      </c>
      <c r="B172" t="s">
        <v>122</v>
      </c>
      <c r="C172" t="s">
        <v>95</v>
      </c>
      <c r="D172">
        <v>3</v>
      </c>
      <c r="E172" s="14">
        <v>759</v>
      </c>
    </row>
    <row r="173" spans="1:5" x14ac:dyDescent="0.2">
      <c r="A173">
        <v>2025</v>
      </c>
      <c r="B173" t="s">
        <v>122</v>
      </c>
      <c r="C173" t="s">
        <v>96</v>
      </c>
      <c r="D173">
        <v>4</v>
      </c>
      <c r="E173" s="14">
        <v>340</v>
      </c>
    </row>
    <row r="174" spans="1:5" x14ac:dyDescent="0.2">
      <c r="A174">
        <v>2025</v>
      </c>
      <c r="B174" t="s">
        <v>122</v>
      </c>
      <c r="C174" t="s">
        <v>97</v>
      </c>
      <c r="D174">
        <v>5</v>
      </c>
      <c r="E174" s="14">
        <v>1138</v>
      </c>
    </row>
    <row r="175" spans="1:5" x14ac:dyDescent="0.2">
      <c r="A175">
        <v>2025</v>
      </c>
      <c r="B175" t="s">
        <v>122</v>
      </c>
      <c r="C175" t="s">
        <v>98</v>
      </c>
      <c r="D175">
        <v>6</v>
      </c>
      <c r="E175" s="14">
        <v>2087</v>
      </c>
    </row>
    <row r="176" spans="1:5" x14ac:dyDescent="0.2">
      <c r="A176">
        <v>2025</v>
      </c>
      <c r="B176" t="s">
        <v>122</v>
      </c>
      <c r="C176" t="s">
        <v>99</v>
      </c>
      <c r="D176">
        <v>7</v>
      </c>
      <c r="E176" s="14">
        <v>1349</v>
      </c>
    </row>
    <row r="177" spans="1:5" x14ac:dyDescent="0.2">
      <c r="A177">
        <v>2025</v>
      </c>
      <c r="B177" t="s">
        <v>122</v>
      </c>
      <c r="C177" t="s">
        <v>100</v>
      </c>
      <c r="D177">
        <v>8</v>
      </c>
      <c r="E177" s="14">
        <v>3426</v>
      </c>
    </row>
    <row r="178" spans="1:5" x14ac:dyDescent="0.2">
      <c r="A178">
        <v>2025</v>
      </c>
      <c r="B178" t="s">
        <v>122</v>
      </c>
      <c r="C178" t="s">
        <v>101</v>
      </c>
      <c r="D178">
        <v>9</v>
      </c>
      <c r="E178" s="14">
        <v>2703</v>
      </c>
    </row>
    <row r="179" spans="1:5" x14ac:dyDescent="0.2">
      <c r="A179">
        <v>2025</v>
      </c>
      <c r="B179" t="s">
        <v>122</v>
      </c>
      <c r="C179" t="s">
        <v>102</v>
      </c>
      <c r="D179">
        <v>10</v>
      </c>
      <c r="E179" s="14">
        <v>3805</v>
      </c>
    </row>
    <row r="180" spans="1:5" x14ac:dyDescent="0.2">
      <c r="A180">
        <v>2025</v>
      </c>
      <c r="B180" t="s">
        <v>122</v>
      </c>
      <c r="C180" t="s">
        <v>103</v>
      </c>
      <c r="D180">
        <v>11</v>
      </c>
      <c r="E180" s="14">
        <v>11155</v>
      </c>
    </row>
    <row r="181" spans="1:5" x14ac:dyDescent="0.2">
      <c r="A181">
        <v>2025</v>
      </c>
      <c r="B181" t="s">
        <v>123</v>
      </c>
      <c r="C181" t="s">
        <v>93</v>
      </c>
      <c r="D181">
        <v>1</v>
      </c>
      <c r="E181" s="14">
        <v>90</v>
      </c>
    </row>
    <row r="182" spans="1:5" x14ac:dyDescent="0.2">
      <c r="A182">
        <v>2025</v>
      </c>
      <c r="B182" t="s">
        <v>123</v>
      </c>
      <c r="C182" t="s">
        <v>94</v>
      </c>
      <c r="D182">
        <v>2</v>
      </c>
      <c r="E182" s="14">
        <v>1128</v>
      </c>
    </row>
    <row r="183" spans="1:5" x14ac:dyDescent="0.2">
      <c r="A183">
        <v>2025</v>
      </c>
      <c r="B183" t="s">
        <v>123</v>
      </c>
      <c r="C183" t="s">
        <v>95</v>
      </c>
      <c r="D183">
        <v>3</v>
      </c>
      <c r="E183" s="14">
        <v>1133</v>
      </c>
    </row>
    <row r="184" spans="1:5" x14ac:dyDescent="0.2">
      <c r="A184">
        <v>2025</v>
      </c>
      <c r="B184" t="s">
        <v>123</v>
      </c>
      <c r="C184" t="s">
        <v>96</v>
      </c>
      <c r="D184">
        <v>4</v>
      </c>
      <c r="E184" s="14">
        <v>535</v>
      </c>
    </row>
    <row r="185" spans="1:5" x14ac:dyDescent="0.2">
      <c r="A185">
        <v>2025</v>
      </c>
      <c r="B185" t="s">
        <v>123</v>
      </c>
      <c r="C185" t="s">
        <v>97</v>
      </c>
      <c r="D185">
        <v>5</v>
      </c>
      <c r="E185" s="14">
        <v>1381</v>
      </c>
    </row>
    <row r="186" spans="1:5" x14ac:dyDescent="0.2">
      <c r="A186">
        <v>2025</v>
      </c>
      <c r="B186" t="s">
        <v>123</v>
      </c>
      <c r="C186" t="s">
        <v>98</v>
      </c>
      <c r="D186">
        <v>6</v>
      </c>
      <c r="E186" s="14">
        <v>1431</v>
      </c>
    </row>
    <row r="187" spans="1:5" x14ac:dyDescent="0.2">
      <c r="A187">
        <v>2025</v>
      </c>
      <c r="B187" t="s">
        <v>123</v>
      </c>
      <c r="C187" t="s">
        <v>99</v>
      </c>
      <c r="D187">
        <v>7</v>
      </c>
      <c r="E187" s="14">
        <v>648</v>
      </c>
    </row>
    <row r="188" spans="1:5" x14ac:dyDescent="0.2">
      <c r="A188">
        <v>2025</v>
      </c>
      <c r="B188" t="s">
        <v>123</v>
      </c>
      <c r="C188" t="s">
        <v>100</v>
      </c>
      <c r="D188">
        <v>8</v>
      </c>
      <c r="E188" s="14">
        <v>1744</v>
      </c>
    </row>
    <row r="189" spans="1:5" x14ac:dyDescent="0.2">
      <c r="A189">
        <v>2025</v>
      </c>
      <c r="B189" t="s">
        <v>123</v>
      </c>
      <c r="C189" t="s">
        <v>101</v>
      </c>
      <c r="D189">
        <v>9</v>
      </c>
      <c r="E189" s="14">
        <v>1765</v>
      </c>
    </row>
    <row r="190" spans="1:5" x14ac:dyDescent="0.2">
      <c r="A190">
        <v>2025</v>
      </c>
      <c r="B190" t="s">
        <v>123</v>
      </c>
      <c r="C190" t="s">
        <v>102</v>
      </c>
      <c r="D190">
        <v>10</v>
      </c>
      <c r="E190" s="14">
        <v>2717</v>
      </c>
    </row>
    <row r="191" spans="1:5" x14ac:dyDescent="0.2">
      <c r="A191">
        <v>2025</v>
      </c>
      <c r="B191" t="s">
        <v>123</v>
      </c>
      <c r="C191" t="s">
        <v>103</v>
      </c>
      <c r="D191">
        <v>11</v>
      </c>
      <c r="E191" s="14">
        <v>9527</v>
      </c>
    </row>
    <row r="192" spans="1:5" x14ac:dyDescent="0.2">
      <c r="A192">
        <v>2025</v>
      </c>
      <c r="B192" t="s">
        <v>124</v>
      </c>
      <c r="C192" t="s">
        <v>93</v>
      </c>
      <c r="D192">
        <v>1</v>
      </c>
      <c r="E192" s="14">
        <v>205</v>
      </c>
    </row>
    <row r="193" spans="1:5" x14ac:dyDescent="0.2">
      <c r="A193">
        <v>2025</v>
      </c>
      <c r="B193" t="s">
        <v>124</v>
      </c>
      <c r="C193" t="s">
        <v>94</v>
      </c>
      <c r="D193">
        <v>2</v>
      </c>
      <c r="E193" s="14">
        <v>2061</v>
      </c>
    </row>
    <row r="194" spans="1:5" x14ac:dyDescent="0.2">
      <c r="A194">
        <v>2025</v>
      </c>
      <c r="B194" t="s">
        <v>124</v>
      </c>
      <c r="C194" t="s">
        <v>95</v>
      </c>
      <c r="D194">
        <v>3</v>
      </c>
      <c r="E194" s="14">
        <v>1564</v>
      </c>
    </row>
    <row r="195" spans="1:5" x14ac:dyDescent="0.2">
      <c r="A195">
        <v>2025</v>
      </c>
      <c r="B195" t="s">
        <v>124</v>
      </c>
      <c r="C195" t="s">
        <v>96</v>
      </c>
      <c r="D195">
        <v>4</v>
      </c>
      <c r="E195" s="14">
        <v>729</v>
      </c>
    </row>
    <row r="196" spans="1:5" x14ac:dyDescent="0.2">
      <c r="A196">
        <v>2025</v>
      </c>
      <c r="B196" t="s">
        <v>124</v>
      </c>
      <c r="C196" t="s">
        <v>97</v>
      </c>
      <c r="D196">
        <v>5</v>
      </c>
      <c r="E196" s="14">
        <v>2103</v>
      </c>
    </row>
    <row r="197" spans="1:5" x14ac:dyDescent="0.2">
      <c r="A197">
        <v>2025</v>
      </c>
      <c r="B197" t="s">
        <v>124</v>
      </c>
      <c r="C197" t="s">
        <v>98</v>
      </c>
      <c r="D197">
        <v>6</v>
      </c>
      <c r="E197" s="14">
        <v>3138</v>
      </c>
    </row>
    <row r="198" spans="1:5" x14ac:dyDescent="0.2">
      <c r="A198">
        <v>2025</v>
      </c>
      <c r="B198" t="s">
        <v>124</v>
      </c>
      <c r="C198" t="s">
        <v>99</v>
      </c>
      <c r="D198">
        <v>7</v>
      </c>
      <c r="E198" s="14">
        <v>1807</v>
      </c>
    </row>
    <row r="199" spans="1:5" x14ac:dyDescent="0.2">
      <c r="A199">
        <v>2025</v>
      </c>
      <c r="B199" t="s">
        <v>124</v>
      </c>
      <c r="C199" t="s">
        <v>100</v>
      </c>
      <c r="D199">
        <v>8</v>
      </c>
      <c r="E199" s="14">
        <v>4842</v>
      </c>
    </row>
    <row r="200" spans="1:5" x14ac:dyDescent="0.2">
      <c r="A200">
        <v>2025</v>
      </c>
      <c r="B200" t="s">
        <v>124</v>
      </c>
      <c r="C200" t="s">
        <v>101</v>
      </c>
      <c r="D200">
        <v>9</v>
      </c>
      <c r="E200" s="14">
        <v>4167</v>
      </c>
    </row>
    <row r="201" spans="1:5" x14ac:dyDescent="0.2">
      <c r="A201">
        <v>2025</v>
      </c>
      <c r="B201" t="s">
        <v>124</v>
      </c>
      <c r="C201" t="s">
        <v>102</v>
      </c>
      <c r="D201">
        <v>10</v>
      </c>
      <c r="E201" s="14">
        <v>6473</v>
      </c>
    </row>
    <row r="202" spans="1:5" x14ac:dyDescent="0.2">
      <c r="A202">
        <v>2025</v>
      </c>
      <c r="B202" t="s">
        <v>124</v>
      </c>
      <c r="C202" t="s">
        <v>103</v>
      </c>
      <c r="D202">
        <v>11</v>
      </c>
      <c r="E202" s="14">
        <v>22652</v>
      </c>
    </row>
    <row r="203" spans="1:5" x14ac:dyDescent="0.2">
      <c r="A203">
        <v>2025</v>
      </c>
      <c r="B203" t="s">
        <v>125</v>
      </c>
      <c r="C203" t="s">
        <v>93</v>
      </c>
      <c r="D203">
        <v>1</v>
      </c>
      <c r="E203" s="14">
        <v>11</v>
      </c>
    </row>
    <row r="204" spans="1:5" x14ac:dyDescent="0.2">
      <c r="A204">
        <v>2025</v>
      </c>
      <c r="B204" t="s">
        <v>125</v>
      </c>
      <c r="C204" t="s">
        <v>94</v>
      </c>
      <c r="D204">
        <v>2</v>
      </c>
      <c r="E204" s="14">
        <v>217</v>
      </c>
    </row>
    <row r="205" spans="1:5" x14ac:dyDescent="0.2">
      <c r="A205">
        <v>2025</v>
      </c>
      <c r="B205" t="s">
        <v>125</v>
      </c>
      <c r="C205" t="s">
        <v>95</v>
      </c>
      <c r="D205">
        <v>3</v>
      </c>
      <c r="E205" s="14">
        <v>329</v>
      </c>
    </row>
    <row r="206" spans="1:5" x14ac:dyDescent="0.2">
      <c r="A206">
        <v>2025</v>
      </c>
      <c r="B206" t="s">
        <v>125</v>
      </c>
      <c r="C206" t="s">
        <v>96</v>
      </c>
      <c r="D206">
        <v>4</v>
      </c>
      <c r="E206" s="14">
        <v>140</v>
      </c>
    </row>
    <row r="207" spans="1:5" x14ac:dyDescent="0.2">
      <c r="A207">
        <v>2025</v>
      </c>
      <c r="B207" t="s">
        <v>125</v>
      </c>
      <c r="C207" t="s">
        <v>97</v>
      </c>
      <c r="D207">
        <v>5</v>
      </c>
      <c r="E207" s="14">
        <v>514</v>
      </c>
    </row>
    <row r="208" spans="1:5" x14ac:dyDescent="0.2">
      <c r="A208">
        <v>2025</v>
      </c>
      <c r="B208" t="s">
        <v>125</v>
      </c>
      <c r="C208" t="s">
        <v>98</v>
      </c>
      <c r="D208">
        <v>6</v>
      </c>
      <c r="E208" s="14">
        <v>1187</v>
      </c>
    </row>
    <row r="209" spans="1:5" x14ac:dyDescent="0.2">
      <c r="A209">
        <v>2025</v>
      </c>
      <c r="B209" t="s">
        <v>125</v>
      </c>
      <c r="C209" t="s">
        <v>99</v>
      </c>
      <c r="D209">
        <v>7</v>
      </c>
      <c r="E209" s="14">
        <v>931</v>
      </c>
    </row>
    <row r="210" spans="1:5" x14ac:dyDescent="0.2">
      <c r="A210">
        <v>2025</v>
      </c>
      <c r="B210" t="s">
        <v>125</v>
      </c>
      <c r="C210" t="s">
        <v>100</v>
      </c>
      <c r="D210">
        <v>8</v>
      </c>
      <c r="E210" s="14">
        <v>2769</v>
      </c>
    </row>
    <row r="211" spans="1:5" x14ac:dyDescent="0.2">
      <c r="A211">
        <v>2025</v>
      </c>
      <c r="B211" t="s">
        <v>125</v>
      </c>
      <c r="C211" t="s">
        <v>101</v>
      </c>
      <c r="D211">
        <v>9</v>
      </c>
      <c r="E211" s="14">
        <v>2291</v>
      </c>
    </row>
    <row r="212" spans="1:5" x14ac:dyDescent="0.2">
      <c r="A212">
        <v>2025</v>
      </c>
      <c r="B212" t="s">
        <v>125</v>
      </c>
      <c r="C212" t="s">
        <v>102</v>
      </c>
      <c r="D212">
        <v>10</v>
      </c>
      <c r="E212" s="14">
        <v>3180</v>
      </c>
    </row>
    <row r="213" spans="1:5" x14ac:dyDescent="0.2">
      <c r="A213">
        <v>2025</v>
      </c>
      <c r="B213" t="s">
        <v>125</v>
      </c>
      <c r="C213" t="s">
        <v>103</v>
      </c>
      <c r="D213">
        <v>11</v>
      </c>
      <c r="E213" s="14">
        <v>7183</v>
      </c>
    </row>
    <row r="214" spans="1:5" x14ac:dyDescent="0.2">
      <c r="A214">
        <v>2025</v>
      </c>
      <c r="B214" t="s">
        <v>126</v>
      </c>
      <c r="C214" t="s">
        <v>93</v>
      </c>
      <c r="D214">
        <v>1</v>
      </c>
      <c r="E214" s="14">
        <v>166</v>
      </c>
    </row>
    <row r="215" spans="1:5" x14ac:dyDescent="0.2">
      <c r="A215">
        <v>2025</v>
      </c>
      <c r="B215" t="s">
        <v>126</v>
      </c>
      <c r="C215" t="s">
        <v>94</v>
      </c>
      <c r="D215">
        <v>2</v>
      </c>
      <c r="E215" s="14">
        <v>2083</v>
      </c>
    </row>
    <row r="216" spans="1:5" x14ac:dyDescent="0.2">
      <c r="A216">
        <v>2025</v>
      </c>
      <c r="B216" t="s">
        <v>126</v>
      </c>
      <c r="C216" t="s">
        <v>95</v>
      </c>
      <c r="D216">
        <v>3</v>
      </c>
      <c r="E216" s="14">
        <v>1882</v>
      </c>
    </row>
    <row r="217" spans="1:5" x14ac:dyDescent="0.2">
      <c r="A217">
        <v>2025</v>
      </c>
      <c r="B217" t="s">
        <v>126</v>
      </c>
      <c r="C217" t="s">
        <v>96</v>
      </c>
      <c r="D217">
        <v>4</v>
      </c>
      <c r="E217" s="14">
        <v>1061</v>
      </c>
    </row>
    <row r="218" spans="1:5" x14ac:dyDescent="0.2">
      <c r="A218">
        <v>2025</v>
      </c>
      <c r="B218" t="s">
        <v>126</v>
      </c>
      <c r="C218" t="s">
        <v>97</v>
      </c>
      <c r="D218">
        <v>5</v>
      </c>
      <c r="E218" s="14">
        <v>3748</v>
      </c>
    </row>
    <row r="219" spans="1:5" x14ac:dyDescent="0.2">
      <c r="A219">
        <v>2025</v>
      </c>
      <c r="B219" t="s">
        <v>126</v>
      </c>
      <c r="C219" t="s">
        <v>98</v>
      </c>
      <c r="D219">
        <v>6</v>
      </c>
      <c r="E219" s="14">
        <v>5853</v>
      </c>
    </row>
    <row r="220" spans="1:5" x14ac:dyDescent="0.2">
      <c r="A220">
        <v>2025</v>
      </c>
      <c r="B220" t="s">
        <v>126</v>
      </c>
      <c r="C220" t="s">
        <v>99</v>
      </c>
      <c r="D220">
        <v>7</v>
      </c>
      <c r="E220" s="14">
        <v>3161</v>
      </c>
    </row>
    <row r="221" spans="1:5" x14ac:dyDescent="0.2">
      <c r="A221">
        <v>2025</v>
      </c>
      <c r="B221" t="s">
        <v>126</v>
      </c>
      <c r="C221" t="s">
        <v>100</v>
      </c>
      <c r="D221">
        <v>8</v>
      </c>
      <c r="E221" s="14">
        <v>8038</v>
      </c>
    </row>
    <row r="222" spans="1:5" x14ac:dyDescent="0.2">
      <c r="A222">
        <v>2025</v>
      </c>
      <c r="B222" t="s">
        <v>126</v>
      </c>
      <c r="C222" t="s">
        <v>101</v>
      </c>
      <c r="D222">
        <v>9</v>
      </c>
      <c r="E222" s="14">
        <v>6691</v>
      </c>
    </row>
    <row r="223" spans="1:5" x14ac:dyDescent="0.2">
      <c r="A223">
        <v>2025</v>
      </c>
      <c r="B223" t="s">
        <v>126</v>
      </c>
      <c r="C223" t="s">
        <v>102</v>
      </c>
      <c r="D223">
        <v>10</v>
      </c>
      <c r="E223" s="14">
        <v>10736</v>
      </c>
    </row>
    <row r="224" spans="1:5" x14ac:dyDescent="0.2">
      <c r="A224">
        <v>2025</v>
      </c>
      <c r="B224" t="s">
        <v>126</v>
      </c>
      <c r="C224" t="s">
        <v>103</v>
      </c>
      <c r="D224">
        <v>11</v>
      </c>
      <c r="E224" s="14">
        <v>35353</v>
      </c>
    </row>
    <row r="225" spans="1:5" x14ac:dyDescent="0.2">
      <c r="A225">
        <v>2025</v>
      </c>
      <c r="B225" t="s">
        <v>127</v>
      </c>
      <c r="C225" t="s">
        <v>93</v>
      </c>
      <c r="D225">
        <v>1</v>
      </c>
      <c r="E225" s="14">
        <v>466</v>
      </c>
    </row>
    <row r="226" spans="1:5" x14ac:dyDescent="0.2">
      <c r="A226">
        <v>2025</v>
      </c>
      <c r="B226" t="s">
        <v>127</v>
      </c>
      <c r="C226" t="s">
        <v>94</v>
      </c>
      <c r="D226">
        <v>2</v>
      </c>
      <c r="E226" s="14">
        <v>4015</v>
      </c>
    </row>
    <row r="227" spans="1:5" x14ac:dyDescent="0.2">
      <c r="A227">
        <v>2025</v>
      </c>
      <c r="B227" t="s">
        <v>127</v>
      </c>
      <c r="C227" t="s">
        <v>95</v>
      </c>
      <c r="D227">
        <v>3</v>
      </c>
      <c r="E227" s="14">
        <v>3632</v>
      </c>
    </row>
    <row r="228" spans="1:5" x14ac:dyDescent="0.2">
      <c r="A228">
        <v>2025</v>
      </c>
      <c r="B228" t="s">
        <v>127</v>
      </c>
      <c r="C228" t="s">
        <v>96</v>
      </c>
      <c r="D228">
        <v>4</v>
      </c>
      <c r="E228" s="14">
        <v>1917</v>
      </c>
    </row>
    <row r="229" spans="1:5" x14ac:dyDescent="0.2">
      <c r="A229">
        <v>2025</v>
      </c>
      <c r="B229" t="s">
        <v>127</v>
      </c>
      <c r="C229" t="s">
        <v>97</v>
      </c>
      <c r="D229">
        <v>5</v>
      </c>
      <c r="E229" s="14">
        <v>7286</v>
      </c>
    </row>
    <row r="230" spans="1:5" x14ac:dyDescent="0.2">
      <c r="A230">
        <v>2025</v>
      </c>
      <c r="B230" t="s">
        <v>127</v>
      </c>
      <c r="C230" t="s">
        <v>98</v>
      </c>
      <c r="D230">
        <v>6</v>
      </c>
      <c r="E230" s="14">
        <v>10878</v>
      </c>
    </row>
    <row r="231" spans="1:5" x14ac:dyDescent="0.2">
      <c r="A231">
        <v>2025</v>
      </c>
      <c r="B231" t="s">
        <v>127</v>
      </c>
      <c r="C231" t="s">
        <v>99</v>
      </c>
      <c r="D231">
        <v>7</v>
      </c>
      <c r="E231" s="14">
        <v>5368</v>
      </c>
    </row>
    <row r="232" spans="1:5" x14ac:dyDescent="0.2">
      <c r="A232">
        <v>2025</v>
      </c>
      <c r="B232" t="s">
        <v>127</v>
      </c>
      <c r="C232" t="s">
        <v>100</v>
      </c>
      <c r="D232">
        <v>8</v>
      </c>
      <c r="E232" s="14">
        <v>13103</v>
      </c>
    </row>
    <row r="233" spans="1:5" x14ac:dyDescent="0.2">
      <c r="A233">
        <v>2025</v>
      </c>
      <c r="B233" t="s">
        <v>127</v>
      </c>
      <c r="C233" t="s">
        <v>101</v>
      </c>
      <c r="D233">
        <v>9</v>
      </c>
      <c r="E233" s="14">
        <v>11801</v>
      </c>
    </row>
    <row r="234" spans="1:5" x14ac:dyDescent="0.2">
      <c r="A234">
        <v>2025</v>
      </c>
      <c r="B234" t="s">
        <v>127</v>
      </c>
      <c r="C234" t="s">
        <v>102</v>
      </c>
      <c r="D234">
        <v>10</v>
      </c>
      <c r="E234" s="14">
        <v>19244</v>
      </c>
    </row>
    <row r="235" spans="1:5" x14ac:dyDescent="0.2">
      <c r="A235">
        <v>2025</v>
      </c>
      <c r="B235" t="s">
        <v>127</v>
      </c>
      <c r="C235" t="s">
        <v>103</v>
      </c>
      <c r="D235">
        <v>11</v>
      </c>
      <c r="E235" s="14">
        <v>67040</v>
      </c>
    </row>
    <row r="236" spans="1:5" x14ac:dyDescent="0.2">
      <c r="A236">
        <v>2025</v>
      </c>
      <c r="B236" t="s">
        <v>128</v>
      </c>
      <c r="C236" t="s">
        <v>93</v>
      </c>
      <c r="D236">
        <v>1</v>
      </c>
      <c r="E236" s="14">
        <v>149</v>
      </c>
    </row>
    <row r="237" spans="1:5" x14ac:dyDescent="0.2">
      <c r="A237">
        <v>2025</v>
      </c>
      <c r="B237" t="s">
        <v>128</v>
      </c>
      <c r="C237" t="s">
        <v>94</v>
      </c>
      <c r="D237">
        <v>2</v>
      </c>
      <c r="E237" s="14">
        <v>972</v>
      </c>
    </row>
    <row r="238" spans="1:5" x14ac:dyDescent="0.2">
      <c r="A238">
        <v>2025</v>
      </c>
      <c r="B238" t="s">
        <v>128</v>
      </c>
      <c r="C238" t="s">
        <v>95</v>
      </c>
      <c r="D238">
        <v>3</v>
      </c>
      <c r="E238" s="14">
        <v>756</v>
      </c>
    </row>
    <row r="239" spans="1:5" x14ac:dyDescent="0.2">
      <c r="A239">
        <v>2025</v>
      </c>
      <c r="B239" t="s">
        <v>128</v>
      </c>
      <c r="C239" t="s">
        <v>96</v>
      </c>
      <c r="D239">
        <v>4</v>
      </c>
      <c r="E239" s="14">
        <v>391</v>
      </c>
    </row>
    <row r="240" spans="1:5" x14ac:dyDescent="0.2">
      <c r="A240">
        <v>2025</v>
      </c>
      <c r="B240" t="s">
        <v>128</v>
      </c>
      <c r="C240" t="s">
        <v>97</v>
      </c>
      <c r="D240">
        <v>5</v>
      </c>
      <c r="E240" s="14">
        <v>1179</v>
      </c>
    </row>
    <row r="241" spans="1:5" x14ac:dyDescent="0.2">
      <c r="A241">
        <v>2025</v>
      </c>
      <c r="B241" t="s">
        <v>128</v>
      </c>
      <c r="C241" t="s">
        <v>98</v>
      </c>
      <c r="D241">
        <v>6</v>
      </c>
      <c r="E241" s="14">
        <v>1904</v>
      </c>
    </row>
    <row r="242" spans="1:5" x14ac:dyDescent="0.2">
      <c r="A242">
        <v>2025</v>
      </c>
      <c r="B242" t="s">
        <v>128</v>
      </c>
      <c r="C242" t="s">
        <v>99</v>
      </c>
      <c r="D242">
        <v>7</v>
      </c>
      <c r="E242" s="14">
        <v>1043</v>
      </c>
    </row>
    <row r="243" spans="1:5" x14ac:dyDescent="0.2">
      <c r="A243">
        <v>2025</v>
      </c>
      <c r="B243" t="s">
        <v>128</v>
      </c>
      <c r="C243" t="s">
        <v>100</v>
      </c>
      <c r="D243">
        <v>8</v>
      </c>
      <c r="E243" s="14">
        <v>2728</v>
      </c>
    </row>
    <row r="244" spans="1:5" x14ac:dyDescent="0.2">
      <c r="A244">
        <v>2025</v>
      </c>
      <c r="B244" t="s">
        <v>128</v>
      </c>
      <c r="C244" t="s">
        <v>101</v>
      </c>
      <c r="D244">
        <v>9</v>
      </c>
      <c r="E244" s="14">
        <v>2513</v>
      </c>
    </row>
    <row r="245" spans="1:5" x14ac:dyDescent="0.2">
      <c r="A245">
        <v>2025</v>
      </c>
      <c r="B245" t="s">
        <v>128</v>
      </c>
      <c r="C245" t="s">
        <v>102</v>
      </c>
      <c r="D245">
        <v>10</v>
      </c>
      <c r="E245" s="14">
        <v>4141</v>
      </c>
    </row>
    <row r="246" spans="1:5" x14ac:dyDescent="0.2">
      <c r="A246">
        <v>2025</v>
      </c>
      <c r="B246" t="s">
        <v>128</v>
      </c>
      <c r="C246" t="s">
        <v>103</v>
      </c>
      <c r="D246">
        <v>11</v>
      </c>
      <c r="E246" s="14">
        <v>14337</v>
      </c>
    </row>
    <row r="247" spans="1:5" x14ac:dyDescent="0.2">
      <c r="A247">
        <v>2025</v>
      </c>
      <c r="B247" t="s">
        <v>129</v>
      </c>
      <c r="C247" t="s">
        <v>93</v>
      </c>
      <c r="D247">
        <v>1</v>
      </c>
      <c r="E247" s="14">
        <v>4</v>
      </c>
    </row>
    <row r="248" spans="1:5" x14ac:dyDescent="0.2">
      <c r="A248">
        <v>2025</v>
      </c>
      <c r="B248" t="s">
        <v>129</v>
      </c>
      <c r="C248" t="s">
        <v>94</v>
      </c>
      <c r="D248">
        <v>2</v>
      </c>
      <c r="E248" s="14">
        <v>84</v>
      </c>
    </row>
    <row r="249" spans="1:5" x14ac:dyDescent="0.2">
      <c r="A249">
        <v>2025</v>
      </c>
      <c r="B249" t="s">
        <v>129</v>
      </c>
      <c r="C249" t="s">
        <v>95</v>
      </c>
      <c r="D249">
        <v>3</v>
      </c>
      <c r="E249" s="14">
        <v>84</v>
      </c>
    </row>
    <row r="250" spans="1:5" x14ac:dyDescent="0.2">
      <c r="A250">
        <v>2025</v>
      </c>
      <c r="B250" t="s">
        <v>129</v>
      </c>
      <c r="C250" t="s">
        <v>96</v>
      </c>
      <c r="D250">
        <v>4</v>
      </c>
      <c r="E250" s="14">
        <v>42</v>
      </c>
    </row>
    <row r="251" spans="1:5" x14ac:dyDescent="0.2">
      <c r="A251">
        <v>2025</v>
      </c>
      <c r="B251" t="s">
        <v>129</v>
      </c>
      <c r="C251" t="s">
        <v>97</v>
      </c>
      <c r="D251">
        <v>5</v>
      </c>
      <c r="E251" s="14">
        <v>172</v>
      </c>
    </row>
    <row r="252" spans="1:5" x14ac:dyDescent="0.2">
      <c r="A252">
        <v>2025</v>
      </c>
      <c r="B252" t="s">
        <v>129</v>
      </c>
      <c r="C252" t="s">
        <v>98</v>
      </c>
      <c r="D252">
        <v>6</v>
      </c>
      <c r="E252" s="14">
        <v>137</v>
      </c>
    </row>
    <row r="253" spans="1:5" x14ac:dyDescent="0.2">
      <c r="A253">
        <v>2025</v>
      </c>
      <c r="B253" t="s">
        <v>129</v>
      </c>
      <c r="C253" t="s">
        <v>99</v>
      </c>
      <c r="D253">
        <v>7</v>
      </c>
      <c r="E253" s="14">
        <v>89</v>
      </c>
    </row>
    <row r="254" spans="1:5" x14ac:dyDescent="0.2">
      <c r="A254">
        <v>2025</v>
      </c>
      <c r="B254" t="s">
        <v>129</v>
      </c>
      <c r="C254" t="s">
        <v>100</v>
      </c>
      <c r="D254">
        <v>8</v>
      </c>
      <c r="E254" s="14">
        <v>252</v>
      </c>
    </row>
    <row r="255" spans="1:5" x14ac:dyDescent="0.2">
      <c r="A255">
        <v>2025</v>
      </c>
      <c r="B255" t="s">
        <v>129</v>
      </c>
      <c r="C255" t="s">
        <v>101</v>
      </c>
      <c r="D255">
        <v>9</v>
      </c>
      <c r="E255" s="14">
        <v>250</v>
      </c>
    </row>
    <row r="256" spans="1:5" x14ac:dyDescent="0.2">
      <c r="A256">
        <v>2025</v>
      </c>
      <c r="B256" t="s">
        <v>129</v>
      </c>
      <c r="C256" t="s">
        <v>102</v>
      </c>
      <c r="D256">
        <v>10</v>
      </c>
      <c r="E256" s="14">
        <v>375</v>
      </c>
    </row>
    <row r="257" spans="1:5" x14ac:dyDescent="0.2">
      <c r="A257">
        <v>2025</v>
      </c>
      <c r="B257" t="s">
        <v>129</v>
      </c>
      <c r="C257" t="s">
        <v>103</v>
      </c>
      <c r="D257">
        <v>11</v>
      </c>
      <c r="E257" s="14">
        <v>679</v>
      </c>
    </row>
    <row r="258" spans="1:5" x14ac:dyDescent="0.2">
      <c r="A258">
        <v>2025</v>
      </c>
      <c r="B258" t="s">
        <v>130</v>
      </c>
      <c r="C258" t="s">
        <v>93</v>
      </c>
      <c r="D258">
        <v>1</v>
      </c>
      <c r="E258" s="14">
        <v>20</v>
      </c>
    </row>
    <row r="259" spans="1:5" x14ac:dyDescent="0.2">
      <c r="A259">
        <v>2025</v>
      </c>
      <c r="B259" t="s">
        <v>130</v>
      </c>
      <c r="C259" t="s">
        <v>94</v>
      </c>
      <c r="D259">
        <v>2</v>
      </c>
      <c r="E259" s="14">
        <v>419</v>
      </c>
    </row>
    <row r="260" spans="1:5" x14ac:dyDescent="0.2">
      <c r="A260">
        <v>2025</v>
      </c>
      <c r="B260" t="s">
        <v>130</v>
      </c>
      <c r="C260" t="s">
        <v>95</v>
      </c>
      <c r="D260">
        <v>3</v>
      </c>
      <c r="E260" s="14">
        <v>396</v>
      </c>
    </row>
    <row r="261" spans="1:5" x14ac:dyDescent="0.2">
      <c r="A261">
        <v>2025</v>
      </c>
      <c r="B261" t="s">
        <v>130</v>
      </c>
      <c r="C261" t="s">
        <v>96</v>
      </c>
      <c r="D261">
        <v>4</v>
      </c>
      <c r="E261" s="14">
        <v>215</v>
      </c>
    </row>
    <row r="262" spans="1:5" x14ac:dyDescent="0.2">
      <c r="A262">
        <v>2025</v>
      </c>
      <c r="B262" t="s">
        <v>130</v>
      </c>
      <c r="C262" t="s">
        <v>97</v>
      </c>
      <c r="D262">
        <v>5</v>
      </c>
      <c r="E262" s="14">
        <v>691</v>
      </c>
    </row>
    <row r="263" spans="1:5" x14ac:dyDescent="0.2">
      <c r="A263">
        <v>2025</v>
      </c>
      <c r="B263" t="s">
        <v>130</v>
      </c>
      <c r="C263" t="s">
        <v>98</v>
      </c>
      <c r="D263">
        <v>6</v>
      </c>
      <c r="E263" s="14">
        <v>863</v>
      </c>
    </row>
    <row r="264" spans="1:5" x14ac:dyDescent="0.2">
      <c r="A264">
        <v>2025</v>
      </c>
      <c r="B264" t="s">
        <v>130</v>
      </c>
      <c r="C264" t="s">
        <v>99</v>
      </c>
      <c r="D264">
        <v>7</v>
      </c>
      <c r="E264" s="14">
        <v>619</v>
      </c>
    </row>
    <row r="265" spans="1:5" x14ac:dyDescent="0.2">
      <c r="A265">
        <v>2025</v>
      </c>
      <c r="B265" t="s">
        <v>130</v>
      </c>
      <c r="C265" t="s">
        <v>100</v>
      </c>
      <c r="D265">
        <v>8</v>
      </c>
      <c r="E265" s="14">
        <v>1886</v>
      </c>
    </row>
    <row r="266" spans="1:5" x14ac:dyDescent="0.2">
      <c r="A266">
        <v>2025</v>
      </c>
      <c r="B266" t="s">
        <v>130</v>
      </c>
      <c r="C266" t="s">
        <v>101</v>
      </c>
      <c r="D266">
        <v>9</v>
      </c>
      <c r="E266" s="14">
        <v>1666</v>
      </c>
    </row>
    <row r="267" spans="1:5" x14ac:dyDescent="0.2">
      <c r="A267">
        <v>2025</v>
      </c>
      <c r="B267" t="s">
        <v>130</v>
      </c>
      <c r="C267" t="s">
        <v>102</v>
      </c>
      <c r="D267">
        <v>10</v>
      </c>
      <c r="E267" s="14">
        <v>2137</v>
      </c>
    </row>
    <row r="268" spans="1:5" x14ac:dyDescent="0.2">
      <c r="A268">
        <v>2025</v>
      </c>
      <c r="B268" t="s">
        <v>130</v>
      </c>
      <c r="C268" t="s">
        <v>103</v>
      </c>
      <c r="D268">
        <v>11</v>
      </c>
      <c r="E268" s="14">
        <v>4784</v>
      </c>
    </row>
    <row r="269" spans="1:5" x14ac:dyDescent="0.2">
      <c r="A269">
        <v>2025</v>
      </c>
      <c r="B269" t="s">
        <v>131</v>
      </c>
      <c r="C269" t="s">
        <v>93</v>
      </c>
      <c r="D269">
        <v>1</v>
      </c>
      <c r="E269" s="14">
        <v>139</v>
      </c>
    </row>
    <row r="270" spans="1:5" x14ac:dyDescent="0.2">
      <c r="A270">
        <v>2025</v>
      </c>
      <c r="B270" t="s">
        <v>131</v>
      </c>
      <c r="C270" t="s">
        <v>94</v>
      </c>
      <c r="D270">
        <v>2</v>
      </c>
      <c r="E270" s="14">
        <v>1661</v>
      </c>
    </row>
    <row r="271" spans="1:5" x14ac:dyDescent="0.2">
      <c r="A271">
        <v>2025</v>
      </c>
      <c r="B271" t="s">
        <v>131</v>
      </c>
      <c r="C271" t="s">
        <v>95</v>
      </c>
      <c r="D271">
        <v>3</v>
      </c>
      <c r="E271" s="14">
        <v>1599</v>
      </c>
    </row>
    <row r="272" spans="1:5" x14ac:dyDescent="0.2">
      <c r="A272">
        <v>2025</v>
      </c>
      <c r="B272" t="s">
        <v>131</v>
      </c>
      <c r="C272" t="s">
        <v>96</v>
      </c>
      <c r="D272">
        <v>4</v>
      </c>
      <c r="E272" s="14">
        <v>809</v>
      </c>
    </row>
    <row r="273" spans="1:5" x14ac:dyDescent="0.2">
      <c r="A273">
        <v>2025</v>
      </c>
      <c r="B273" t="s">
        <v>131</v>
      </c>
      <c r="C273" t="s">
        <v>97</v>
      </c>
      <c r="D273">
        <v>5</v>
      </c>
      <c r="E273" s="14">
        <v>2396</v>
      </c>
    </row>
    <row r="274" spans="1:5" x14ac:dyDescent="0.2">
      <c r="A274">
        <v>2025</v>
      </c>
      <c r="B274" t="s">
        <v>131</v>
      </c>
      <c r="C274" t="s">
        <v>98</v>
      </c>
      <c r="D274">
        <v>6</v>
      </c>
      <c r="E274" s="14">
        <v>3589</v>
      </c>
    </row>
    <row r="275" spans="1:5" x14ac:dyDescent="0.2">
      <c r="A275">
        <v>2025</v>
      </c>
      <c r="B275" t="s">
        <v>131</v>
      </c>
      <c r="C275" t="s">
        <v>99</v>
      </c>
      <c r="D275">
        <v>7</v>
      </c>
      <c r="E275" s="14">
        <v>2041</v>
      </c>
    </row>
    <row r="276" spans="1:5" x14ac:dyDescent="0.2">
      <c r="A276">
        <v>2025</v>
      </c>
      <c r="B276" t="s">
        <v>131</v>
      </c>
      <c r="C276" t="s">
        <v>100</v>
      </c>
      <c r="D276">
        <v>8</v>
      </c>
      <c r="E276" s="14">
        <v>5301</v>
      </c>
    </row>
    <row r="277" spans="1:5" x14ac:dyDescent="0.2">
      <c r="A277">
        <v>2025</v>
      </c>
      <c r="B277" t="s">
        <v>131</v>
      </c>
      <c r="C277" t="s">
        <v>101</v>
      </c>
      <c r="D277">
        <v>9</v>
      </c>
      <c r="E277" s="14">
        <v>4903</v>
      </c>
    </row>
    <row r="278" spans="1:5" x14ac:dyDescent="0.2">
      <c r="A278">
        <v>2025</v>
      </c>
      <c r="B278" t="s">
        <v>131</v>
      </c>
      <c r="C278" t="s">
        <v>102</v>
      </c>
      <c r="D278">
        <v>10</v>
      </c>
      <c r="E278" s="14">
        <v>7844</v>
      </c>
    </row>
    <row r="279" spans="1:5" x14ac:dyDescent="0.2">
      <c r="A279">
        <v>2025</v>
      </c>
      <c r="B279" t="s">
        <v>131</v>
      </c>
      <c r="C279" t="s">
        <v>103</v>
      </c>
      <c r="D279">
        <v>11</v>
      </c>
      <c r="E279" s="14">
        <v>24189</v>
      </c>
    </row>
    <row r="280" spans="1:5" x14ac:dyDescent="0.2">
      <c r="A280">
        <v>2025</v>
      </c>
      <c r="B280" t="s">
        <v>132</v>
      </c>
      <c r="C280" t="s">
        <v>93</v>
      </c>
      <c r="D280">
        <v>1</v>
      </c>
      <c r="E280" s="14">
        <v>0</v>
      </c>
    </row>
    <row r="281" spans="1:5" x14ac:dyDescent="0.2">
      <c r="A281">
        <v>2025</v>
      </c>
      <c r="B281" t="s">
        <v>132</v>
      </c>
      <c r="C281" t="s">
        <v>94</v>
      </c>
      <c r="D281">
        <v>2</v>
      </c>
      <c r="E281" s="14">
        <v>59</v>
      </c>
    </row>
    <row r="282" spans="1:5" x14ac:dyDescent="0.2">
      <c r="A282">
        <v>2025</v>
      </c>
      <c r="B282" t="s">
        <v>132</v>
      </c>
      <c r="C282" t="s">
        <v>95</v>
      </c>
      <c r="D282">
        <v>3</v>
      </c>
      <c r="E282" s="14">
        <v>251</v>
      </c>
    </row>
    <row r="283" spans="1:5" x14ac:dyDescent="0.2">
      <c r="A283">
        <v>2025</v>
      </c>
      <c r="B283" t="s">
        <v>132</v>
      </c>
      <c r="C283" t="s">
        <v>96</v>
      </c>
      <c r="D283">
        <v>4</v>
      </c>
      <c r="E283" s="14">
        <v>273</v>
      </c>
    </row>
    <row r="284" spans="1:5" x14ac:dyDescent="0.2">
      <c r="A284">
        <v>2025</v>
      </c>
      <c r="B284" t="s">
        <v>132</v>
      </c>
      <c r="C284" t="s">
        <v>97</v>
      </c>
      <c r="D284">
        <v>5</v>
      </c>
      <c r="E284" s="14">
        <v>1757</v>
      </c>
    </row>
    <row r="285" spans="1:5" x14ac:dyDescent="0.2">
      <c r="A285">
        <v>2025</v>
      </c>
      <c r="B285" t="s">
        <v>132</v>
      </c>
      <c r="C285" t="s">
        <v>98</v>
      </c>
      <c r="D285">
        <v>6</v>
      </c>
      <c r="E285" s="14">
        <v>4589</v>
      </c>
    </row>
    <row r="286" spans="1:5" x14ac:dyDescent="0.2">
      <c r="A286">
        <v>2025</v>
      </c>
      <c r="B286" t="s">
        <v>132</v>
      </c>
      <c r="C286" t="s">
        <v>99</v>
      </c>
      <c r="D286">
        <v>7</v>
      </c>
      <c r="E286" s="14">
        <v>2717</v>
      </c>
    </row>
    <row r="287" spans="1:5" x14ac:dyDescent="0.2">
      <c r="A287">
        <v>2025</v>
      </c>
      <c r="B287" t="s">
        <v>132</v>
      </c>
      <c r="C287" t="s">
        <v>100</v>
      </c>
      <c r="D287">
        <v>8</v>
      </c>
      <c r="E287" s="14">
        <v>5557</v>
      </c>
    </row>
    <row r="288" spans="1:5" x14ac:dyDescent="0.2">
      <c r="A288">
        <v>2025</v>
      </c>
      <c r="B288" t="s">
        <v>132</v>
      </c>
      <c r="C288" t="s">
        <v>101</v>
      </c>
      <c r="D288">
        <v>9</v>
      </c>
      <c r="E288" s="14">
        <v>3783</v>
      </c>
    </row>
    <row r="289" spans="1:5" x14ac:dyDescent="0.2">
      <c r="A289">
        <v>2025</v>
      </c>
      <c r="B289" t="s">
        <v>132</v>
      </c>
      <c r="C289" t="s">
        <v>102</v>
      </c>
      <c r="D289">
        <v>10</v>
      </c>
      <c r="E289" s="14">
        <v>4782</v>
      </c>
    </row>
    <row r="290" spans="1:5" x14ac:dyDescent="0.2">
      <c r="A290">
        <v>2025</v>
      </c>
      <c r="B290" t="s">
        <v>132</v>
      </c>
      <c r="C290" t="s">
        <v>103</v>
      </c>
      <c r="D290">
        <v>11</v>
      </c>
      <c r="E290" s="14">
        <v>8930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5"/>
  <sheetViews>
    <sheetView workbookViewId="0"/>
  </sheetViews>
  <sheetFormatPr baseColWidth="10" defaultColWidth="8.83203125" defaultRowHeight="15" x14ac:dyDescent="0.2"/>
  <cols>
    <col min="1" max="1" width="10" customWidth="1"/>
    <col min="2" max="7" width="11" customWidth="1"/>
    <col min="8" max="10" width="12" customWidth="1"/>
    <col min="11" max="11" width="14" customWidth="1"/>
  </cols>
  <sheetData>
    <row r="1" spans="1:11" ht="19" x14ac:dyDescent="0.25">
      <c r="A1" s="1" t="s">
        <v>141</v>
      </c>
    </row>
    <row r="2" spans="1:11" x14ac:dyDescent="0.2">
      <c r="A2" s="2" t="s">
        <v>78</v>
      </c>
    </row>
    <row r="4" spans="1:11" x14ac:dyDescent="0.2">
      <c r="B4" s="27" t="s">
        <v>93</v>
      </c>
      <c r="C4" s="28"/>
      <c r="D4" s="27" t="s">
        <v>94</v>
      </c>
      <c r="E4" s="28"/>
      <c r="F4" s="27" t="s">
        <v>95</v>
      </c>
      <c r="G4" s="28"/>
      <c r="H4" s="27" t="s">
        <v>92</v>
      </c>
      <c r="I4" s="28"/>
      <c r="J4" s="28"/>
    </row>
    <row r="5" spans="1:11" ht="30" customHeight="1" x14ac:dyDescent="0.2">
      <c r="A5" s="5" t="s">
        <v>79</v>
      </c>
      <c r="B5" s="5" t="s">
        <v>142</v>
      </c>
      <c r="C5" s="5" t="s">
        <v>143</v>
      </c>
      <c r="D5" s="5" t="s">
        <v>142</v>
      </c>
      <c r="E5" s="5" t="s">
        <v>143</v>
      </c>
      <c r="F5" s="5" t="s">
        <v>142</v>
      </c>
      <c r="G5" s="5" t="s">
        <v>143</v>
      </c>
      <c r="H5" s="5" t="s">
        <v>90</v>
      </c>
      <c r="I5" s="5" t="s">
        <v>91</v>
      </c>
      <c r="J5" s="5" t="s">
        <v>92</v>
      </c>
      <c r="K5" s="5" t="s">
        <v>115</v>
      </c>
    </row>
    <row r="6" spans="1:11" x14ac:dyDescent="0.2">
      <c r="A6" s="6">
        <v>2016</v>
      </c>
      <c r="B6" s="7">
        <v>1170</v>
      </c>
      <c r="C6" s="7">
        <v>703</v>
      </c>
      <c r="D6" s="7">
        <v>16114</v>
      </c>
      <c r="E6" s="7">
        <v>8202</v>
      </c>
      <c r="F6" s="7">
        <v>12578</v>
      </c>
      <c r="G6" s="7">
        <v>5186</v>
      </c>
      <c r="H6" s="7">
        <f t="shared" ref="H6:H15" si="0">B6+D6+F6</f>
        <v>29862</v>
      </c>
      <c r="I6" s="7">
        <f t="shared" ref="I6:I15" si="1">C6+E6+G6</f>
        <v>14091</v>
      </c>
      <c r="J6" s="7">
        <f t="shared" ref="J6:J15" si="2">H6+I6</f>
        <v>43953</v>
      </c>
      <c r="K6" s="15">
        <f t="shared" ref="K6:K15" si="3">I6/J6</f>
        <v>0.32059245102723366</v>
      </c>
    </row>
    <row r="7" spans="1:11" x14ac:dyDescent="0.2">
      <c r="A7" s="6">
        <v>2017</v>
      </c>
      <c r="B7" s="7">
        <v>1112</v>
      </c>
      <c r="C7" s="7">
        <v>670</v>
      </c>
      <c r="D7" s="7">
        <v>15727</v>
      </c>
      <c r="E7" s="7">
        <v>7994</v>
      </c>
      <c r="F7" s="7">
        <v>12093</v>
      </c>
      <c r="G7" s="7">
        <v>5077</v>
      </c>
      <c r="H7" s="7">
        <f t="shared" si="0"/>
        <v>28932</v>
      </c>
      <c r="I7" s="7">
        <f t="shared" si="1"/>
        <v>13741</v>
      </c>
      <c r="J7" s="7">
        <f t="shared" si="2"/>
        <v>42673</v>
      </c>
      <c r="K7" s="15">
        <f t="shared" si="3"/>
        <v>0.32200688960232465</v>
      </c>
    </row>
    <row r="8" spans="1:11" x14ac:dyDescent="0.2">
      <c r="A8" s="6">
        <v>2018</v>
      </c>
      <c r="B8" s="7">
        <v>1122</v>
      </c>
      <c r="C8" s="7">
        <v>701</v>
      </c>
      <c r="D8" s="7">
        <v>15133</v>
      </c>
      <c r="E8" s="7">
        <v>7887</v>
      </c>
      <c r="F8" s="7">
        <v>11643</v>
      </c>
      <c r="G8" s="7">
        <v>4919</v>
      </c>
      <c r="H8" s="7">
        <f t="shared" si="0"/>
        <v>27898</v>
      </c>
      <c r="I8" s="7">
        <f t="shared" si="1"/>
        <v>13507</v>
      </c>
      <c r="J8" s="7">
        <f t="shared" si="2"/>
        <v>41405</v>
      </c>
      <c r="K8" s="15">
        <f t="shared" si="3"/>
        <v>0.32621664050235477</v>
      </c>
    </row>
    <row r="9" spans="1:11" x14ac:dyDescent="0.2">
      <c r="A9" s="6">
        <v>2019</v>
      </c>
      <c r="B9" s="7">
        <v>1058</v>
      </c>
      <c r="C9" s="7">
        <v>726</v>
      </c>
      <c r="D9" s="7">
        <v>14782</v>
      </c>
      <c r="E9" s="7">
        <v>7608</v>
      </c>
      <c r="F9" s="7">
        <v>11368</v>
      </c>
      <c r="G9" s="7">
        <v>4796</v>
      </c>
      <c r="H9" s="7">
        <f t="shared" si="0"/>
        <v>27208</v>
      </c>
      <c r="I9" s="7">
        <f t="shared" si="1"/>
        <v>13130</v>
      </c>
      <c r="J9" s="7">
        <f t="shared" si="2"/>
        <v>40338</v>
      </c>
      <c r="K9" s="15">
        <f t="shared" si="3"/>
        <v>0.32549952898011802</v>
      </c>
    </row>
    <row r="10" spans="1:11" x14ac:dyDescent="0.2">
      <c r="A10" s="6">
        <v>2020</v>
      </c>
      <c r="B10" s="7">
        <v>1186</v>
      </c>
      <c r="C10" s="7">
        <v>754</v>
      </c>
      <c r="D10" s="7">
        <v>14729</v>
      </c>
      <c r="E10" s="7">
        <v>7726</v>
      </c>
      <c r="F10" s="7">
        <v>11761</v>
      </c>
      <c r="G10" s="7">
        <v>5056</v>
      </c>
      <c r="H10" s="7">
        <f t="shared" si="0"/>
        <v>27676</v>
      </c>
      <c r="I10" s="7">
        <f t="shared" si="1"/>
        <v>13536</v>
      </c>
      <c r="J10" s="7">
        <f t="shared" si="2"/>
        <v>41212</v>
      </c>
      <c r="K10" s="15">
        <f t="shared" si="3"/>
        <v>0.32844802484713193</v>
      </c>
    </row>
    <row r="11" spans="1:11" x14ac:dyDescent="0.2">
      <c r="A11" s="6">
        <v>2021</v>
      </c>
      <c r="B11" s="7">
        <v>1310</v>
      </c>
      <c r="C11" s="7">
        <v>861</v>
      </c>
      <c r="D11" s="7">
        <v>15438</v>
      </c>
      <c r="E11" s="7">
        <v>8137</v>
      </c>
      <c r="F11" s="7">
        <v>12612</v>
      </c>
      <c r="G11" s="7">
        <v>5560</v>
      </c>
      <c r="H11" s="7">
        <f t="shared" si="0"/>
        <v>29360</v>
      </c>
      <c r="I11" s="7">
        <f t="shared" si="1"/>
        <v>14558</v>
      </c>
      <c r="J11" s="7">
        <f t="shared" si="2"/>
        <v>43918</v>
      </c>
      <c r="K11" s="15">
        <f t="shared" si="3"/>
        <v>0.33148139714923264</v>
      </c>
    </row>
    <row r="12" spans="1:11" x14ac:dyDescent="0.2">
      <c r="A12" s="6">
        <v>2022</v>
      </c>
      <c r="B12" s="7">
        <v>1326</v>
      </c>
      <c r="C12" s="7">
        <v>886</v>
      </c>
      <c r="D12" s="7">
        <v>15302</v>
      </c>
      <c r="E12" s="7">
        <v>8228</v>
      </c>
      <c r="F12" s="7">
        <v>12769</v>
      </c>
      <c r="G12" s="7">
        <v>5766</v>
      </c>
      <c r="H12" s="7">
        <f t="shared" si="0"/>
        <v>29397</v>
      </c>
      <c r="I12" s="7">
        <f t="shared" si="1"/>
        <v>14880</v>
      </c>
      <c r="J12" s="7">
        <f t="shared" si="2"/>
        <v>44277</v>
      </c>
      <c r="K12" s="15">
        <f t="shared" si="3"/>
        <v>0.33606612914154077</v>
      </c>
    </row>
    <row r="13" spans="1:11" x14ac:dyDescent="0.2">
      <c r="A13" s="6">
        <v>2023</v>
      </c>
      <c r="B13" s="7">
        <v>1265</v>
      </c>
      <c r="C13" s="7">
        <v>865</v>
      </c>
      <c r="D13" s="7">
        <v>14582</v>
      </c>
      <c r="E13" s="7">
        <v>7791</v>
      </c>
      <c r="F13" s="7">
        <v>12676</v>
      </c>
      <c r="G13" s="7">
        <v>5680</v>
      </c>
      <c r="H13" s="7">
        <f t="shared" si="0"/>
        <v>28523</v>
      </c>
      <c r="I13" s="7">
        <f t="shared" si="1"/>
        <v>14336</v>
      </c>
      <c r="J13" s="7">
        <f t="shared" si="2"/>
        <v>42859</v>
      </c>
      <c r="K13" s="15">
        <f t="shared" si="3"/>
        <v>0.33449217200587972</v>
      </c>
    </row>
    <row r="14" spans="1:11" x14ac:dyDescent="0.2">
      <c r="A14" s="6">
        <v>2024</v>
      </c>
      <c r="B14" s="7">
        <v>1334</v>
      </c>
      <c r="C14" s="7">
        <v>855</v>
      </c>
      <c r="D14" s="7">
        <v>14137</v>
      </c>
      <c r="E14" s="7">
        <v>7655</v>
      </c>
      <c r="F14" s="7">
        <v>12704</v>
      </c>
      <c r="G14" s="7">
        <v>5562</v>
      </c>
      <c r="H14" s="7">
        <f t="shared" si="0"/>
        <v>28175</v>
      </c>
      <c r="I14" s="7">
        <f t="shared" si="1"/>
        <v>14072</v>
      </c>
      <c r="J14" s="7">
        <f t="shared" si="2"/>
        <v>42247</v>
      </c>
      <c r="K14" s="15">
        <f t="shared" si="3"/>
        <v>0.33308874002887778</v>
      </c>
    </row>
    <row r="15" spans="1:11" x14ac:dyDescent="0.2">
      <c r="A15" s="6">
        <v>2025</v>
      </c>
      <c r="B15" s="7">
        <v>1347</v>
      </c>
      <c r="C15" s="7">
        <v>824</v>
      </c>
      <c r="D15" s="7">
        <v>14268</v>
      </c>
      <c r="E15" s="7">
        <v>7472</v>
      </c>
      <c r="F15" s="7">
        <v>13350</v>
      </c>
      <c r="G15" s="7">
        <v>5537</v>
      </c>
      <c r="H15" s="7">
        <f t="shared" si="0"/>
        <v>28965</v>
      </c>
      <c r="I15" s="7">
        <f t="shared" si="1"/>
        <v>13833</v>
      </c>
      <c r="J15" s="7">
        <f t="shared" si="2"/>
        <v>42798</v>
      </c>
      <c r="K15" s="15">
        <f t="shared" si="3"/>
        <v>0.32321603813262301</v>
      </c>
    </row>
  </sheetData>
  <mergeCells count="4">
    <mergeCell ref="F4:G4"/>
    <mergeCell ref="H4:J4"/>
    <mergeCell ref="B4:C4"/>
    <mergeCell ref="D4:E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"/>
  <sheetViews>
    <sheetView workbookViewId="0"/>
  </sheetViews>
  <sheetFormatPr baseColWidth="10" defaultColWidth="8.83203125" defaultRowHeight="15" x14ac:dyDescent="0.2"/>
  <cols>
    <col min="1" max="1" width="18" customWidth="1"/>
    <col min="2" max="4" width="13" customWidth="1"/>
    <col min="5" max="5" width="18" customWidth="1"/>
    <col min="6" max="6" width="15" customWidth="1"/>
  </cols>
  <sheetData>
    <row r="1" spans="1:6" ht="19" x14ac:dyDescent="0.25">
      <c r="A1" s="1" t="s">
        <v>144</v>
      </c>
    </row>
    <row r="2" spans="1:6" x14ac:dyDescent="0.2">
      <c r="A2" s="2" t="s">
        <v>145</v>
      </c>
    </row>
    <row r="4" spans="1:6" ht="30" customHeight="1" x14ac:dyDescent="0.2">
      <c r="A4" s="5" t="s">
        <v>89</v>
      </c>
      <c r="B4" s="5" t="s">
        <v>91</v>
      </c>
      <c r="C4" s="5" t="s">
        <v>90</v>
      </c>
      <c r="D4" s="5" t="s">
        <v>92</v>
      </c>
      <c r="E4" s="5" t="s">
        <v>146</v>
      </c>
      <c r="F4" s="5" t="s">
        <v>115</v>
      </c>
    </row>
    <row r="5" spans="1:6" x14ac:dyDescent="0.2">
      <c r="A5" s="6" t="s">
        <v>147</v>
      </c>
      <c r="B5" s="7">
        <v>35404</v>
      </c>
      <c r="C5" s="7">
        <v>57299</v>
      </c>
      <c r="D5" s="7">
        <f>B5+C5</f>
        <v>92703</v>
      </c>
      <c r="E5" s="15">
        <v>0.13300000000000001</v>
      </c>
      <c r="F5" s="15">
        <f>B5/D5</f>
        <v>0.38190781312363137</v>
      </c>
    </row>
    <row r="6" spans="1:6" x14ac:dyDescent="0.2">
      <c r="A6" s="6" t="s">
        <v>148</v>
      </c>
      <c r="B6" s="7">
        <v>28329</v>
      </c>
      <c r="C6" s="7">
        <v>44389</v>
      </c>
      <c r="D6" s="7">
        <f>B6+C6</f>
        <v>72718</v>
      </c>
      <c r="E6" s="15">
        <v>0.105</v>
      </c>
      <c r="F6" s="15">
        <f>B6/D6</f>
        <v>0.38957342061112793</v>
      </c>
    </row>
    <row r="7" spans="1:6" x14ac:dyDescent="0.2">
      <c r="A7" s="6" t="s">
        <v>149</v>
      </c>
      <c r="B7" s="7">
        <v>24021</v>
      </c>
      <c r="C7" s="7">
        <v>36869</v>
      </c>
      <c r="D7" s="7">
        <f>B7+C7</f>
        <v>60890</v>
      </c>
      <c r="E7" s="15">
        <v>8.8000000000000009E-2</v>
      </c>
      <c r="F7" s="15">
        <f>B7/D7</f>
        <v>0.39449827557891282</v>
      </c>
    </row>
    <row r="8" spans="1:6" x14ac:dyDescent="0.2">
      <c r="A8" s="6" t="s">
        <v>150</v>
      </c>
      <c r="B8" s="7">
        <v>19265</v>
      </c>
      <c r="C8" s="7">
        <v>30313</v>
      </c>
      <c r="D8" s="7">
        <f>B8+C8</f>
        <v>49578</v>
      </c>
      <c r="E8" s="15">
        <v>7.0999999999999994E-2</v>
      </c>
      <c r="F8" s="15">
        <f>B8/D8</f>
        <v>0.38857961192464402</v>
      </c>
    </row>
    <row r="9" spans="1:6" x14ac:dyDescent="0.2">
      <c r="A9" s="6" t="s">
        <v>151</v>
      </c>
      <c r="B9" s="7">
        <v>17555</v>
      </c>
      <c r="C9" s="7">
        <v>32299</v>
      </c>
      <c r="D9" s="7">
        <f>B9+C9</f>
        <v>49854</v>
      </c>
      <c r="E9" s="15">
        <v>7.2000000000000008E-2</v>
      </c>
      <c r="F9" s="15">
        <f>B9/D9</f>
        <v>0.35212821438600717</v>
      </c>
    </row>
    <row r="10" spans="1:6" x14ac:dyDescent="0.2">
      <c r="A10" s="12" t="s">
        <v>152</v>
      </c>
      <c r="B10" s="13">
        <f>SUM(B5:B9)</f>
        <v>124574</v>
      </c>
      <c r="C10" s="13">
        <f>SUM(C5:C9)</f>
        <v>201169</v>
      </c>
      <c r="D10" s="13">
        <f>SUM(D5:D9)</f>
        <v>325743</v>
      </c>
      <c r="E10" s="17">
        <f>SUM(E5:E9)</f>
        <v>0.46900000000000003</v>
      </c>
      <c r="F10" s="15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9"/>
  <sheetViews>
    <sheetView workbookViewId="0"/>
  </sheetViews>
  <sheetFormatPr baseColWidth="10" defaultColWidth="8.83203125" defaultRowHeight="15" x14ac:dyDescent="0.2"/>
  <cols>
    <col min="1" max="1" width="8" customWidth="1"/>
    <col min="2" max="2" width="40" customWidth="1"/>
    <col min="3" max="3" width="15" customWidth="1"/>
    <col min="4" max="4" width="16" customWidth="1"/>
    <col min="5" max="5" width="14" customWidth="1"/>
  </cols>
  <sheetData>
    <row r="1" spans="1:5" ht="19" x14ac:dyDescent="0.25">
      <c r="A1" s="1" t="s">
        <v>153</v>
      </c>
    </row>
    <row r="2" spans="1:5" x14ac:dyDescent="0.2">
      <c r="A2" s="2" t="s">
        <v>154</v>
      </c>
    </row>
    <row r="4" spans="1:5" ht="30" customHeight="1" x14ac:dyDescent="0.2">
      <c r="A4" s="5" t="s">
        <v>155</v>
      </c>
      <c r="B4" s="5" t="s">
        <v>156</v>
      </c>
      <c r="C4" s="5" t="s">
        <v>157</v>
      </c>
      <c r="D4" s="5" t="s">
        <v>81</v>
      </c>
      <c r="E4" s="5" t="s">
        <v>82</v>
      </c>
    </row>
    <row r="5" spans="1:5" x14ac:dyDescent="0.2">
      <c r="A5" s="6">
        <v>1</v>
      </c>
      <c r="B5" s="6" t="s">
        <v>158</v>
      </c>
      <c r="C5" s="7">
        <v>8005050</v>
      </c>
      <c r="D5" s="7">
        <v>297843</v>
      </c>
      <c r="E5" s="8">
        <v>3.9E-2</v>
      </c>
    </row>
    <row r="6" spans="1:5" x14ac:dyDescent="0.2">
      <c r="A6" s="6">
        <v>2</v>
      </c>
      <c r="B6" s="6" t="s">
        <v>159</v>
      </c>
      <c r="C6" s="7">
        <v>5246046</v>
      </c>
      <c r="D6" s="7">
        <v>182474</v>
      </c>
      <c r="E6" s="8">
        <v>3.5999999999999997E-2</v>
      </c>
    </row>
    <row r="7" spans="1:5" x14ac:dyDescent="0.2">
      <c r="A7" s="6">
        <v>3</v>
      </c>
      <c r="B7" s="6" t="s">
        <v>160</v>
      </c>
      <c r="C7" s="7">
        <v>1518566</v>
      </c>
      <c r="D7" s="7">
        <v>27180</v>
      </c>
      <c r="E7" s="8">
        <v>1.7999999999999999E-2</v>
      </c>
    </row>
    <row r="8" spans="1:5" x14ac:dyDescent="0.2">
      <c r="A8" s="6">
        <v>4</v>
      </c>
      <c r="B8" s="6" t="s">
        <v>161</v>
      </c>
      <c r="C8" s="7">
        <v>1517087</v>
      </c>
      <c r="D8" s="7">
        <v>44776</v>
      </c>
      <c r="E8" s="8">
        <v>0.03</v>
      </c>
    </row>
    <row r="9" spans="1:5" x14ac:dyDescent="0.2">
      <c r="A9" s="6">
        <v>5</v>
      </c>
      <c r="B9" s="6" t="s">
        <v>162</v>
      </c>
      <c r="C9" s="7">
        <v>1349758</v>
      </c>
      <c r="D9" s="7">
        <v>11918</v>
      </c>
      <c r="E9" s="8">
        <v>9.0000000000000011E-3</v>
      </c>
    </row>
    <row r="10" spans="1:5" x14ac:dyDescent="0.2">
      <c r="A10" s="6">
        <v>6</v>
      </c>
      <c r="B10" s="6" t="s">
        <v>163</v>
      </c>
      <c r="C10" s="7">
        <v>804129</v>
      </c>
      <c r="D10" s="7">
        <v>11364</v>
      </c>
      <c r="E10" s="8">
        <v>1.4E-2</v>
      </c>
    </row>
    <row r="11" spans="1:5" x14ac:dyDescent="0.2">
      <c r="A11" s="6">
        <v>7</v>
      </c>
      <c r="B11" s="6" t="s">
        <v>164</v>
      </c>
      <c r="C11" s="7">
        <v>793149</v>
      </c>
      <c r="D11" s="7">
        <v>27781</v>
      </c>
      <c r="E11" s="8">
        <v>3.5999999999999997E-2</v>
      </c>
    </row>
    <row r="12" spans="1:5" x14ac:dyDescent="0.2">
      <c r="A12" s="19">
        <v>8</v>
      </c>
      <c r="B12" s="19" t="s">
        <v>165</v>
      </c>
      <c r="C12" s="20">
        <v>686708</v>
      </c>
      <c r="D12" s="20">
        <v>4582</v>
      </c>
      <c r="E12" s="21">
        <v>6.9999999999999993E-3</v>
      </c>
    </row>
    <row r="13" spans="1:5" x14ac:dyDescent="0.2">
      <c r="A13" s="6">
        <v>9</v>
      </c>
      <c r="B13" s="6" t="s">
        <v>166</v>
      </c>
      <c r="C13" s="7">
        <v>657994</v>
      </c>
      <c r="D13" s="7">
        <v>-4932</v>
      </c>
      <c r="E13" s="8">
        <v>-6.9999999999999993E-3</v>
      </c>
    </row>
    <row r="14" spans="1:5" x14ac:dyDescent="0.2">
      <c r="A14" s="6">
        <v>10</v>
      </c>
      <c r="B14" s="6" t="s">
        <v>167</v>
      </c>
      <c r="C14" s="7">
        <v>626161</v>
      </c>
      <c r="D14" s="7">
        <v>19844</v>
      </c>
      <c r="E14" s="8">
        <v>3.3000000000000002E-2</v>
      </c>
    </row>
    <row r="15" spans="1:5" x14ac:dyDescent="0.2">
      <c r="A15" s="6">
        <v>11</v>
      </c>
      <c r="B15" s="6" t="s">
        <v>168</v>
      </c>
      <c r="C15" s="7">
        <v>602724</v>
      </c>
      <c r="D15" s="7">
        <v>14286</v>
      </c>
      <c r="E15" s="8">
        <v>2.4E-2</v>
      </c>
    </row>
    <row r="16" spans="1:5" x14ac:dyDescent="0.2">
      <c r="A16" s="6">
        <v>12</v>
      </c>
      <c r="B16" s="6" t="s">
        <v>169</v>
      </c>
      <c r="C16" s="7">
        <v>542063</v>
      </c>
      <c r="D16" s="7">
        <v>14763</v>
      </c>
      <c r="E16" s="8">
        <v>2.8000000000000001E-2</v>
      </c>
    </row>
    <row r="17" spans="1:5" x14ac:dyDescent="0.2">
      <c r="A17" s="6">
        <v>13</v>
      </c>
      <c r="B17" s="6" t="s">
        <v>170</v>
      </c>
      <c r="C17" s="7">
        <v>518380</v>
      </c>
      <c r="D17" s="7">
        <v>3069</v>
      </c>
      <c r="E17" s="8">
        <v>6.0000000000000001E-3</v>
      </c>
    </row>
    <row r="18" spans="1:5" x14ac:dyDescent="0.2">
      <c r="A18" s="6">
        <v>14</v>
      </c>
      <c r="B18" s="6" t="s">
        <v>171</v>
      </c>
      <c r="C18" s="7">
        <v>512126</v>
      </c>
      <c r="D18" s="7">
        <v>-12215</v>
      </c>
      <c r="E18" s="8">
        <v>-2.3E-2</v>
      </c>
    </row>
    <row r="19" spans="1:5" x14ac:dyDescent="0.2">
      <c r="A19" s="6">
        <v>15</v>
      </c>
      <c r="B19" s="6" t="s">
        <v>172</v>
      </c>
      <c r="C19" s="7">
        <v>464148</v>
      </c>
      <c r="D19" s="7">
        <v>27800</v>
      </c>
      <c r="E19" s="8">
        <v>6.4000000000000001E-2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9"/>
  <sheetViews>
    <sheetView workbookViewId="0"/>
  </sheetViews>
  <sheetFormatPr baseColWidth="10" defaultColWidth="8.83203125" defaultRowHeight="15" x14ac:dyDescent="0.2"/>
  <cols>
    <col min="1" max="1" width="10" customWidth="1"/>
    <col min="2" max="3" width="14" customWidth="1"/>
    <col min="4" max="4" width="18" customWidth="1"/>
  </cols>
  <sheetData>
    <row r="1" spans="1:4" ht="19" x14ac:dyDescent="0.25">
      <c r="A1" s="1" t="s">
        <v>173</v>
      </c>
    </row>
    <row r="2" spans="1:4" x14ac:dyDescent="0.2">
      <c r="A2" s="2" t="s">
        <v>78</v>
      </c>
    </row>
    <row r="4" spans="1:4" ht="30" customHeight="1" x14ac:dyDescent="0.2">
      <c r="A4" s="5" t="s">
        <v>79</v>
      </c>
      <c r="B4" s="5" t="s">
        <v>174</v>
      </c>
      <c r="C4" s="5" t="s">
        <v>80</v>
      </c>
      <c r="D4" s="5" t="s">
        <v>175</v>
      </c>
    </row>
    <row r="5" spans="1:4" x14ac:dyDescent="0.2">
      <c r="A5">
        <v>1951</v>
      </c>
      <c r="B5" s="14">
        <v>39</v>
      </c>
      <c r="C5" s="14">
        <v>2700</v>
      </c>
      <c r="D5" s="14">
        <f t="shared" ref="D5:D36" si="0">C5/B5</f>
        <v>69.230769230769226</v>
      </c>
    </row>
    <row r="6" spans="1:4" x14ac:dyDescent="0.2">
      <c r="A6">
        <v>1952</v>
      </c>
      <c r="B6" s="14">
        <v>38</v>
      </c>
      <c r="C6" s="14">
        <v>3400</v>
      </c>
      <c r="D6" s="14">
        <f t="shared" si="0"/>
        <v>89.473684210526315</v>
      </c>
    </row>
    <row r="7" spans="1:4" x14ac:dyDescent="0.2">
      <c r="A7">
        <v>1953</v>
      </c>
      <c r="B7" s="14">
        <v>41</v>
      </c>
      <c r="C7" s="14">
        <v>4000</v>
      </c>
      <c r="D7" s="14">
        <f t="shared" si="0"/>
        <v>97.560975609756099</v>
      </c>
    </row>
    <row r="8" spans="1:4" x14ac:dyDescent="0.2">
      <c r="A8">
        <v>1954</v>
      </c>
      <c r="B8" s="14">
        <v>41</v>
      </c>
      <c r="C8" s="14">
        <v>4100</v>
      </c>
      <c r="D8" s="14">
        <f t="shared" si="0"/>
        <v>100</v>
      </c>
    </row>
    <row r="9" spans="1:4" x14ac:dyDescent="0.2">
      <c r="A9">
        <v>1955</v>
      </c>
      <c r="B9" s="14">
        <v>57</v>
      </c>
      <c r="C9" s="14">
        <v>5000</v>
      </c>
      <c r="D9" s="14">
        <f t="shared" si="0"/>
        <v>87.719298245614041</v>
      </c>
    </row>
    <row r="10" spans="1:4" x14ac:dyDescent="0.2">
      <c r="A10">
        <v>1956</v>
      </c>
      <c r="B10" s="14">
        <v>50</v>
      </c>
      <c r="C10" s="14">
        <v>5500</v>
      </c>
      <c r="D10" s="14">
        <f t="shared" si="0"/>
        <v>110</v>
      </c>
    </row>
    <row r="11" spans="1:4" x14ac:dyDescent="0.2">
      <c r="A11">
        <v>1957</v>
      </c>
      <c r="B11" s="14">
        <v>51</v>
      </c>
      <c r="C11" s="14">
        <v>6300</v>
      </c>
      <c r="D11" s="14">
        <f t="shared" si="0"/>
        <v>123.52941176470588</v>
      </c>
    </row>
    <row r="12" spans="1:4" x14ac:dyDescent="0.2">
      <c r="A12">
        <v>1958</v>
      </c>
      <c r="B12" s="14">
        <v>54</v>
      </c>
      <c r="C12" s="14">
        <v>7000</v>
      </c>
      <c r="D12" s="14">
        <f t="shared" si="0"/>
        <v>129.62962962962962</v>
      </c>
    </row>
    <row r="13" spans="1:4" x14ac:dyDescent="0.2">
      <c r="A13">
        <v>1959</v>
      </c>
      <c r="B13" s="14">
        <v>58</v>
      </c>
      <c r="C13" s="14">
        <v>7800</v>
      </c>
      <c r="D13" s="14">
        <f t="shared" si="0"/>
        <v>134.48275862068965</v>
      </c>
    </row>
    <row r="14" spans="1:4" x14ac:dyDescent="0.2">
      <c r="A14">
        <v>1960</v>
      </c>
      <c r="B14" s="14">
        <v>62</v>
      </c>
      <c r="C14" s="14">
        <v>9200</v>
      </c>
      <c r="D14" s="14">
        <f t="shared" si="0"/>
        <v>148.38709677419354</v>
      </c>
    </row>
    <row r="15" spans="1:4" x14ac:dyDescent="0.2">
      <c r="A15">
        <v>1961</v>
      </c>
      <c r="B15" s="14">
        <v>65</v>
      </c>
      <c r="C15" s="14">
        <v>10400</v>
      </c>
      <c r="D15" s="14">
        <f t="shared" si="0"/>
        <v>160</v>
      </c>
    </row>
    <row r="16" spans="1:4" x14ac:dyDescent="0.2">
      <c r="A16">
        <v>1962</v>
      </c>
      <c r="B16" s="14">
        <v>73</v>
      </c>
      <c r="C16" s="14">
        <v>11200</v>
      </c>
      <c r="D16" s="14">
        <f t="shared" si="0"/>
        <v>153.42465753424656</v>
      </c>
    </row>
    <row r="17" spans="1:4" x14ac:dyDescent="0.2">
      <c r="A17">
        <v>1963</v>
      </c>
      <c r="B17" s="14">
        <v>74</v>
      </c>
      <c r="C17" s="14">
        <v>12400</v>
      </c>
      <c r="D17" s="14">
        <f t="shared" si="0"/>
        <v>167.56756756756758</v>
      </c>
    </row>
    <row r="18" spans="1:4" x14ac:dyDescent="0.2">
      <c r="A18">
        <v>1964</v>
      </c>
      <c r="B18" s="14">
        <v>77</v>
      </c>
      <c r="C18" s="14">
        <v>13500</v>
      </c>
      <c r="D18" s="14">
        <f t="shared" si="0"/>
        <v>175.32467532467533</v>
      </c>
    </row>
    <row r="19" spans="1:4" x14ac:dyDescent="0.2">
      <c r="A19">
        <v>1965</v>
      </c>
      <c r="B19" s="14">
        <v>84</v>
      </c>
      <c r="C19" s="14">
        <v>16200</v>
      </c>
      <c r="D19" s="14">
        <f t="shared" si="0"/>
        <v>192.85714285714286</v>
      </c>
    </row>
    <row r="20" spans="1:4" x14ac:dyDescent="0.2">
      <c r="A20">
        <v>1966</v>
      </c>
      <c r="B20" s="14">
        <v>88</v>
      </c>
      <c r="C20" s="14">
        <v>17300</v>
      </c>
      <c r="D20" s="14">
        <f t="shared" si="0"/>
        <v>196.59090909090909</v>
      </c>
    </row>
    <row r="21" spans="1:4" x14ac:dyDescent="0.2">
      <c r="A21">
        <v>1967</v>
      </c>
      <c r="B21" s="14">
        <v>88</v>
      </c>
      <c r="C21" s="14">
        <v>18400</v>
      </c>
      <c r="D21" s="14">
        <f t="shared" si="0"/>
        <v>209.09090909090909</v>
      </c>
    </row>
    <row r="22" spans="1:4" x14ac:dyDescent="0.2">
      <c r="A22">
        <v>1968</v>
      </c>
      <c r="B22" s="14">
        <v>89</v>
      </c>
      <c r="C22" s="14">
        <v>19200</v>
      </c>
      <c r="D22" s="14">
        <f t="shared" si="0"/>
        <v>215.73033707865167</v>
      </c>
    </row>
    <row r="23" spans="1:4" x14ac:dyDescent="0.2">
      <c r="A23">
        <v>1969</v>
      </c>
      <c r="B23" s="14">
        <v>97</v>
      </c>
      <c r="C23" s="14">
        <v>19400</v>
      </c>
      <c r="D23" s="14">
        <f t="shared" si="0"/>
        <v>200</v>
      </c>
    </row>
    <row r="24" spans="1:4" x14ac:dyDescent="0.2">
      <c r="A24">
        <v>1970</v>
      </c>
      <c r="B24" s="14">
        <v>100</v>
      </c>
      <c r="C24" s="14">
        <v>21000</v>
      </c>
      <c r="D24" s="14">
        <f t="shared" si="0"/>
        <v>210</v>
      </c>
    </row>
    <row r="25" spans="1:4" x14ac:dyDescent="0.2">
      <c r="A25">
        <v>1971</v>
      </c>
      <c r="B25" s="14">
        <v>107</v>
      </c>
      <c r="C25" s="14">
        <v>23300</v>
      </c>
      <c r="D25" s="14">
        <f t="shared" si="0"/>
        <v>217.75700934579439</v>
      </c>
    </row>
    <row r="26" spans="1:4" x14ac:dyDescent="0.2">
      <c r="A26">
        <v>1972</v>
      </c>
      <c r="B26" s="14">
        <v>111</v>
      </c>
      <c r="C26" s="14">
        <v>24700</v>
      </c>
      <c r="D26" s="14">
        <f t="shared" si="0"/>
        <v>222.52252252252254</v>
      </c>
    </row>
    <row r="27" spans="1:4" x14ac:dyDescent="0.2">
      <c r="A27">
        <v>1973</v>
      </c>
      <c r="B27" s="14">
        <v>123</v>
      </c>
      <c r="C27" s="14">
        <v>27100</v>
      </c>
      <c r="D27" s="14">
        <f t="shared" si="0"/>
        <v>220.32520325203251</v>
      </c>
    </row>
    <row r="28" spans="1:4" x14ac:dyDescent="0.2">
      <c r="A28">
        <v>1974</v>
      </c>
      <c r="B28" s="14">
        <v>130</v>
      </c>
      <c r="C28" s="14">
        <v>29300</v>
      </c>
      <c r="D28" s="14">
        <f t="shared" si="0"/>
        <v>225.38461538461539</v>
      </c>
    </row>
    <row r="29" spans="1:4" x14ac:dyDescent="0.2">
      <c r="A29">
        <v>1975</v>
      </c>
      <c r="B29" s="14">
        <v>137</v>
      </c>
      <c r="C29" s="14">
        <v>32500</v>
      </c>
      <c r="D29" s="14">
        <f t="shared" si="0"/>
        <v>237.22627737226279</v>
      </c>
    </row>
    <row r="30" spans="1:4" x14ac:dyDescent="0.2">
      <c r="A30">
        <v>1976</v>
      </c>
      <c r="B30" s="14">
        <v>142</v>
      </c>
      <c r="C30" s="14">
        <v>36382</v>
      </c>
      <c r="D30" s="14">
        <f t="shared" si="0"/>
        <v>256.21126760563379</v>
      </c>
    </row>
    <row r="31" spans="1:4" x14ac:dyDescent="0.2">
      <c r="A31">
        <v>1977</v>
      </c>
      <c r="B31" s="14">
        <v>148</v>
      </c>
      <c r="C31" s="14">
        <v>39172</v>
      </c>
      <c r="D31" s="14">
        <f t="shared" si="0"/>
        <v>264.67567567567568</v>
      </c>
    </row>
    <row r="32" spans="1:4" x14ac:dyDescent="0.2">
      <c r="A32">
        <v>1978</v>
      </c>
      <c r="B32" s="14">
        <v>153</v>
      </c>
      <c r="C32" s="14">
        <v>42301</v>
      </c>
      <c r="D32" s="14">
        <f t="shared" si="0"/>
        <v>276.47712418300654</v>
      </c>
    </row>
    <row r="33" spans="1:4" x14ac:dyDescent="0.2">
      <c r="A33">
        <v>1979</v>
      </c>
      <c r="B33" s="14">
        <v>155</v>
      </c>
      <c r="C33" s="14">
        <v>46161</v>
      </c>
      <c r="D33" s="14">
        <f t="shared" si="0"/>
        <v>297.81290322580645</v>
      </c>
    </row>
    <row r="34" spans="1:4" x14ac:dyDescent="0.2">
      <c r="A34">
        <v>1980</v>
      </c>
      <c r="B34" s="14">
        <v>160</v>
      </c>
      <c r="C34" s="14">
        <v>49211</v>
      </c>
      <c r="D34" s="14">
        <f t="shared" si="0"/>
        <v>307.56875000000002</v>
      </c>
    </row>
    <row r="35" spans="1:4" x14ac:dyDescent="0.2">
      <c r="A35">
        <v>1981</v>
      </c>
      <c r="B35" s="14">
        <v>167</v>
      </c>
      <c r="C35" s="14">
        <v>52222</v>
      </c>
      <c r="D35" s="14">
        <f t="shared" si="0"/>
        <v>312.70658682634729</v>
      </c>
    </row>
    <row r="36" spans="1:4" x14ac:dyDescent="0.2">
      <c r="A36">
        <v>1982</v>
      </c>
      <c r="B36" s="14">
        <v>180</v>
      </c>
      <c r="C36" s="14">
        <v>56889</v>
      </c>
      <c r="D36" s="14">
        <f t="shared" si="0"/>
        <v>316.05</v>
      </c>
    </row>
    <row r="37" spans="1:4" x14ac:dyDescent="0.2">
      <c r="A37">
        <v>1983</v>
      </c>
      <c r="B37" s="14">
        <v>197</v>
      </c>
      <c r="C37" s="14">
        <v>62917</v>
      </c>
      <c r="D37" s="14">
        <f t="shared" ref="D37:D68" si="1">C37/B37</f>
        <v>319.37563451776651</v>
      </c>
    </row>
    <row r="38" spans="1:4" x14ac:dyDescent="0.2">
      <c r="A38">
        <v>1984</v>
      </c>
      <c r="B38" s="14">
        <v>206</v>
      </c>
      <c r="C38" s="14">
        <v>67332</v>
      </c>
      <c r="D38" s="14">
        <f t="shared" si="1"/>
        <v>326.85436893203882</v>
      </c>
    </row>
    <row r="39" spans="1:4" x14ac:dyDescent="0.2">
      <c r="A39">
        <v>1985</v>
      </c>
      <c r="B39" s="14">
        <v>214</v>
      </c>
      <c r="C39" s="14">
        <v>71862</v>
      </c>
      <c r="D39" s="14">
        <f t="shared" si="1"/>
        <v>335.803738317757</v>
      </c>
    </row>
    <row r="40" spans="1:4" x14ac:dyDescent="0.2">
      <c r="A40">
        <v>1986</v>
      </c>
      <c r="B40" s="14">
        <v>229</v>
      </c>
      <c r="C40" s="14">
        <v>84824</v>
      </c>
      <c r="D40" s="14">
        <f t="shared" si="1"/>
        <v>370.41048034934499</v>
      </c>
    </row>
    <row r="41" spans="1:4" x14ac:dyDescent="0.2">
      <c r="A41">
        <v>1987</v>
      </c>
      <c r="B41" s="14">
        <v>238</v>
      </c>
      <c r="C41" s="14">
        <v>95863</v>
      </c>
      <c r="D41" s="14">
        <f t="shared" si="1"/>
        <v>402.78571428571428</v>
      </c>
    </row>
    <row r="42" spans="1:4" x14ac:dyDescent="0.2">
      <c r="A42">
        <v>1988</v>
      </c>
      <c r="B42" s="14">
        <v>260</v>
      </c>
      <c r="C42" s="14">
        <v>109207</v>
      </c>
      <c r="D42" s="14">
        <f t="shared" si="1"/>
        <v>420.02692307692308</v>
      </c>
    </row>
    <row r="43" spans="1:4" x14ac:dyDescent="0.2">
      <c r="A43">
        <v>1989</v>
      </c>
      <c r="B43" s="14">
        <v>293</v>
      </c>
      <c r="C43" s="14">
        <v>124209</v>
      </c>
      <c r="D43" s="14">
        <f t="shared" si="1"/>
        <v>423.92150170648466</v>
      </c>
    </row>
    <row r="44" spans="1:4" x14ac:dyDescent="0.2">
      <c r="A44">
        <v>1990</v>
      </c>
      <c r="B44" s="14">
        <v>313</v>
      </c>
      <c r="C44" s="14">
        <v>141885</v>
      </c>
      <c r="D44" s="14">
        <f t="shared" si="1"/>
        <v>453.3067092651757</v>
      </c>
    </row>
    <row r="45" spans="1:4" x14ac:dyDescent="0.2">
      <c r="A45">
        <v>1991</v>
      </c>
      <c r="B45" s="14">
        <v>336</v>
      </c>
      <c r="C45" s="14">
        <v>163130</v>
      </c>
      <c r="D45" s="14">
        <f t="shared" si="1"/>
        <v>485.50595238095241</v>
      </c>
    </row>
    <row r="46" spans="1:4" x14ac:dyDescent="0.2">
      <c r="A46">
        <v>1992</v>
      </c>
      <c r="B46" s="14">
        <v>380</v>
      </c>
      <c r="C46" s="14">
        <v>184713</v>
      </c>
      <c r="D46" s="14">
        <f t="shared" si="1"/>
        <v>486.08684210526314</v>
      </c>
    </row>
    <row r="47" spans="1:4" x14ac:dyDescent="0.2">
      <c r="A47">
        <v>1993</v>
      </c>
      <c r="B47" s="14">
        <v>407</v>
      </c>
      <c r="C47" s="14">
        <v>206546</v>
      </c>
      <c r="D47" s="14">
        <f t="shared" si="1"/>
        <v>507.48402948402946</v>
      </c>
    </row>
    <row r="48" spans="1:4" x14ac:dyDescent="0.2">
      <c r="A48">
        <v>1994</v>
      </c>
      <c r="B48" s="14">
        <v>437</v>
      </c>
      <c r="C48" s="14">
        <v>225001</v>
      </c>
      <c r="D48" s="14">
        <f t="shared" si="1"/>
        <v>514.87643020594965</v>
      </c>
    </row>
    <row r="49" spans="1:4" x14ac:dyDescent="0.2">
      <c r="A49">
        <v>1995</v>
      </c>
      <c r="B49" s="14">
        <v>472</v>
      </c>
      <c r="C49" s="14">
        <v>252559</v>
      </c>
      <c r="D49" s="14">
        <f t="shared" si="1"/>
        <v>535.08262711864404</v>
      </c>
    </row>
    <row r="50" spans="1:4" x14ac:dyDescent="0.2">
      <c r="A50">
        <v>1996</v>
      </c>
      <c r="B50" s="14">
        <v>504</v>
      </c>
      <c r="C50" s="14">
        <v>272830</v>
      </c>
      <c r="D50" s="14">
        <f t="shared" si="1"/>
        <v>541.32936507936506</v>
      </c>
    </row>
    <row r="51" spans="1:4" x14ac:dyDescent="0.2">
      <c r="A51">
        <v>1997</v>
      </c>
      <c r="B51" s="14">
        <v>546</v>
      </c>
      <c r="C51" s="14">
        <v>296370</v>
      </c>
      <c r="D51" s="14">
        <f t="shared" si="1"/>
        <v>542.80219780219784</v>
      </c>
    </row>
    <row r="52" spans="1:4" x14ac:dyDescent="0.2">
      <c r="A52">
        <v>1998</v>
      </c>
      <c r="B52" s="14">
        <v>575</v>
      </c>
      <c r="C52" s="14">
        <v>318284</v>
      </c>
      <c r="D52" s="14">
        <f t="shared" si="1"/>
        <v>553.53739130434781</v>
      </c>
    </row>
    <row r="53" spans="1:4" x14ac:dyDescent="0.2">
      <c r="A53">
        <v>1999</v>
      </c>
      <c r="B53" s="14">
        <v>601</v>
      </c>
      <c r="C53" s="14">
        <v>345206</v>
      </c>
      <c r="D53" s="14">
        <f t="shared" si="1"/>
        <v>574.38602329450919</v>
      </c>
    </row>
    <row r="54" spans="1:4" x14ac:dyDescent="0.2">
      <c r="A54">
        <v>2000</v>
      </c>
      <c r="B54" s="14">
        <v>621</v>
      </c>
      <c r="C54" s="14">
        <v>370490</v>
      </c>
      <c r="D54" s="14">
        <f t="shared" si="1"/>
        <v>596.60225442834144</v>
      </c>
    </row>
    <row r="55" spans="1:4" x14ac:dyDescent="0.2">
      <c r="A55">
        <v>2001</v>
      </c>
      <c r="B55" s="14">
        <v>642</v>
      </c>
      <c r="C55" s="14">
        <v>399016</v>
      </c>
      <c r="D55" s="14">
        <f t="shared" si="1"/>
        <v>621.5202492211838</v>
      </c>
    </row>
    <row r="56" spans="1:4" x14ac:dyDescent="0.2">
      <c r="A56">
        <v>2002</v>
      </c>
      <c r="B56" s="14">
        <v>653</v>
      </c>
      <c r="C56" s="14">
        <v>428076</v>
      </c>
      <c r="D56" s="14">
        <f t="shared" si="1"/>
        <v>655.55283307810112</v>
      </c>
    </row>
    <row r="57" spans="1:4" x14ac:dyDescent="0.2">
      <c r="A57">
        <v>2003</v>
      </c>
      <c r="B57" s="14">
        <v>670</v>
      </c>
      <c r="C57" s="14">
        <v>457237</v>
      </c>
      <c r="D57" s="14">
        <f t="shared" si="1"/>
        <v>682.44328358208952</v>
      </c>
    </row>
    <row r="58" spans="1:4" x14ac:dyDescent="0.2">
      <c r="A58">
        <v>2004</v>
      </c>
      <c r="B58" s="14">
        <v>692</v>
      </c>
      <c r="C58" s="14">
        <v>483172</v>
      </c>
      <c r="D58" s="14">
        <f t="shared" si="1"/>
        <v>698.22543352601156</v>
      </c>
    </row>
    <row r="59" spans="1:4" x14ac:dyDescent="0.2">
      <c r="A59">
        <v>2005</v>
      </c>
      <c r="B59" s="14">
        <v>712</v>
      </c>
      <c r="C59" s="14">
        <v>506746</v>
      </c>
      <c r="D59" s="14">
        <f t="shared" si="1"/>
        <v>711.72191011235952</v>
      </c>
    </row>
    <row r="60" spans="1:4" x14ac:dyDescent="0.2">
      <c r="A60">
        <v>2006</v>
      </c>
      <c r="B60" s="14">
        <v>736</v>
      </c>
      <c r="C60" s="14">
        <v>527427</v>
      </c>
      <c r="D60" s="14">
        <f t="shared" si="1"/>
        <v>716.61277173913038</v>
      </c>
    </row>
    <row r="61" spans="1:4" x14ac:dyDescent="0.2">
      <c r="A61">
        <v>2007</v>
      </c>
      <c r="B61" s="14">
        <v>748</v>
      </c>
      <c r="C61" s="14">
        <v>552388</v>
      </c>
      <c r="D61" s="14">
        <f t="shared" si="1"/>
        <v>738.48663101604279</v>
      </c>
    </row>
    <row r="62" spans="1:4" x14ac:dyDescent="0.2">
      <c r="A62">
        <v>2008</v>
      </c>
      <c r="B62" s="14">
        <v>769</v>
      </c>
      <c r="C62" s="14">
        <v>575176</v>
      </c>
      <c r="D62" s="14">
        <f t="shared" si="1"/>
        <v>747.95318595578669</v>
      </c>
    </row>
    <row r="63" spans="1:4" x14ac:dyDescent="0.2">
      <c r="A63">
        <v>2009</v>
      </c>
      <c r="B63" s="14">
        <v>782</v>
      </c>
      <c r="C63" s="14">
        <v>599328</v>
      </c>
      <c r="D63" s="14">
        <f t="shared" si="1"/>
        <v>766.40409207161122</v>
      </c>
    </row>
    <row r="64" spans="1:4" x14ac:dyDescent="0.2">
      <c r="A64">
        <v>2010</v>
      </c>
      <c r="B64" s="14">
        <v>788</v>
      </c>
      <c r="C64" s="14">
        <v>610104</v>
      </c>
      <c r="D64" s="14">
        <f t="shared" si="1"/>
        <v>774.24365482233497</v>
      </c>
    </row>
    <row r="65" spans="1:4" x14ac:dyDescent="0.2">
      <c r="A65">
        <v>2011</v>
      </c>
      <c r="B65" s="14">
        <v>801</v>
      </c>
      <c r="C65" s="14">
        <v>624569</v>
      </c>
      <c r="D65" s="14">
        <f t="shared" si="1"/>
        <v>779.73657927590511</v>
      </c>
    </row>
    <row r="66" spans="1:4" x14ac:dyDescent="0.2">
      <c r="A66">
        <v>2012</v>
      </c>
      <c r="B66" s="14">
        <v>811</v>
      </c>
      <c r="C66" s="14">
        <v>635097</v>
      </c>
      <c r="D66" s="14">
        <f t="shared" si="1"/>
        <v>783.10357583230575</v>
      </c>
    </row>
    <row r="67" spans="1:4" x14ac:dyDescent="0.2">
      <c r="A67">
        <v>2013</v>
      </c>
      <c r="B67" s="14">
        <v>824</v>
      </c>
      <c r="C67" s="14">
        <v>637735</v>
      </c>
      <c r="D67" s="14">
        <f t="shared" si="1"/>
        <v>773.95024271844659</v>
      </c>
    </row>
    <row r="68" spans="1:4" x14ac:dyDescent="0.2">
      <c r="A68">
        <v>2014</v>
      </c>
      <c r="B68" s="14">
        <v>831</v>
      </c>
      <c r="C68" s="14">
        <v>639137</v>
      </c>
      <c r="D68" s="14">
        <f t="shared" si="1"/>
        <v>769.11793020457276</v>
      </c>
    </row>
    <row r="69" spans="1:4" x14ac:dyDescent="0.2">
      <c r="A69">
        <v>2015</v>
      </c>
      <c r="B69" s="14">
        <v>834</v>
      </c>
      <c r="C69" s="14">
        <v>640181</v>
      </c>
      <c r="D69" s="14">
        <f t="shared" ref="D69:D79" si="2">C69/B69</f>
        <v>767.60311750599521</v>
      </c>
    </row>
    <row r="70" spans="1:4" x14ac:dyDescent="0.2">
      <c r="A70">
        <v>2016</v>
      </c>
      <c r="B70" s="14">
        <v>847</v>
      </c>
      <c r="C70" s="14">
        <v>643158</v>
      </c>
      <c r="D70" s="14">
        <f t="shared" si="2"/>
        <v>759.33648170011804</v>
      </c>
    </row>
    <row r="71" spans="1:4" x14ac:dyDescent="0.2">
      <c r="A71">
        <v>2017</v>
      </c>
      <c r="B71" s="14">
        <v>843</v>
      </c>
      <c r="C71" s="14">
        <v>644943</v>
      </c>
      <c r="D71" s="14">
        <f t="shared" si="2"/>
        <v>765.05693950177931</v>
      </c>
    </row>
    <row r="72" spans="1:4" x14ac:dyDescent="0.2">
      <c r="A72">
        <v>2018</v>
      </c>
      <c r="B72" s="14">
        <v>840</v>
      </c>
      <c r="C72" s="14">
        <v>642240</v>
      </c>
      <c r="D72" s="14">
        <f t="shared" si="2"/>
        <v>764.57142857142856</v>
      </c>
    </row>
    <row r="73" spans="1:4" x14ac:dyDescent="0.2">
      <c r="A73">
        <v>2019</v>
      </c>
      <c r="B73" s="14">
        <v>832</v>
      </c>
      <c r="C73" s="14">
        <v>642677</v>
      </c>
      <c r="D73" s="14">
        <f t="shared" si="2"/>
        <v>772.44831730769226</v>
      </c>
    </row>
    <row r="74" spans="1:4" x14ac:dyDescent="0.2">
      <c r="A74">
        <v>2020</v>
      </c>
      <c r="B74" s="14">
        <v>825</v>
      </c>
      <c r="C74" s="14">
        <v>651417</v>
      </c>
      <c r="D74" s="14">
        <f t="shared" si="2"/>
        <v>789.59636363636366</v>
      </c>
    </row>
    <row r="75" spans="1:4" x14ac:dyDescent="0.2">
      <c r="A75">
        <v>2021</v>
      </c>
      <c r="B75" s="14">
        <v>825</v>
      </c>
      <c r="C75" s="14">
        <v>673983</v>
      </c>
      <c r="D75" s="14">
        <f t="shared" si="2"/>
        <v>816.94909090909096</v>
      </c>
    </row>
    <row r="76" spans="1:4" x14ac:dyDescent="0.2">
      <c r="A76">
        <v>2022</v>
      </c>
      <c r="B76" s="14">
        <v>827</v>
      </c>
      <c r="C76" s="14">
        <v>682942</v>
      </c>
      <c r="D76" s="14">
        <f t="shared" si="2"/>
        <v>825.80652962515114</v>
      </c>
    </row>
    <row r="77" spans="1:4" x14ac:dyDescent="0.2">
      <c r="A77">
        <v>2023</v>
      </c>
      <c r="B77" s="14">
        <v>821</v>
      </c>
      <c r="C77" s="14">
        <v>682126</v>
      </c>
      <c r="D77" s="14">
        <f t="shared" si="2"/>
        <v>830.8477466504263</v>
      </c>
    </row>
    <row r="78" spans="1:4" x14ac:dyDescent="0.2">
      <c r="A78">
        <v>2024</v>
      </c>
      <c r="B78" s="14">
        <v>821</v>
      </c>
      <c r="C78" s="14">
        <v>686708</v>
      </c>
      <c r="D78" s="14">
        <f t="shared" si="2"/>
        <v>836.42874543239952</v>
      </c>
    </row>
    <row r="79" spans="1:4" x14ac:dyDescent="0.2">
      <c r="A79">
        <v>2025</v>
      </c>
      <c r="B79" s="14">
        <v>812</v>
      </c>
      <c r="C79" s="14">
        <v>695617</v>
      </c>
      <c r="D79" s="14">
        <f t="shared" si="2"/>
        <v>856.67118226600985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7"/>
  <sheetViews>
    <sheetView workbookViewId="0">
      <selection activeCell="B38" sqref="B38"/>
    </sheetView>
  </sheetViews>
  <sheetFormatPr baseColWidth="10" defaultColWidth="8.83203125" defaultRowHeight="15" x14ac:dyDescent="0.2"/>
  <cols>
    <col min="1" max="1" width="36" customWidth="1"/>
    <col min="2" max="5" width="16" customWidth="1"/>
    <col min="6" max="6" width="18" customWidth="1"/>
    <col min="7" max="7" width="22" customWidth="1"/>
    <col min="8" max="8" width="50" customWidth="1"/>
  </cols>
  <sheetData>
    <row r="1" spans="1:7" ht="19" x14ac:dyDescent="0.25">
      <c r="A1" s="1" t="s">
        <v>176</v>
      </c>
    </row>
    <row r="2" spans="1:7" x14ac:dyDescent="0.2">
      <c r="A2" s="2" t="s">
        <v>177</v>
      </c>
    </row>
    <row r="4" spans="1:7" x14ac:dyDescent="0.2">
      <c r="A4" s="18" t="s">
        <v>178</v>
      </c>
    </row>
    <row r="5" spans="1:7" ht="30" customHeight="1" x14ac:dyDescent="0.2">
      <c r="A5" s="5" t="s">
        <v>79</v>
      </c>
      <c r="B5" s="5" t="s">
        <v>90</v>
      </c>
      <c r="C5" s="5" t="s">
        <v>91</v>
      </c>
      <c r="D5" s="5" t="s">
        <v>92</v>
      </c>
      <c r="E5" s="5" t="s">
        <v>115</v>
      </c>
      <c r="F5" s="5" t="s">
        <v>179</v>
      </c>
    </row>
    <row r="6" spans="1:7" x14ac:dyDescent="0.2">
      <c r="A6" s="6">
        <v>2020</v>
      </c>
      <c r="B6" s="7">
        <f>SUM('02_Age_Gender'!B6:B16)</f>
        <v>416016</v>
      </c>
      <c r="C6" s="7">
        <f>SUM('02_Age_Gender'!C6:C16)</f>
        <v>235401</v>
      </c>
      <c r="D6" s="7">
        <f t="shared" ref="D6:D11" si="0">B6+C6</f>
        <v>651417</v>
      </c>
      <c r="E6" s="15">
        <f t="shared" ref="E6:E11" si="1">C6/D6</f>
        <v>0.36136760324032069</v>
      </c>
      <c r="F6" s="22"/>
    </row>
    <row r="7" spans="1:7" x14ac:dyDescent="0.2">
      <c r="A7" s="6">
        <v>2021</v>
      </c>
      <c r="B7" s="7">
        <f>SUM('02_Age_Gender'!E6:E16)</f>
        <v>431818</v>
      </c>
      <c r="C7" s="7">
        <f>SUM('02_Age_Gender'!F6:F16)</f>
        <v>242165</v>
      </c>
      <c r="D7" s="7">
        <f t="shared" si="0"/>
        <v>673983</v>
      </c>
      <c r="E7" s="15">
        <f t="shared" si="1"/>
        <v>0.3593043147972575</v>
      </c>
      <c r="F7" s="22">
        <f>(E7-E6)*100</f>
        <v>-0.20632884430631937</v>
      </c>
    </row>
    <row r="8" spans="1:7" x14ac:dyDescent="0.2">
      <c r="A8" s="6">
        <v>2022</v>
      </c>
      <c r="B8" s="7">
        <f>SUM('02_Age_Gender'!H6:H16)</f>
        <v>438469</v>
      </c>
      <c r="C8" s="7">
        <f>SUM('02_Age_Gender'!I6:I16)</f>
        <v>244473</v>
      </c>
      <c r="D8" s="7">
        <f t="shared" si="0"/>
        <v>682942</v>
      </c>
      <c r="E8" s="15">
        <f t="shared" si="1"/>
        <v>0.35797036937250892</v>
      </c>
      <c r="F8" s="22">
        <f>(E8-E7)*100</f>
        <v>-0.13339454247485727</v>
      </c>
    </row>
    <row r="9" spans="1:7" x14ac:dyDescent="0.2">
      <c r="A9" s="6">
        <v>2023</v>
      </c>
      <c r="B9" s="7">
        <f>SUM('02_Age_Gender'!K6:K16)</f>
        <v>439793</v>
      </c>
      <c r="C9" s="7">
        <f>SUM('02_Age_Gender'!L6:L16)</f>
        <v>242333</v>
      </c>
      <c r="D9" s="7">
        <f t="shared" si="0"/>
        <v>682126</v>
      </c>
      <c r="E9" s="15">
        <f t="shared" si="1"/>
        <v>0.35526134467825593</v>
      </c>
      <c r="F9" s="22">
        <f>(E9-E8)*100</f>
        <v>-0.27090246942529927</v>
      </c>
    </row>
    <row r="10" spans="1:7" x14ac:dyDescent="0.2">
      <c r="A10" s="6">
        <v>2024</v>
      </c>
      <c r="B10" s="7">
        <f>SUM('02_Age_Gender'!N6:N16)</f>
        <v>445369</v>
      </c>
      <c r="C10" s="7">
        <f>SUM('02_Age_Gender'!O6:O16)</f>
        <v>241339</v>
      </c>
      <c r="D10" s="7">
        <f t="shared" si="0"/>
        <v>686708</v>
      </c>
      <c r="E10" s="15">
        <f t="shared" si="1"/>
        <v>0.35144340826086196</v>
      </c>
      <c r="F10" s="22">
        <f>(E10-E9)*100</f>
        <v>-0.38179364173939745</v>
      </c>
    </row>
    <row r="11" spans="1:7" x14ac:dyDescent="0.2">
      <c r="A11" s="6">
        <v>2025</v>
      </c>
      <c r="B11" s="7">
        <f>SUM('02_Age_Gender'!Q6:Q16)</f>
        <v>454062</v>
      </c>
      <c r="C11" s="7">
        <f>SUM('02_Age_Gender'!R6:R16)</f>
        <v>241555</v>
      </c>
      <c r="D11" s="7">
        <f t="shared" si="0"/>
        <v>695617</v>
      </c>
      <c r="E11" s="15">
        <f t="shared" si="1"/>
        <v>0.34725287047326331</v>
      </c>
      <c r="F11" s="22">
        <f>(E11-E10)*100</f>
        <v>-0.41905377875986471</v>
      </c>
    </row>
    <row r="14" spans="1:7" x14ac:dyDescent="0.2">
      <c r="A14" s="18" t="s">
        <v>180</v>
      </c>
    </row>
    <row r="15" spans="1:7" ht="30" customHeight="1" x14ac:dyDescent="0.2">
      <c r="A15" s="5" t="s">
        <v>89</v>
      </c>
      <c r="B15" s="5" t="s">
        <v>181</v>
      </c>
      <c r="C15" s="5" t="s">
        <v>182</v>
      </c>
      <c r="D15" s="5" t="s">
        <v>81</v>
      </c>
      <c r="E15" s="5" t="s">
        <v>82</v>
      </c>
      <c r="F15" s="5" t="s">
        <v>183</v>
      </c>
      <c r="G15" s="5" t="s">
        <v>184</v>
      </c>
    </row>
    <row r="16" spans="1:7" x14ac:dyDescent="0.2">
      <c r="A16" s="6" t="s">
        <v>93</v>
      </c>
      <c r="B16" s="7">
        <f>'02_Age_Gender'!J6</f>
        <v>2212</v>
      </c>
      <c r="C16" s="7">
        <f>'02_Age_Gender'!S6</f>
        <v>2171</v>
      </c>
      <c r="D16" s="7">
        <f t="shared" ref="D16:D26" si="2">C16-B16</f>
        <v>-41</v>
      </c>
      <c r="E16" s="8">
        <f t="shared" ref="E16:E26" si="3">D16/B16</f>
        <v>-1.8535262206148283E-2</v>
      </c>
      <c r="F16" s="15">
        <f t="shared" ref="F16:F26" si="4">C16/SUM($C$16:$C$26)</f>
        <v>3.1209703040609993E-3</v>
      </c>
      <c r="G16" s="15">
        <f t="shared" ref="G16:G26" si="5">D16/SUM($D$16:$D$26)</f>
        <v>-3.234714003944773E-3</v>
      </c>
    </row>
    <row r="17" spans="1:7" x14ac:dyDescent="0.2">
      <c r="A17" s="6" t="s">
        <v>94</v>
      </c>
      <c r="B17" s="7">
        <f>'02_Age_Gender'!J7</f>
        <v>23530</v>
      </c>
      <c r="C17" s="7">
        <f>'02_Age_Gender'!S7</f>
        <v>21740</v>
      </c>
      <c r="D17" s="7">
        <f t="shared" si="2"/>
        <v>-1790</v>
      </c>
      <c r="E17" s="8">
        <f t="shared" si="3"/>
        <v>-7.6073098172545692E-2</v>
      </c>
      <c r="F17" s="15">
        <f t="shared" si="4"/>
        <v>3.1252830221228059E-2</v>
      </c>
      <c r="G17" s="15">
        <f t="shared" si="5"/>
        <v>-0.14122287968441816</v>
      </c>
    </row>
    <row r="18" spans="1:7" x14ac:dyDescent="0.2">
      <c r="A18" s="6" t="s">
        <v>95</v>
      </c>
      <c r="B18" s="7">
        <f>'02_Age_Gender'!J8</f>
        <v>18535</v>
      </c>
      <c r="C18" s="7">
        <f>'02_Age_Gender'!S8</f>
        <v>18887</v>
      </c>
      <c r="D18" s="7">
        <f t="shared" si="2"/>
        <v>352</v>
      </c>
      <c r="E18" s="8">
        <f t="shared" si="3"/>
        <v>1.8991097922848664E-2</v>
      </c>
      <c r="F18" s="15">
        <f t="shared" si="4"/>
        <v>2.7151435344449602E-2</v>
      </c>
      <c r="G18" s="15">
        <f t="shared" si="5"/>
        <v>2.777120315581854E-2</v>
      </c>
    </row>
    <row r="19" spans="1:7" x14ac:dyDescent="0.2">
      <c r="A19" s="6" t="s">
        <v>96</v>
      </c>
      <c r="B19" s="7">
        <f>'02_Age_Gender'!J9</f>
        <v>8395</v>
      </c>
      <c r="C19" s="7">
        <f>'02_Age_Gender'!S9</f>
        <v>9522</v>
      </c>
      <c r="D19" s="7">
        <f t="shared" si="2"/>
        <v>1127</v>
      </c>
      <c r="E19" s="8">
        <f t="shared" si="3"/>
        <v>0.13424657534246576</v>
      </c>
      <c r="F19" s="15">
        <f t="shared" si="4"/>
        <v>1.3688567128175419E-2</v>
      </c>
      <c r="G19" s="15">
        <f t="shared" si="5"/>
        <v>8.8915187376725838E-2</v>
      </c>
    </row>
    <row r="20" spans="1:7" x14ac:dyDescent="0.2">
      <c r="A20" s="6" t="s">
        <v>97</v>
      </c>
      <c r="B20" s="7">
        <f>'02_Age_Gender'!J10</f>
        <v>26913</v>
      </c>
      <c r="C20" s="7">
        <f>'02_Age_Gender'!S10</f>
        <v>32899</v>
      </c>
      <c r="D20" s="7">
        <f t="shared" si="2"/>
        <v>5986</v>
      </c>
      <c r="E20" s="8">
        <f t="shared" si="3"/>
        <v>0.22242039163229665</v>
      </c>
      <c r="F20" s="15">
        <f t="shared" si="4"/>
        <v>4.7294703838462834E-2</v>
      </c>
      <c r="G20" s="15">
        <f t="shared" si="5"/>
        <v>0.47226824457593686</v>
      </c>
    </row>
    <row r="21" spans="1:7" x14ac:dyDescent="0.2">
      <c r="A21" s="6" t="s">
        <v>98</v>
      </c>
      <c r="B21" s="7">
        <f>'02_Age_Gender'!J11</f>
        <v>42355</v>
      </c>
      <c r="C21" s="7">
        <f>'02_Age_Gender'!S11</f>
        <v>51385</v>
      </c>
      <c r="D21" s="7">
        <f t="shared" si="2"/>
        <v>9030</v>
      </c>
      <c r="E21" s="8">
        <f t="shared" si="3"/>
        <v>0.21319796954314721</v>
      </c>
      <c r="F21" s="15">
        <f t="shared" si="4"/>
        <v>7.3869672535317565E-2</v>
      </c>
      <c r="G21" s="15">
        <f t="shared" si="5"/>
        <v>0.71242603550295858</v>
      </c>
    </row>
    <row r="22" spans="1:7" x14ac:dyDescent="0.2">
      <c r="A22" s="6" t="s">
        <v>99</v>
      </c>
      <c r="B22" s="7">
        <f>'02_Age_Gender'!J12</f>
        <v>25408</v>
      </c>
      <c r="C22" s="7">
        <f>'02_Age_Gender'!S12</f>
        <v>28005</v>
      </c>
      <c r="D22" s="7">
        <f t="shared" si="2"/>
        <v>2597</v>
      </c>
      <c r="E22" s="8">
        <f t="shared" si="3"/>
        <v>0.10221190176322419</v>
      </c>
      <c r="F22" s="15">
        <f t="shared" si="4"/>
        <v>4.0259223106968348E-2</v>
      </c>
      <c r="G22" s="15">
        <f t="shared" si="5"/>
        <v>0.20489151873767258</v>
      </c>
    </row>
    <row r="23" spans="1:7" x14ac:dyDescent="0.2">
      <c r="A23" s="6" t="s">
        <v>100</v>
      </c>
      <c r="B23" s="7">
        <f>'02_Age_Gender'!J13</f>
        <v>77309</v>
      </c>
      <c r="C23" s="7">
        <f>'02_Age_Gender'!S13</f>
        <v>70850</v>
      </c>
      <c r="D23" s="7">
        <f t="shared" si="2"/>
        <v>-6459</v>
      </c>
      <c r="E23" s="8">
        <f t="shared" si="3"/>
        <v>-8.3547840484290314E-2</v>
      </c>
      <c r="F23" s="15">
        <f t="shared" si="4"/>
        <v>0.10185202489300865</v>
      </c>
      <c r="G23" s="15">
        <f t="shared" si="5"/>
        <v>-0.50958579881656807</v>
      </c>
    </row>
    <row r="24" spans="1:7" x14ac:dyDescent="0.2">
      <c r="A24" s="6" t="s">
        <v>101</v>
      </c>
      <c r="B24" s="7">
        <f>'02_Age_Gender'!J14</f>
        <v>78621</v>
      </c>
      <c r="C24" s="7">
        <f>'02_Age_Gender'!S14</f>
        <v>60319</v>
      </c>
      <c r="D24" s="7">
        <f t="shared" si="2"/>
        <v>-18302</v>
      </c>
      <c r="E24" s="8">
        <f t="shared" si="3"/>
        <v>-0.23278767759250074</v>
      </c>
      <c r="F24" s="15">
        <f t="shared" si="4"/>
        <v>8.6712946923378817E-2</v>
      </c>
      <c r="G24" s="15">
        <f t="shared" si="5"/>
        <v>-1.4439447731755424</v>
      </c>
    </row>
    <row r="25" spans="1:7" x14ac:dyDescent="0.2">
      <c r="A25" s="6" t="s">
        <v>102</v>
      </c>
      <c r="B25" s="7">
        <f>'02_Age_Gender'!J15</f>
        <v>91335</v>
      </c>
      <c r="C25" s="7">
        <f>'02_Age_Gender'!S15</f>
        <v>93686</v>
      </c>
      <c r="D25" s="7">
        <f t="shared" si="2"/>
        <v>2351</v>
      </c>
      <c r="E25" s="8">
        <f t="shared" si="3"/>
        <v>2.574040619696721E-2</v>
      </c>
      <c r="F25" s="15">
        <f t="shared" si="4"/>
        <v>0.13468043477948355</v>
      </c>
      <c r="G25" s="15">
        <f t="shared" si="5"/>
        <v>0.18548323471400394</v>
      </c>
    </row>
    <row r="26" spans="1:7" x14ac:dyDescent="0.2">
      <c r="A26" s="6" t="s">
        <v>103</v>
      </c>
      <c r="B26" s="7">
        <f>'02_Age_Gender'!J16</f>
        <v>288329</v>
      </c>
      <c r="C26" s="7">
        <f>'02_Age_Gender'!S16</f>
        <v>306153</v>
      </c>
      <c r="D26" s="7">
        <f t="shared" si="2"/>
        <v>17824</v>
      </c>
      <c r="E26" s="8">
        <f t="shared" si="3"/>
        <v>6.1818270101169151E-2</v>
      </c>
      <c r="F26" s="15">
        <f t="shared" si="4"/>
        <v>0.4401171909254662</v>
      </c>
      <c r="G26" s="15">
        <f t="shared" si="5"/>
        <v>1.406232741617357</v>
      </c>
    </row>
    <row r="29" spans="1:7" x14ac:dyDescent="0.2">
      <c r="A29" s="18" t="s">
        <v>185</v>
      </c>
    </row>
    <row r="30" spans="1:7" ht="30" customHeight="1" x14ac:dyDescent="0.2">
      <c r="A30" s="5" t="s">
        <v>110</v>
      </c>
      <c r="B30" s="5" t="s">
        <v>111</v>
      </c>
      <c r="C30" s="5" t="s">
        <v>117</v>
      </c>
      <c r="D30" s="5" t="s">
        <v>118</v>
      </c>
      <c r="E30" s="5" t="s">
        <v>186</v>
      </c>
      <c r="F30" s="5" t="s">
        <v>115</v>
      </c>
      <c r="G30" s="5" t="s">
        <v>187</v>
      </c>
    </row>
    <row r="31" spans="1:7" x14ac:dyDescent="0.2">
      <c r="A31" s="6" t="str">
        <f>'04_States'!A5</f>
        <v>Baden-Württemberg</v>
      </c>
      <c r="B31" s="7">
        <f>'04_States'!B5</f>
        <v>76079</v>
      </c>
      <c r="C31" s="7">
        <f>'04_States'!K5</f>
        <v>11245898</v>
      </c>
      <c r="D31" s="9">
        <f t="shared" ref="D31:D42" si="6">B31/C31*1000</f>
        <v>6.7650444633234272</v>
      </c>
      <c r="E31" s="8">
        <f>'04_States'!E5</f>
        <v>-2.1932249148293372E-2</v>
      </c>
      <c r="F31" s="15">
        <f>'04_States'!H5</f>
        <v>0.35977076459995533</v>
      </c>
      <c r="G31" s="6">
        <f t="shared" ref="G31:G42" si="7">RANK(D31,$D$31:$D$42)</f>
        <v>8</v>
      </c>
    </row>
    <row r="32" spans="1:7" x14ac:dyDescent="0.2">
      <c r="A32" s="6" t="str">
        <f>'04_States'!A6</f>
        <v>Bayern</v>
      </c>
      <c r="B32" s="7">
        <f>'04_States'!B6</f>
        <v>144501</v>
      </c>
      <c r="C32" s="7">
        <f>'04_States'!K6</f>
        <v>13248928</v>
      </c>
      <c r="D32" s="9">
        <f t="shared" si="6"/>
        <v>10.906618256209105</v>
      </c>
      <c r="E32" s="8">
        <f>'04_States'!E6</f>
        <v>4.6931709148554501E-3</v>
      </c>
      <c r="F32" s="15">
        <f>'04_States'!H6</f>
        <v>0.35996290683109461</v>
      </c>
      <c r="G32" s="6">
        <f t="shared" si="7"/>
        <v>4</v>
      </c>
    </row>
    <row r="33" spans="1:7" x14ac:dyDescent="0.2">
      <c r="A33" s="6" t="str">
        <f>'04_States'!A7</f>
        <v>Berlin/Brandenburg</v>
      </c>
      <c r="B33" s="7">
        <f>'04_States'!B7</f>
        <v>27777</v>
      </c>
      <c r="C33" s="7">
        <f>'04_States'!K7</f>
        <v>6242012</v>
      </c>
      <c r="D33" s="9">
        <f t="shared" si="6"/>
        <v>4.4500074655415593</v>
      </c>
      <c r="E33" s="8">
        <f>'04_States'!E7</f>
        <v>1.0403404750645665E-2</v>
      </c>
      <c r="F33" s="15">
        <f>'04_States'!H7</f>
        <v>0.32408107427007954</v>
      </c>
      <c r="G33" s="6">
        <f t="shared" si="7"/>
        <v>10</v>
      </c>
    </row>
    <row r="34" spans="1:7" x14ac:dyDescent="0.2">
      <c r="A34" s="6" t="str">
        <f>'04_States'!A8</f>
        <v>Hamburg</v>
      </c>
      <c r="B34" s="7">
        <f>'04_States'!B8</f>
        <v>22099</v>
      </c>
      <c r="C34" s="7">
        <f>'04_States'!K8</f>
        <v>1862565</v>
      </c>
      <c r="D34" s="9">
        <f t="shared" si="6"/>
        <v>11.864820825045031</v>
      </c>
      <c r="E34" s="8">
        <f>'04_States'!E8</f>
        <v>1.0378566203365034E-2</v>
      </c>
      <c r="F34" s="15">
        <f>'04_States'!H8</f>
        <v>0.36938323001040774</v>
      </c>
      <c r="G34" s="6">
        <f t="shared" si="7"/>
        <v>3</v>
      </c>
    </row>
    <row r="35" spans="1:7" x14ac:dyDescent="0.2">
      <c r="A35" s="6" t="str">
        <f>'04_States'!A9</f>
        <v>Hessen</v>
      </c>
      <c r="B35" s="7">
        <f>'04_States'!B9</f>
        <v>49741</v>
      </c>
      <c r="C35" s="7">
        <f>'04_States'!K9</f>
        <v>6280793</v>
      </c>
      <c r="D35" s="9">
        <f t="shared" si="6"/>
        <v>7.9195413700149011</v>
      </c>
      <c r="E35" s="8">
        <f>'04_States'!E9</f>
        <v>-2.3153967007069915E-2</v>
      </c>
      <c r="F35" s="15">
        <f>'04_States'!H9</f>
        <v>0.35131983675438772</v>
      </c>
      <c r="G35" s="6">
        <f t="shared" si="7"/>
        <v>7</v>
      </c>
    </row>
    <row r="36" spans="1:7" x14ac:dyDescent="0.2">
      <c r="A36" s="6" t="str">
        <f>'04_States'!A10</f>
        <v>Mecklenburg-Vorpommern</v>
      </c>
      <c r="B36" s="7">
        <f>'04_States'!B10</f>
        <v>18752</v>
      </c>
      <c r="C36" s="7">
        <f>'04_States'!K10</f>
        <v>1573597</v>
      </c>
      <c r="D36" s="9">
        <f t="shared" si="6"/>
        <v>11.916647019535498</v>
      </c>
      <c r="E36" s="8">
        <f>'04_States'!E10</f>
        <v>1.8079157391823659E-2</v>
      </c>
      <c r="F36" s="15">
        <f>'04_States'!H10</f>
        <v>0.34668302047781568</v>
      </c>
      <c r="G36" s="6">
        <f t="shared" si="7"/>
        <v>2</v>
      </c>
    </row>
    <row r="37" spans="1:7" x14ac:dyDescent="0.2">
      <c r="A37" s="6" t="str">
        <f>'04_States'!A11</f>
        <v>Niedersachsen/Bremen</v>
      </c>
      <c r="B37" s="7">
        <f>'04_States'!B11</f>
        <v>78772</v>
      </c>
      <c r="C37" s="7">
        <f>'04_States'!K11</f>
        <v>8709370</v>
      </c>
      <c r="D37" s="9">
        <f t="shared" si="6"/>
        <v>9.044511830362012</v>
      </c>
      <c r="E37" s="8">
        <f>'04_States'!E11</f>
        <v>6.217553700732191E-2</v>
      </c>
      <c r="F37" s="15">
        <f>'04_States'!H11</f>
        <v>0.33753110242218048</v>
      </c>
      <c r="G37" s="6">
        <f t="shared" si="7"/>
        <v>5</v>
      </c>
    </row>
    <row r="38" spans="1:7" x14ac:dyDescent="0.2">
      <c r="A38" s="6" t="str">
        <f>'04_States'!A12</f>
        <v>Nordrhein-Westfalen</v>
      </c>
      <c r="B38" s="7">
        <f>'04_States'!B12</f>
        <v>144750</v>
      </c>
      <c r="C38" s="7">
        <f>'04_States'!K12</f>
        <v>18034454</v>
      </c>
      <c r="D38" s="9">
        <f t="shared" si="6"/>
        <v>8.0263034300899836</v>
      </c>
      <c r="E38" s="8">
        <f>'04_States'!E12</f>
        <v>1.3591580362582191E-2</v>
      </c>
      <c r="F38" s="15">
        <f>'04_States'!H12</f>
        <v>0.34482210708117444</v>
      </c>
      <c r="G38" s="6">
        <f t="shared" si="7"/>
        <v>6</v>
      </c>
    </row>
    <row r="39" spans="1:7" x14ac:dyDescent="0.2">
      <c r="A39" s="6" t="str">
        <f>'04_States'!A13</f>
        <v>Rheinland-Pfalz/Saarland</v>
      </c>
      <c r="B39" s="7">
        <f>'04_States'!B13</f>
        <v>30113</v>
      </c>
      <c r="C39" s="7">
        <f>'04_States'!K13</f>
        <v>5141710</v>
      </c>
      <c r="D39" s="9">
        <f t="shared" si="6"/>
        <v>5.8566119053777825</v>
      </c>
      <c r="E39" s="8">
        <f>'04_States'!E13</f>
        <v>-2.4016334997083038E-2</v>
      </c>
      <c r="F39" s="15">
        <f>'04_States'!H13</f>
        <v>0.34237704645834027</v>
      </c>
      <c r="G39" s="6">
        <f t="shared" si="7"/>
        <v>9</v>
      </c>
    </row>
    <row r="40" spans="1:7" x14ac:dyDescent="0.2">
      <c r="A40" s="6" t="str">
        <f>'04_States'!A14</f>
        <v>Sachsen-Anhalt</v>
      </c>
      <c r="B40" s="7">
        <f>'04_States'!B14</f>
        <v>2168</v>
      </c>
      <c r="C40" s="7">
        <f>'04_States'!K14</f>
        <v>2135597</v>
      </c>
      <c r="D40" s="9">
        <f t="shared" si="6"/>
        <v>1.0151728064798742</v>
      </c>
      <c r="E40" s="8">
        <f>'04_States'!E14</f>
        <v>1.0722610722610723E-2</v>
      </c>
      <c r="F40" s="15">
        <f>'04_States'!H14</f>
        <v>0.48662361623616235</v>
      </c>
      <c r="G40" s="6">
        <f t="shared" si="7"/>
        <v>12</v>
      </c>
    </row>
    <row r="41" spans="1:7" x14ac:dyDescent="0.2">
      <c r="A41" s="6" t="str">
        <f>'04_States'!A15</f>
        <v>Sachsen/Thüringen</v>
      </c>
      <c r="B41" s="7">
        <f>'04_States'!B15</f>
        <v>13696</v>
      </c>
      <c r="C41" s="7">
        <f>'04_States'!K15</f>
        <v>6142699</v>
      </c>
      <c r="D41" s="9">
        <f t="shared" si="6"/>
        <v>2.2296387955848074</v>
      </c>
      <c r="E41" s="8">
        <f>'04_States'!E15</f>
        <v>3.7497159306113172E-2</v>
      </c>
      <c r="F41" s="15">
        <f>'04_States'!H15</f>
        <v>0.32666471962616822</v>
      </c>
      <c r="G41" s="6">
        <f t="shared" si="7"/>
        <v>11</v>
      </c>
    </row>
    <row r="42" spans="1:7" x14ac:dyDescent="0.2">
      <c r="A42" s="6" t="str">
        <f>'04_States'!A16</f>
        <v>Schleswig-Holstein</v>
      </c>
      <c r="B42" s="7">
        <f>'04_States'!B16</f>
        <v>54471</v>
      </c>
      <c r="C42" s="7">
        <f>'04_States'!K16</f>
        <v>2959517</v>
      </c>
      <c r="D42" s="9">
        <f t="shared" si="6"/>
        <v>18.405368173252594</v>
      </c>
      <c r="E42" s="8">
        <f>'04_States'!E16</f>
        <v>1.2058266136524097E-2</v>
      </c>
      <c r="F42" s="15">
        <f>'04_States'!H16</f>
        <v>0.35481265260413797</v>
      </c>
      <c r="G42" s="6">
        <f t="shared" si="7"/>
        <v>1</v>
      </c>
    </row>
    <row r="45" spans="1:7" x14ac:dyDescent="0.2">
      <c r="A45" s="18" t="s">
        <v>188</v>
      </c>
    </row>
    <row r="46" spans="1:7" x14ac:dyDescent="0.2">
      <c r="A46" s="11" t="s">
        <v>111</v>
      </c>
      <c r="B46" s="13">
        <f>'01_Timeseries'!B14</f>
        <v>695617</v>
      </c>
    </row>
    <row r="47" spans="1:7" x14ac:dyDescent="0.2">
      <c r="A47" s="11" t="s">
        <v>189</v>
      </c>
      <c r="B47" s="23">
        <f>'01_Timeseries'!C14</f>
        <v>8909</v>
      </c>
    </row>
    <row r="48" spans="1:7" x14ac:dyDescent="0.2">
      <c r="A48" s="11" t="s">
        <v>190</v>
      </c>
      <c r="B48" s="16">
        <f>'01_Timeseries'!D14</f>
        <v>1.297349091608078E-2</v>
      </c>
    </row>
    <row r="49" spans="1:2" x14ac:dyDescent="0.2">
      <c r="A49" s="11" t="s">
        <v>191</v>
      </c>
      <c r="B49" s="17">
        <f>E11</f>
        <v>0.34725287047326331</v>
      </c>
    </row>
    <row r="50" spans="1:2" x14ac:dyDescent="0.2">
      <c r="A50" s="11" t="s">
        <v>192</v>
      </c>
      <c r="B50" s="24">
        <f>(E11-E6)*100</f>
        <v>-1.4114732767057381</v>
      </c>
    </row>
    <row r="51" spans="1:2" x14ac:dyDescent="0.2">
      <c r="A51" s="11" t="s">
        <v>193</v>
      </c>
      <c r="B51" s="17">
        <f>'07_Seniors'!D10/'01_Timeseries'!B14</f>
        <v>0.46827923986906589</v>
      </c>
    </row>
    <row r="52" spans="1:2" x14ac:dyDescent="0.2">
      <c r="A52" s="11" t="s">
        <v>194</v>
      </c>
      <c r="B52" s="17">
        <f>'06_Juniors'!J15/'01_Timeseries'!B14</f>
        <v>6.1525235869738661E-2</v>
      </c>
    </row>
    <row r="53" spans="1:2" x14ac:dyDescent="0.2">
      <c r="A53" s="11" t="s">
        <v>195</v>
      </c>
      <c r="B53" s="13">
        <f>'01_Timeseries'!F14</f>
        <v>721</v>
      </c>
    </row>
    <row r="54" spans="1:2" x14ac:dyDescent="0.2">
      <c r="A54" s="11" t="s">
        <v>196</v>
      </c>
      <c r="B54" s="13">
        <f>'01_Timeseries'!G14</f>
        <v>964.79472954230232</v>
      </c>
    </row>
    <row r="55" spans="1:2" x14ac:dyDescent="0.2">
      <c r="A55" s="11" t="s">
        <v>197</v>
      </c>
      <c r="B55" s="25">
        <f>'01_Timeseries'!B14/83577140*1000</f>
        <v>8.3230534091020587</v>
      </c>
    </row>
    <row r="56" spans="1:2" x14ac:dyDescent="0.2">
      <c r="A56" s="11" t="s">
        <v>198</v>
      </c>
      <c r="B56" s="16">
        <f>SUM(D19:D22)/SUM(B19:B22)</f>
        <v>0.18181641780908306</v>
      </c>
    </row>
    <row r="57" spans="1:2" x14ac:dyDescent="0.2">
      <c r="A57" s="11" t="s">
        <v>199</v>
      </c>
      <c r="B57" s="16">
        <f>SUM(D23:D25)/SUM(B23:B25)</f>
        <v>-9.0631508705235272E-2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M66"/>
  <sheetViews>
    <sheetView showGridLines="0" topLeftCell="A35" workbookViewId="0">
      <selection activeCell="D71" sqref="D71"/>
    </sheetView>
  </sheetViews>
  <sheetFormatPr baseColWidth="10" defaultColWidth="8.83203125" defaultRowHeight="15" x14ac:dyDescent="0.2"/>
  <cols>
    <col min="1" max="1" width="2" customWidth="1"/>
    <col min="2" max="12" width="18" customWidth="1"/>
    <col min="13" max="13" width="2" customWidth="1"/>
  </cols>
  <sheetData>
    <row r="2" spans="2:13" x14ac:dyDescent="0.2">
      <c r="B2" s="29" t="s">
        <v>0</v>
      </c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2:13" x14ac:dyDescent="0.2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2:13" x14ac:dyDescent="0.2">
      <c r="B4" s="33" t="s">
        <v>1</v>
      </c>
      <c r="C4" s="28"/>
      <c r="D4" s="28"/>
      <c r="E4" s="28"/>
      <c r="F4" s="28"/>
      <c r="G4" s="28"/>
      <c r="H4" s="28"/>
      <c r="I4" s="28"/>
      <c r="J4" s="28"/>
      <c r="K4" s="28"/>
      <c r="L4" s="28"/>
    </row>
    <row r="6" spans="2:13" ht="16" customHeight="1" x14ac:dyDescent="0.2">
      <c r="B6" s="34" t="s">
        <v>2</v>
      </c>
      <c r="C6" s="30"/>
      <c r="D6" s="34" t="s">
        <v>3</v>
      </c>
      <c r="E6" s="30"/>
      <c r="F6" s="31" t="s">
        <v>4</v>
      </c>
      <c r="G6" s="32"/>
      <c r="H6" s="31" t="s">
        <v>5</v>
      </c>
      <c r="I6" s="32"/>
      <c r="J6" s="31" t="s">
        <v>6</v>
      </c>
      <c r="K6" s="32"/>
      <c r="L6" s="36" t="s">
        <v>7</v>
      </c>
      <c r="M6" s="37"/>
    </row>
    <row r="7" spans="2:13" ht="22" customHeight="1" x14ac:dyDescent="0.2">
      <c r="B7" s="40">
        <f>'10_Metrics'!B46</f>
        <v>695617</v>
      </c>
      <c r="C7" s="39"/>
      <c r="D7" s="38">
        <f>'10_Metrics'!B48</f>
        <v>1.297349091608078E-2</v>
      </c>
      <c r="E7" s="39"/>
      <c r="F7" s="41">
        <f>'10_Metrics'!B49</f>
        <v>0.34725287047326331</v>
      </c>
      <c r="G7" s="39"/>
      <c r="H7" s="41">
        <f>'10_Metrics'!B51</f>
        <v>0.46827923986906589</v>
      </c>
      <c r="I7" s="39"/>
      <c r="J7" s="41">
        <f>'10_Metrics'!B52</f>
        <v>6.1525235869738661E-2</v>
      </c>
      <c r="K7" s="39"/>
      <c r="L7" s="40">
        <f>'10_Metrics'!B53</f>
        <v>721</v>
      </c>
      <c r="M7" s="39"/>
    </row>
    <row r="8" spans="2:13" ht="22" customHeight="1" x14ac:dyDescent="0.2"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</row>
    <row r="10" spans="2:13" x14ac:dyDescent="0.2">
      <c r="B10" s="26" t="s">
        <v>8</v>
      </c>
      <c r="H10" s="26" t="s">
        <v>9</v>
      </c>
    </row>
    <row r="28" spans="2:8" x14ac:dyDescent="0.2">
      <c r="B28" s="26" t="s">
        <v>10</v>
      </c>
      <c r="H28" s="26" t="s">
        <v>11</v>
      </c>
    </row>
    <row r="46" spans="2:8" x14ac:dyDescent="0.2">
      <c r="B46" s="26" t="s">
        <v>12</v>
      </c>
      <c r="H46" s="26" t="s">
        <v>13</v>
      </c>
    </row>
    <row r="65" spans="2:12" x14ac:dyDescent="0.2">
      <c r="B65" s="35" t="s">
        <v>14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</row>
    <row r="66" spans="2:12" x14ac:dyDescent="0.2"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</row>
  </sheetData>
  <mergeCells count="15">
    <mergeCell ref="B65:L66"/>
    <mergeCell ref="H6:I6"/>
    <mergeCell ref="L6:M6"/>
    <mergeCell ref="D7:E8"/>
    <mergeCell ref="B7:C8"/>
    <mergeCell ref="J6:K6"/>
    <mergeCell ref="L7:M8"/>
    <mergeCell ref="H7:I8"/>
    <mergeCell ref="F7:G8"/>
    <mergeCell ref="J7:K8"/>
    <mergeCell ref="B2:L3"/>
    <mergeCell ref="F6:G6"/>
    <mergeCell ref="B4:L4"/>
    <mergeCell ref="B6:C6"/>
    <mergeCell ref="D6:E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00_README</vt:lpstr>
      <vt:lpstr>01_Timeseries</vt:lpstr>
      <vt:lpstr>02_Age_Gender</vt:lpstr>
      <vt:lpstr>03_Age_Long</vt:lpstr>
      <vt:lpstr>04_States</vt:lpstr>
      <vt:lpstr>05_States_Long</vt:lpstr>
      <vt:lpstr>06_Juniors</vt:lpstr>
      <vt:lpstr>07_Seniors</vt:lpstr>
      <vt:lpstr>08_Federations</vt:lpstr>
      <vt:lpstr>09_History</vt:lpstr>
      <vt:lpstr>10_Metrics</vt:lpstr>
      <vt:lpstr>20_Dashboard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Heier</cp:lastModifiedBy>
  <dcterms:created xsi:type="dcterms:W3CDTF">2026-09-10T03:08:39Z</dcterms:created>
  <dcterms:modified xsi:type="dcterms:W3CDTF">2026-09-23T11:13:31Z</dcterms:modified>
</cp:coreProperties>
</file>