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EE783EB8-8D45-E54D-9001-0A0A01BC4CCB}"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10" hidden="1">'03_States'!$F$31:$F$46</definedName>
    <definedName name="_xlchart.v5.11" hidden="1">'06_Metrics'!$A$20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 name="_xlchart.v5.8" hidden="1">'03_States'!$A$31:$A$46</definedName>
    <definedName name="_xlchart.v5.9" hidden="1">'03_States'!$F$30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12" l="1"/>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77" i="12"/>
  <c r="B76" i="12"/>
  <c r="B75" i="12"/>
  <c r="B74" i="12"/>
  <c r="B73" i="12"/>
  <c r="B72" i="12"/>
  <c r="B71" i="12"/>
  <c r="B70" i="12"/>
  <c r="B69" i="12"/>
  <c r="B68" i="12"/>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B9" i="15"/>
  <c r="J7" i="15"/>
  <c r="H7" i="15"/>
  <c r="F7" i="15"/>
  <c r="D7" i="15"/>
  <c r="B7" i="15"/>
  <c r="J6" i="15"/>
  <c r="D6" i="15"/>
</calcChain>
</file>

<file path=xl/sharedStrings.xml><?xml version="1.0" encoding="utf-8"?>
<sst xmlns="http://schemas.openxmlformats.org/spreadsheetml/2006/main" count="426" uniqueCount="295">
  <si>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</si>
  <si>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</si>
  <si>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</si>
  <si>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</si>
  <si>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</si>
  <si>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2   The unconverted pool keeps growing: 2.25m in 2019, 2.68m in 2025</t>
  </si>
  <si>
    <t>3   The centre of gravity shifts: the 41–60 cohort falls below the over-60s</t>
  </si>
  <si>
    <t>4   Growth is male: 89% of net gains among 19–40s since 2016 were men</t>
  </si>
  <si>
    <t>5   Where the prize is: two associations hold 53% of the untapped potential</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</si>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</sst>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9" fillId="2" borderId="0" xfId="0" applyFont="1" applyFill="1" applyAlignment="1">
      <alignment horizontal="left" vertical="center" indent="1"/>
    </xf>
    <xf numFmtId="0" fontId="0" fillId="2" borderId="0" xfId="0" applyFill="1"/>
    <xf numFmtId="0" fontId="10" fillId="6" borderId="0" xfId="0" applyFont="1" applyFill="1" applyAlignment="1">
      <alignment horizontal="center" vertical="center"/>
    </xf>
    <xf numFmtId="0" fontId="0" fillId="6" borderId="0" xfId="0" applyFill="1"/>
    <xf numFmtId="165" fontId="11" fillId="5" borderId="0" xfId="0" applyNumberFormat="1" applyFont="1" applyFill="1" applyAlignment="1">
      <alignment horizontal="center" vertical="center"/>
    </xf>
    <xf numFmtId="0" fontId="0" fillId="5" borderId="0" xfId="0" applyFill="1"/>
    <xf numFmtId="0" fontId="0" fillId="0" borderId="0" xfId="0"/>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13" fillId="0" borderId="0" xfId="0" applyFont="1" applyAlignment="1">
      <alignment vertical="top" wrapText="1" indent="1"/>
    </xf>
    <xf numFmtId="164" fontId="11" fillId="5" borderId="0" xfId="0" applyNumberFormat="1" applyFont="1" applyFill="1" applyAlignment="1">
      <alignment horizontal="center" vertical="center"/>
    </xf>
    <xf numFmtId="0" fontId="2" fillId="0" borderId="0" xfId="0" applyFont="1" applyAlignment="1">
      <alignment horizontal="left" indent="1"/>
    </xf>
    <xf numFmtId="0" fontId="10" fillId="2" borderId="0" xfId="0" applyFont="1" applyFill="1" applyAlignment="1">
      <alignment horizontal="center" vertical="center"/>
    </xf>
    <xf numFmtId="0" fontId="10" fillId="7" borderId="0" xfId="0" applyFont="1" applyFill="1" applyAlignment="1">
      <alignment horizontal="center" vertical="center"/>
    </xf>
    <xf numFmtId="0" fontId="0" fillId="7" borderId="0" xfId="0" applyFill="1"/>
    <xf numFmtId="0" fontId="2" fillId="0" borderId="0" xfId="0" applyFont="1"/>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chemeClr val="accent1"/>
              </a:solidFill>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1"/>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1"/>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7"/>
            <c:spPr>
              <a:solidFill>
                <a:srgbClr val="999999"/>
              </a:solidFill>
              <a:ln>
                <a:solidFill>
                  <a:srgbClr val="999999"/>
                </a:solidFill>
                <a:prstDash val="solid"/>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7"/>
            <c:spPr>
              <a:solidFill>
                <a:srgbClr val="0072B2"/>
              </a:solidFill>
              <a:ln>
                <a:solidFill>
                  <a:srgbClr val="0072B2"/>
                </a:solidFill>
                <a:prstDash val="solid"/>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7"/>
            <c:spPr>
              <a:solidFill>
                <a:srgbClr val="E69F00"/>
              </a:solidFill>
              <a:ln>
                <a:solidFill>
                  <a:srgbClr val="E69F00"/>
                </a:solidFill>
                <a:prstDash val="solid"/>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7"/>
            <c:spPr>
              <a:solidFill>
                <a:srgbClr val="404040"/>
              </a:solidFill>
              <a:ln>
                <a:solidFill>
                  <a:srgbClr val="404040"/>
                </a:solidFill>
                <a:prstDash val="solid"/>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1"/>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a:solidFill>
                  <a:srgbClr val="999999"/>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a:solidFill>
                  <a:srgbClr val="E69F00"/>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Untapped potential: members needed to reach the national average</a:t>
            </a:r>
          </a:p>
        </c:rich>
      </c:tx>
      <c:overlay val="1"/>
    </c:title>
    <c:autoTitleDeleted val="0"/>
    <c:plotArea>
      <c:layout/>
      <c:barChart>
        <c:barDir val="bar"/>
        <c:grouping val="clustered"/>
        <c:varyColors val="1"/>
        <c:ser>
          <c:idx val="0"/>
          <c:order val="0"/>
          <c:tx>
            <c:strRef>
              <c:f>'06_Metrics'!$B$103</c:f>
              <c:strCache>
                <c:ptCount val="1"/>
                <c:pt idx="0">
                  <c:v>Untapped potential</c:v>
                </c:pt>
              </c:strCache>
            </c:strRef>
          </c:tx>
          <c:spPr>
            <a:solidFill>
              <a:srgbClr val="0072B2"/>
            </a:solidFill>
            <a:ln>
              <a:prstDash val="solid"/>
            </a:ln>
          </c:spPr>
          <c:invertIfNegative val="1"/>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2EA5-9C45-B4B9-00F41774191B}"/>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2EA5-9C45-B4B9-00F41774191B}"/>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2EA5-9C45-B4B9-00F41774191B}"/>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2EA5-9C45-B4B9-00F41774191B}"/>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2EA5-9C45-B4B9-00F41774191B}"/>
              </c:ext>
            </c:extLst>
          </c:dPt>
          <c:cat>
            <c:strRef>
              <c:f>'06_Metrics'!$A$104:$A$115</c:f>
              <c:strCache>
                <c:ptCount val="12"/>
                <c:pt idx="0">
                  <c:v>Sachsen/Thüringen</c:v>
                </c:pt>
                <c:pt idx="1">
                  <c:v>Berlin/Brandenburg</c:v>
                </c:pt>
                <c:pt idx="2">
                  <c:v>Baden-Württemberg</c:v>
                </c:pt>
                <c:pt idx="3">
                  <c:v>Sachsen-Anhalt</c:v>
                </c:pt>
                <c:pt idx="4">
                  <c:v>Rheinland-Pfalz/Saarland</c:v>
                </c:pt>
                <c:pt idx="5">
                  <c:v>Nordrhein-Westfalen</c:v>
                </c:pt>
                <c:pt idx="6">
                  <c:v>Hessen</c:v>
                </c:pt>
                <c:pt idx="7">
                  <c:v>Bayern</c:v>
                </c:pt>
                <c:pt idx="8">
                  <c:v>Hamburg</c:v>
                </c:pt>
                <c:pt idx="9">
                  <c:v>Mecklenburg-Vorpommern</c:v>
                </c:pt>
                <c:pt idx="10">
                  <c:v>Niedersachsen/Bremen</c:v>
                </c:pt>
                <c:pt idx="11">
                  <c:v>Schleswig-Holstein</c:v>
                </c:pt>
              </c:strCache>
            </c:strRef>
          </c:cat>
          <c:val>
            <c:numRef>
              <c:f>'06_Metrics'!$B$104:$B$115</c:f>
              <c:numCache>
                <c:formatCode>#,##0</c:formatCode>
                <c:ptCount val="12"/>
                <c:pt idx="0">
                  <c:v>37430.011853037802</c:v>
                </c:pt>
                <c:pt idx="1">
                  <c:v>24175.599256255959</c:v>
                </c:pt>
                <c:pt idx="2">
                  <c:v>17521.209687314018</c:v>
                </c:pt>
                <c:pt idx="3">
                  <c:v>15606.68789131813</c:v>
                </c:pt>
                <c:pt idx="4">
                  <c:v>12681.726944114149</c:v>
                </c:pt>
                <c:pt idx="5">
                  <c:v>5351.7238459942337</c:v>
                </c:pt>
                <c:pt idx="6">
                  <c:v>2534.3755905143462</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A-2EA5-9C45-B4B9-00F41774191B}"/>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_xlchart.v5.5</cx:f>
              <cx:v>Untapped potential to national average</cx:v>
            </cx:txData>
          </cx:tx>
          <cx:dataPt idx="2"/>
          <cx:dataPt idx="3"/>
          <cx:dataPt idx="4"/>
          <cx:dataPt idx="7"/>
          <cx:dataPt idx="8"/>
          <cx:dataPt idx="9"/>
          <cx:dataPt idx="11"/>
          <cx:dataPt idx="12"/>
          <cx:dataPt idx="13"/>
          <cx:dataPt idx="14"/>
          <cx:dataLabels>
            <cx:visibility seriesName="0" categoryName="0" value="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891227</xdr:colOff>
      <xdr:row>10</xdr:row>
      <xdr:rowOff>133685</xdr:rowOff>
    </xdr:from>
    <xdr:ext cx="7205023" cy="9890244"/>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97627" y="2356185"/>
              <a:ext cx="7205023" cy="98902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10</v>
      </c>
    </row>
    <row r="2" spans="1:2" x14ac:dyDescent="0.2">
      <c r="A2" s="2" t="s">
        <v>11</v>
      </c>
    </row>
    <row r="4" spans="1:2" x14ac:dyDescent="0.2">
      <c r="A4" s="3"/>
      <c r="B4" s="4"/>
    </row>
    <row r="5" spans="1:2" ht="30" customHeight="1" x14ac:dyDescent="0.2">
      <c r="A5" s="3" t="s">
        <v>12</v>
      </c>
      <c r="B5" s="4" t="s">
        <v>13</v>
      </c>
    </row>
    <row r="6" spans="1:2" ht="32" x14ac:dyDescent="0.2">
      <c r="A6" s="3" t="s">
        <v>14</v>
      </c>
      <c r="B6" s="4" t="s">
        <v>15</v>
      </c>
    </row>
    <row r="7" spans="1:2" ht="16" x14ac:dyDescent="0.2">
      <c r="A7" s="3" t="s">
        <v>16</v>
      </c>
      <c r="B7" s="4" t="s">
        <v>17</v>
      </c>
    </row>
    <row r="8" spans="1:2" ht="16" x14ac:dyDescent="0.2">
      <c r="A8" s="3" t="s">
        <v>18</v>
      </c>
      <c r="B8" s="4" t="s">
        <v>19</v>
      </c>
    </row>
    <row r="9" spans="1:2" x14ac:dyDescent="0.2">
      <c r="A9" s="3"/>
      <c r="B9" s="4"/>
    </row>
    <row r="10" spans="1:2" x14ac:dyDescent="0.2">
      <c r="A10" s="3" t="s">
        <v>20</v>
      </c>
      <c r="B10" s="4"/>
    </row>
    <row r="11" spans="1:2" ht="30" customHeight="1" x14ac:dyDescent="0.2">
      <c r="A11" s="3" t="s">
        <v>21</v>
      </c>
      <c r="B11" s="4" t="s">
        <v>22</v>
      </c>
    </row>
    <row r="12" spans="1:2" ht="30" customHeight="1" x14ac:dyDescent="0.2">
      <c r="A12" s="3" t="s">
        <v>23</v>
      </c>
      <c r="B12" s="4" t="s">
        <v>24</v>
      </c>
    </row>
    <row r="13" spans="1:2" ht="30" customHeight="1" x14ac:dyDescent="0.2">
      <c r="A13" s="3" t="s">
        <v>25</v>
      </c>
      <c r="B13" s="4" t="s">
        <v>26</v>
      </c>
    </row>
    <row r="14" spans="1:2" ht="16" x14ac:dyDescent="0.2">
      <c r="A14" s="3" t="s">
        <v>27</v>
      </c>
      <c r="B14" s="4" t="s">
        <v>28</v>
      </c>
    </row>
    <row r="15" spans="1:2" ht="30" customHeight="1" x14ac:dyDescent="0.2">
      <c r="A15" s="3" t="s">
        <v>29</v>
      </c>
      <c r="B15" s="4" t="s">
        <v>30</v>
      </c>
    </row>
    <row r="16" spans="1:2" ht="30" customHeight="1" x14ac:dyDescent="0.2">
      <c r="A16" s="3" t="s">
        <v>31</v>
      </c>
      <c r="B16" s="4" t="s">
        <v>32</v>
      </c>
    </row>
    <row r="17" spans="1:2" ht="30" customHeight="1" x14ac:dyDescent="0.2">
      <c r="A17" s="3" t="s">
        <v>33</v>
      </c>
      <c r="B17" s="4" t="s">
        <v>34</v>
      </c>
    </row>
    <row r="18" spans="1:2" ht="30" customHeight="1" x14ac:dyDescent="0.2">
      <c r="A18" s="3" t="s">
        <v>35</v>
      </c>
      <c r="B18" s="4" t="s">
        <v>36</v>
      </c>
    </row>
    <row r="19" spans="1:2" ht="16" x14ac:dyDescent="0.2">
      <c r="A19" s="3" t="s">
        <v>37</v>
      </c>
      <c r="B19" s="4" t="s">
        <v>38</v>
      </c>
    </row>
    <row r="20" spans="1:2" ht="16" x14ac:dyDescent="0.2">
      <c r="A20" s="3" t="s">
        <v>39</v>
      </c>
      <c r="B20" s="4" t="s">
        <v>40</v>
      </c>
    </row>
    <row r="21" spans="1:2" ht="16" x14ac:dyDescent="0.2">
      <c r="A21" s="3" t="s">
        <v>41</v>
      </c>
      <c r="B21" s="4" t="s">
        <v>42</v>
      </c>
    </row>
    <row r="22" spans="1:2" ht="30" customHeight="1" x14ac:dyDescent="0.2">
      <c r="A22" s="3" t="s">
        <v>43</v>
      </c>
      <c r="B22" s="4" t="s">
        <v>44</v>
      </c>
    </row>
    <row r="23" spans="1:2" x14ac:dyDescent="0.2">
      <c r="A23" s="3"/>
      <c r="B23" s="4"/>
    </row>
    <row r="24" spans="1:2" ht="30" customHeight="1" x14ac:dyDescent="0.2">
      <c r="A24" s="3" t="s">
        <v>45</v>
      </c>
      <c r="B24" s="4" t="s">
        <v>46</v>
      </c>
    </row>
    <row r="25" spans="1:2" ht="30" customHeight="1" x14ac:dyDescent="0.2">
      <c r="A25" s="3" t="s">
        <v>47</v>
      </c>
      <c r="B25" s="4" t="s">
        <v>48</v>
      </c>
    </row>
    <row r="26" spans="1:2" x14ac:dyDescent="0.2">
      <c r="A26" s="3"/>
      <c r="B26" s="4"/>
    </row>
    <row r="27" spans="1:2" ht="30" customHeight="1" x14ac:dyDescent="0.2">
      <c r="A27" s="3" t="s">
        <v>49</v>
      </c>
      <c r="B27" s="4" t="s">
        <v>50</v>
      </c>
    </row>
    <row r="28" spans="1:2" x14ac:dyDescent="0.2">
      <c r="A28" s="3"/>
      <c r="B28" s="4"/>
    </row>
    <row r="29" spans="1:2" x14ac:dyDescent="0.2">
      <c r="A29" s="3" t="s">
        <v>51</v>
      </c>
      <c r="B29" s="4"/>
    </row>
    <row r="30" spans="1:2" ht="16" x14ac:dyDescent="0.2">
      <c r="A30" s="3" t="s">
        <v>52</v>
      </c>
      <c r="B30" s="4" t="s">
        <v>53</v>
      </c>
    </row>
    <row r="31" spans="1:2" ht="16" x14ac:dyDescent="0.2">
      <c r="A31" s="3" t="s">
        <v>54</v>
      </c>
      <c r="B31" s="4" t="s">
        <v>55</v>
      </c>
    </row>
    <row r="32" spans="1:2" ht="16" x14ac:dyDescent="0.2">
      <c r="A32" s="3" t="s">
        <v>56</v>
      </c>
      <c r="B32" s="4" t="s">
        <v>57</v>
      </c>
    </row>
    <row r="33" spans="1:2" ht="16" x14ac:dyDescent="0.2">
      <c r="A33" s="3" t="s">
        <v>58</v>
      </c>
      <c r="B33" s="4" t="s">
        <v>59</v>
      </c>
    </row>
    <row r="34" spans="1:2" ht="16" x14ac:dyDescent="0.2">
      <c r="A34" s="3" t="s">
        <v>60</v>
      </c>
      <c r="B34" s="4" t="s">
        <v>61</v>
      </c>
    </row>
    <row r="35" spans="1:2" ht="16" x14ac:dyDescent="0.2">
      <c r="A35" s="3" t="s">
        <v>62</v>
      </c>
      <c r="B35" s="4" t="s">
        <v>63</v>
      </c>
    </row>
    <row r="36" spans="1:2" ht="16" x14ac:dyDescent="0.2">
      <c r="A36" s="3" t="s">
        <v>64</v>
      </c>
      <c r="B36" s="4" t="s">
        <v>65</v>
      </c>
    </row>
    <row r="37" spans="1:2" ht="16" x14ac:dyDescent="0.2">
      <c r="A37" s="3" t="s">
        <v>66</v>
      </c>
      <c r="B37" s="4" t="s">
        <v>67</v>
      </c>
    </row>
    <row r="38" spans="1:2" ht="16" x14ac:dyDescent="0.2">
      <c r="A38" s="3" t="s">
        <v>68</v>
      </c>
      <c r="B38" s="4" t="s">
        <v>69</v>
      </c>
    </row>
    <row r="39" spans="1:2" ht="16" x14ac:dyDescent="0.2">
      <c r="A39" s="3" t="s">
        <v>70</v>
      </c>
      <c r="B39" s="4" t="s">
        <v>71</v>
      </c>
    </row>
    <row r="40" spans="1:2" ht="16" x14ac:dyDescent="0.2">
      <c r="A40" s="3" t="s">
        <v>72</v>
      </c>
      <c r="B40" s="4" t="s">
        <v>73</v>
      </c>
    </row>
    <row r="41" spans="1:2" ht="16" x14ac:dyDescent="0.2">
      <c r="A41" s="3" t="s">
        <v>74</v>
      </c>
      <c r="B41" s="4" t="s">
        <v>75</v>
      </c>
    </row>
    <row r="42" spans="1:2" ht="16" x14ac:dyDescent="0.2">
      <c r="A42" s="3" t="s">
        <v>76</v>
      </c>
      <c r="B42" s="4" t="s">
        <v>77</v>
      </c>
    </row>
    <row r="43" spans="1:2" ht="16" x14ac:dyDescent="0.2">
      <c r="A43" s="3" t="s">
        <v>78</v>
      </c>
      <c r="B43" s="4" t="s">
        <v>79</v>
      </c>
    </row>
    <row r="44" spans="1:2" x14ac:dyDescent="0.2">
      <c r="A44" s="3"/>
      <c r="B44" s="4"/>
    </row>
    <row r="45" spans="1:2" ht="30" customHeight="1" x14ac:dyDescent="0.2">
      <c r="A45" s="3" t="s">
        <v>80</v>
      </c>
      <c r="B45" s="4" t="s">
        <v>81</v>
      </c>
    </row>
    <row r="46" spans="1:2" ht="30" customHeight="1" x14ac:dyDescent="0.2">
      <c r="A46" s="3" t="s">
        <v>82</v>
      </c>
      <c r="B46" s="4" t="s">
        <v>83</v>
      </c>
    </row>
    <row r="47" spans="1:2" ht="16" x14ac:dyDescent="0.2">
      <c r="A47" s="3" t="s">
        <v>84</v>
      </c>
      <c r="B47" s="4" t="s">
        <v>85</v>
      </c>
    </row>
    <row r="48" spans="1:2" ht="30" customHeight="1" x14ac:dyDescent="0.2">
      <c r="A48" s="3" t="s">
        <v>86</v>
      </c>
      <c r="B48" s="4" t="s">
        <v>87</v>
      </c>
    </row>
    <row r="49" spans="1:2" ht="30" customHeight="1" x14ac:dyDescent="0.2">
      <c r="A49" s="3" t="s">
        <v>88</v>
      </c>
      <c r="B49" s="4" t="s">
        <v>89</v>
      </c>
    </row>
    <row r="50" spans="1:2" ht="16" x14ac:dyDescent="0.2">
      <c r="A50" s="3" t="s">
        <v>90</v>
      </c>
      <c r="B50" s="4" t="s">
        <v>91</v>
      </c>
    </row>
    <row r="52" spans="1:2" ht="48" x14ac:dyDescent="0.2">
      <c r="A52" s="3" t="s">
        <v>240</v>
      </c>
      <c r="B52" s="4" t="s">
        <v>241</v>
      </c>
    </row>
    <row r="53" spans="1:2" ht="48" x14ac:dyDescent="0.2">
      <c r="B53" s="4" t="s">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92</v>
      </c>
    </row>
    <row r="2" spans="1:11" x14ac:dyDescent="0.2">
      <c r="A2" s="2" t="s">
        <v>93</v>
      </c>
    </row>
    <row r="4" spans="1:11" ht="30" customHeight="1" x14ac:dyDescent="0.2">
      <c r="A4" s="5" t="s">
        <v>94</v>
      </c>
      <c r="B4" s="5" t="s">
        <v>95</v>
      </c>
      <c r="C4" s="5" t="s">
        <v>96</v>
      </c>
      <c r="D4" s="5" t="s">
        <v>97</v>
      </c>
      <c r="E4" s="5" t="s">
        <v>98</v>
      </c>
      <c r="F4" s="5" t="s">
        <v>99</v>
      </c>
      <c r="G4" s="5" t="s">
        <v>100</v>
      </c>
      <c r="H4" s="5" t="s">
        <v>101</v>
      </c>
      <c r="I4" s="5" t="s">
        <v>102</v>
      </c>
      <c r="J4" s="5" t="s">
        <v>103</v>
      </c>
      <c r="K4" s="5" t="s">
        <v>104</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105</v>
      </c>
    </row>
    <row r="2" spans="1:31" x14ac:dyDescent="0.2">
      <c r="A2" s="2" t="s">
        <v>106</v>
      </c>
    </row>
    <row r="4" spans="1:31" x14ac:dyDescent="0.2">
      <c r="A4" s="11" t="s">
        <v>107</v>
      </c>
      <c r="B4" s="48">
        <v>2016</v>
      </c>
      <c r="C4" s="38"/>
      <c r="D4" s="38"/>
      <c r="E4" s="48">
        <v>2017</v>
      </c>
      <c r="F4" s="38"/>
      <c r="G4" s="38"/>
      <c r="H4" s="48">
        <v>2018</v>
      </c>
      <c r="I4" s="38"/>
      <c r="J4" s="38"/>
      <c r="K4" s="48">
        <v>2019</v>
      </c>
      <c r="L4" s="38"/>
      <c r="M4" s="38"/>
      <c r="N4" s="48">
        <v>2020</v>
      </c>
      <c r="O4" s="38"/>
      <c r="P4" s="38"/>
      <c r="Q4" s="48">
        <v>2021</v>
      </c>
      <c r="R4" s="38"/>
      <c r="S4" s="38"/>
      <c r="T4" s="48">
        <v>2022</v>
      </c>
      <c r="U4" s="38"/>
      <c r="V4" s="38"/>
      <c r="W4" s="48">
        <v>2023</v>
      </c>
      <c r="X4" s="38"/>
      <c r="Y4" s="38"/>
      <c r="Z4" s="48">
        <v>2024</v>
      </c>
      <c r="AA4" s="38"/>
      <c r="AB4" s="38"/>
      <c r="AC4" s="48">
        <v>2025</v>
      </c>
      <c r="AD4" s="38"/>
      <c r="AE4" s="38"/>
    </row>
    <row r="5" spans="1:31" ht="30" customHeight="1" x14ac:dyDescent="0.2">
      <c r="A5" s="5" t="s">
        <v>107</v>
      </c>
      <c r="B5" s="5" t="s">
        <v>96</v>
      </c>
      <c r="C5" s="5" t="s">
        <v>97</v>
      </c>
      <c r="D5" s="5" t="s">
        <v>108</v>
      </c>
      <c r="E5" s="5" t="s">
        <v>96</v>
      </c>
      <c r="F5" s="5" t="s">
        <v>97</v>
      </c>
      <c r="G5" s="5" t="s">
        <v>108</v>
      </c>
      <c r="H5" s="5" t="s">
        <v>96</v>
      </c>
      <c r="I5" s="5" t="s">
        <v>97</v>
      </c>
      <c r="J5" s="5" t="s">
        <v>108</v>
      </c>
      <c r="K5" s="5" t="s">
        <v>96</v>
      </c>
      <c r="L5" s="5" t="s">
        <v>97</v>
      </c>
      <c r="M5" s="5" t="s">
        <v>108</v>
      </c>
      <c r="N5" s="5" t="s">
        <v>96</v>
      </c>
      <c r="O5" s="5" t="s">
        <v>97</v>
      </c>
      <c r="P5" s="5" t="s">
        <v>108</v>
      </c>
      <c r="Q5" s="5" t="s">
        <v>96</v>
      </c>
      <c r="R5" s="5" t="s">
        <v>97</v>
      </c>
      <c r="S5" s="5" t="s">
        <v>108</v>
      </c>
      <c r="T5" s="5" t="s">
        <v>96</v>
      </c>
      <c r="U5" s="5" t="s">
        <v>97</v>
      </c>
      <c r="V5" s="5" t="s">
        <v>108</v>
      </c>
      <c r="W5" s="5" t="s">
        <v>96</v>
      </c>
      <c r="X5" s="5" t="s">
        <v>97</v>
      </c>
      <c r="Y5" s="5" t="s">
        <v>108</v>
      </c>
      <c r="Z5" s="5" t="s">
        <v>96</v>
      </c>
      <c r="AA5" s="5" t="s">
        <v>97</v>
      </c>
      <c r="AB5" s="5" t="s">
        <v>108</v>
      </c>
      <c r="AC5" s="5" t="s">
        <v>96</v>
      </c>
      <c r="AD5" s="5" t="s">
        <v>97</v>
      </c>
      <c r="AE5" s="5" t="s">
        <v>108</v>
      </c>
    </row>
    <row r="6" spans="1:31" x14ac:dyDescent="0.2">
      <c r="A6" s="12" t="s">
        <v>109</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110</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111</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112</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113</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114</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115</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116</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117</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118</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119</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108</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B1" zoomScale="111" workbookViewId="0">
      <selection activeCell="L16" sqref="L16"/>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120</v>
      </c>
    </row>
    <row r="2" spans="1:14" x14ac:dyDescent="0.2">
      <c r="A2" s="2" t="s">
        <v>121</v>
      </c>
    </row>
    <row r="4" spans="1:14" ht="30" customHeight="1" x14ac:dyDescent="0.2">
      <c r="A4" s="5" t="s">
        <v>122</v>
      </c>
      <c r="B4" s="5" t="s">
        <v>123</v>
      </c>
      <c r="C4" s="5" t="s">
        <v>124</v>
      </c>
      <c r="D4" s="5" t="s">
        <v>99</v>
      </c>
      <c r="E4" s="5" t="s">
        <v>100</v>
      </c>
      <c r="F4" s="5" t="s">
        <v>125</v>
      </c>
      <c r="G4" s="5" t="s">
        <v>126</v>
      </c>
      <c r="H4" s="5" t="s">
        <v>98</v>
      </c>
      <c r="I4" s="5" t="s">
        <v>127</v>
      </c>
      <c r="J4" s="5" t="s">
        <v>128</v>
      </c>
      <c r="K4" s="5" t="s">
        <v>129</v>
      </c>
      <c r="L4" s="5" t="s">
        <v>130</v>
      </c>
      <c r="M4" s="5" t="s">
        <v>103</v>
      </c>
      <c r="N4" s="5" t="s">
        <v>131</v>
      </c>
    </row>
    <row r="5" spans="1:14" x14ac:dyDescent="0.2">
      <c r="A5" s="6" t="s">
        <v>132</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7">
        <v>89</v>
      </c>
    </row>
    <row r="6" spans="1:14" x14ac:dyDescent="0.2">
      <c r="A6" s="6" t="s">
        <v>251</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7">
        <v>171</v>
      </c>
    </row>
    <row r="7" spans="1:14" x14ac:dyDescent="0.2">
      <c r="A7" s="6" t="s">
        <v>260</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7">
        <v>19</v>
      </c>
    </row>
    <row r="8" spans="1:14" x14ac:dyDescent="0.2">
      <c r="A8" s="6" t="s">
        <v>135</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7">
        <v>19</v>
      </c>
    </row>
    <row r="9" spans="1:14" x14ac:dyDescent="0.2">
      <c r="A9" s="6" t="s">
        <v>252</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7">
        <v>53</v>
      </c>
    </row>
    <row r="10" spans="1:14" x14ac:dyDescent="0.2">
      <c r="A10" s="6" t="s">
        <v>137</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7">
        <v>17</v>
      </c>
    </row>
    <row r="11" spans="1:14" x14ac:dyDescent="0.2">
      <c r="A11" s="6" t="s">
        <v>253</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7">
        <v>78</v>
      </c>
    </row>
    <row r="12" spans="1:14" x14ac:dyDescent="0.2">
      <c r="A12" s="6" t="s">
        <v>254</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IFERROR(B12/N12,"")</f>
        <v>921.97452229299358</v>
      </c>
      <c r="N12" s="7">
        <v>157</v>
      </c>
    </row>
    <row r="13" spans="1:14" x14ac:dyDescent="0.2">
      <c r="A13" s="6" t="s">
        <v>255</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7">
        <v>39</v>
      </c>
    </row>
    <row r="14" spans="1:14" x14ac:dyDescent="0.2">
      <c r="A14" s="6" t="s">
        <v>257</v>
      </c>
      <c r="B14" s="7">
        <v>2168</v>
      </c>
      <c r="C14" s="7">
        <v>1601</v>
      </c>
      <c r="D14" s="7">
        <f t="shared" si="0"/>
        <v>567</v>
      </c>
      <c r="E14" s="9">
        <f>IFERROR(D14/C14,"")</f>
        <v>0.35415365396627108</v>
      </c>
      <c r="F14" s="7">
        <v>1113</v>
      </c>
      <c r="G14" s="7">
        <v>1055</v>
      </c>
      <c r="H14" s="8">
        <f t="shared" si="2"/>
        <v>0.48662361623616235</v>
      </c>
      <c r="I14" s="7">
        <v>172</v>
      </c>
      <c r="J14" s="7">
        <v>679</v>
      </c>
      <c r="K14" s="7">
        <v>2135597</v>
      </c>
      <c r="L14" s="10">
        <f t="shared" si="3"/>
        <v>1.0151728064798742</v>
      </c>
      <c r="M14" s="10">
        <f t="shared" si="4"/>
        <v>433.6</v>
      </c>
      <c r="N14" s="7">
        <v>5</v>
      </c>
    </row>
    <row r="15" spans="1:14" x14ac:dyDescent="0.2">
      <c r="A15" s="6" t="s">
        <v>256</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7">
        <v>21</v>
      </c>
    </row>
    <row r="16" spans="1:14" x14ac:dyDescent="0.2">
      <c r="A16" s="6" t="s">
        <v>143</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7">
        <v>53</v>
      </c>
    </row>
    <row r="17" spans="1:14" x14ac:dyDescent="0.2">
      <c r="A17" s="6" t="s">
        <v>144</v>
      </c>
      <c r="B17" s="7">
        <v>32698</v>
      </c>
      <c r="C17" s="7">
        <v>22709</v>
      </c>
      <c r="D17" s="7">
        <f t="shared" si="0"/>
        <v>9989</v>
      </c>
      <c r="E17" s="9">
        <f t="shared" si="1"/>
        <v>0.43986965520278304</v>
      </c>
      <c r="F17" s="7">
        <v>23337</v>
      </c>
      <c r="G17" s="7">
        <v>9361</v>
      </c>
      <c r="H17" s="8">
        <f t="shared" si="2"/>
        <v>0.28628662303504804</v>
      </c>
      <c r="I17" s="7">
        <v>310</v>
      </c>
      <c r="J17" s="7">
        <v>8930</v>
      </c>
      <c r="K17" s="7" t="s">
        <v>145</v>
      </c>
      <c r="L17" s="10" t="s">
        <v>145</v>
      </c>
      <c r="M17" s="10" t="s">
        <v>145</v>
      </c>
      <c r="N17" s="10" t="s">
        <v>145</v>
      </c>
    </row>
    <row r="18" spans="1:14" x14ac:dyDescent="0.2">
      <c r="A18" s="13" t="s">
        <v>108</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146</v>
      </c>
    </row>
    <row r="22" spans="1:14" x14ac:dyDescent="0.2">
      <c r="A22" s="2" t="s">
        <v>243</v>
      </c>
    </row>
    <row r="23" spans="1:14" x14ac:dyDescent="0.2">
      <c r="A23" s="2" t="s">
        <v>244</v>
      </c>
    </row>
    <row r="24" spans="1:14" x14ac:dyDescent="0.2">
      <c r="A24" s="2" t="s">
        <v>245</v>
      </c>
    </row>
    <row r="25" spans="1:14" x14ac:dyDescent="0.2">
      <c r="A25" s="2" t="s">
        <v>246</v>
      </c>
    </row>
    <row r="28" spans="1:14" x14ac:dyDescent="0.2">
      <c r="A28" s="16" t="s">
        <v>247</v>
      </c>
    </row>
    <row r="29" spans="1:14" x14ac:dyDescent="0.2">
      <c r="A29" s="2" t="s">
        <v>248</v>
      </c>
    </row>
    <row r="30" spans="1:14" ht="60" x14ac:dyDescent="0.2">
      <c r="A30" s="5" t="s">
        <v>249</v>
      </c>
      <c r="B30" s="5" t="s">
        <v>250</v>
      </c>
      <c r="C30" s="5" t="s">
        <v>123</v>
      </c>
      <c r="D30" s="5" t="s">
        <v>129</v>
      </c>
      <c r="E30" s="5" t="s">
        <v>130</v>
      </c>
      <c r="F30" s="5" t="s">
        <v>283</v>
      </c>
      <c r="G30" s="5" t="s">
        <v>228</v>
      </c>
    </row>
    <row r="31" spans="1:14" x14ac:dyDescent="0.2">
      <c r="A31" t="s">
        <v>132</v>
      </c>
      <c r="B31" t="s">
        <v>132</v>
      </c>
      <c r="C31" s="7">
        <f>B5</f>
        <v>76079</v>
      </c>
      <c r="D31" s="7">
        <f t="shared" ref="D31:E33" si="5">K5</f>
        <v>11245898</v>
      </c>
      <c r="E31" s="9">
        <f t="shared" si="5"/>
        <v>6.7650444633234272</v>
      </c>
      <c r="F31" s="9">
        <f>L5</f>
        <v>6.7650444633234272</v>
      </c>
      <c r="G31" s="16">
        <f>E5</f>
        <v>3.3148646079469837E-2</v>
      </c>
    </row>
    <row r="32" spans="1:14" x14ac:dyDescent="0.2">
      <c r="A32" t="s">
        <v>251</v>
      </c>
      <c r="B32" t="s">
        <v>133</v>
      </c>
      <c r="C32" s="7">
        <f>B6</f>
        <v>144501</v>
      </c>
      <c r="D32" s="7">
        <f t="shared" si="5"/>
        <v>13248928</v>
      </c>
      <c r="E32" s="9">
        <f t="shared" si="5"/>
        <v>10.906618256209105</v>
      </c>
      <c r="F32" s="9">
        <f>L6</f>
        <v>10.906618256209105</v>
      </c>
      <c r="G32" s="16">
        <f>E6</f>
        <v>4.0796041401067441E-2</v>
      </c>
    </row>
    <row r="33" spans="1:7" x14ac:dyDescent="0.2">
      <c r="A33" t="s">
        <v>288</v>
      </c>
      <c r="B33" t="s">
        <v>134</v>
      </c>
      <c r="C33" s="7">
        <f>B7</f>
        <v>27777</v>
      </c>
      <c r="D33" s="7">
        <f t="shared" si="5"/>
        <v>6242012</v>
      </c>
      <c r="E33" s="9">
        <f t="shared" si="5"/>
        <v>4.4500074655415593</v>
      </c>
      <c r="F33" s="9">
        <f>L7</f>
        <v>4.4500074655415593</v>
      </c>
      <c r="G33" s="16">
        <f>E7</f>
        <v>0.1563150445425027</v>
      </c>
    </row>
    <row r="34" spans="1:7" x14ac:dyDescent="0.2">
      <c r="A34" t="s">
        <v>289</v>
      </c>
      <c r="B34" t="s">
        <v>134</v>
      </c>
      <c r="C34" s="7">
        <f>B7</f>
        <v>27777</v>
      </c>
      <c r="D34" s="7">
        <f>K7</f>
        <v>6242012</v>
      </c>
      <c r="E34" s="9">
        <f>L7</f>
        <v>4.4500074655415593</v>
      </c>
      <c r="F34" s="9">
        <f>L7</f>
        <v>4.4500074655415593</v>
      </c>
      <c r="G34" s="16">
        <f>E7</f>
        <v>0.1563150445425027</v>
      </c>
    </row>
    <row r="35" spans="1:7" x14ac:dyDescent="0.2">
      <c r="A35" t="s">
        <v>290</v>
      </c>
      <c r="B35" t="s">
        <v>138</v>
      </c>
      <c r="C35" s="7">
        <f>B11</f>
        <v>78772</v>
      </c>
      <c r="D35" s="7">
        <f>K11</f>
        <v>8709370</v>
      </c>
      <c r="E35" s="9">
        <f>L11</f>
        <v>9.044511830362012</v>
      </c>
      <c r="F35" s="9">
        <f>L11</f>
        <v>9.044511830362012</v>
      </c>
      <c r="G35" s="16">
        <f>E11</f>
        <v>8.8266581932221658E-2</v>
      </c>
    </row>
    <row r="36" spans="1:7" x14ac:dyDescent="0.2">
      <c r="A36" t="s">
        <v>135</v>
      </c>
      <c r="B36" t="s">
        <v>135</v>
      </c>
      <c r="C36" s="7">
        <f>B8</f>
        <v>22099</v>
      </c>
      <c r="D36" s="7">
        <f>K8</f>
        <v>1862565</v>
      </c>
      <c r="E36" s="9">
        <f>L8</f>
        <v>11.864820825045031</v>
      </c>
      <c r="F36" s="9">
        <f>L8</f>
        <v>11.864820825045031</v>
      </c>
      <c r="G36" s="16">
        <f>E8</f>
        <v>2.2391857506361322E-2</v>
      </c>
    </row>
    <row r="37" spans="1:7" x14ac:dyDescent="0.2">
      <c r="A37" t="s">
        <v>252</v>
      </c>
      <c r="B37" t="s">
        <v>136</v>
      </c>
      <c r="C37" s="7">
        <f>B9</f>
        <v>49741</v>
      </c>
      <c r="D37" s="7">
        <f>K9</f>
        <v>6280793</v>
      </c>
      <c r="E37" s="9">
        <f>L9</f>
        <v>7.9195413700149011</v>
      </c>
      <c r="F37" s="9">
        <f>L9</f>
        <v>7.9195413700149011</v>
      </c>
      <c r="G37" s="16">
        <f>E9</f>
        <v>3.0175627537072321E-2</v>
      </c>
    </row>
    <row r="38" spans="1:7" x14ac:dyDescent="0.2">
      <c r="A38" t="s">
        <v>253</v>
      </c>
      <c r="B38" t="s">
        <v>138</v>
      </c>
      <c r="C38" s="7">
        <f>B11</f>
        <v>78772</v>
      </c>
      <c r="D38" s="7">
        <f>K11</f>
        <v>8709370</v>
      </c>
      <c r="E38" s="9">
        <f>L11</f>
        <v>9.044511830362012</v>
      </c>
      <c r="F38" s="9">
        <f>L11</f>
        <v>9.044511830362012</v>
      </c>
      <c r="G38" s="16">
        <f>E11</f>
        <v>8.8266581932221658E-2</v>
      </c>
    </row>
    <row r="39" spans="1:7" x14ac:dyDescent="0.2">
      <c r="A39" t="s">
        <v>137</v>
      </c>
      <c r="B39" t="s">
        <v>137</v>
      </c>
      <c r="C39" s="7">
        <f>B10</f>
        <v>18752</v>
      </c>
      <c r="D39" s="7">
        <f>K10</f>
        <v>1573597</v>
      </c>
      <c r="E39" s="9">
        <f>L10</f>
        <v>11.916647019535498</v>
      </c>
      <c r="F39" s="9">
        <f>L10</f>
        <v>11.916647019535498</v>
      </c>
      <c r="G39" s="16">
        <f>E10</f>
        <v>9.3283582089552244E-2</v>
      </c>
    </row>
    <row r="40" spans="1:7" x14ac:dyDescent="0.2">
      <c r="A40" t="s">
        <v>254</v>
      </c>
      <c r="B40" t="s">
        <v>139</v>
      </c>
      <c r="C40" s="7">
        <f>B12</f>
        <v>144750</v>
      </c>
      <c r="D40" s="7">
        <f>K12</f>
        <v>18034454</v>
      </c>
      <c r="E40" s="9">
        <f>L12</f>
        <v>8.0263034300899836</v>
      </c>
      <c r="F40" s="9">
        <f>L12</f>
        <v>8.0263034300899836</v>
      </c>
      <c r="G40" s="16">
        <f>E12</f>
        <v>7.5113081842287044E-2</v>
      </c>
    </row>
    <row r="41" spans="1:7" x14ac:dyDescent="0.2">
      <c r="A41" t="s">
        <v>255</v>
      </c>
      <c r="B41" t="s">
        <v>140</v>
      </c>
      <c r="C41" s="7">
        <f>B13</f>
        <v>30113</v>
      </c>
      <c r="D41" s="7">
        <f>K13</f>
        <v>5141710</v>
      </c>
      <c r="E41" s="9">
        <f>L13</f>
        <v>5.8566119053777825</v>
      </c>
      <c r="F41" s="9">
        <f>L13</f>
        <v>5.8566119053777825</v>
      </c>
      <c r="G41" s="16">
        <f>E13</f>
        <v>6.4138808396353095E-2</v>
      </c>
    </row>
    <row r="42" spans="1:7" x14ac:dyDescent="0.2">
      <c r="A42" t="s">
        <v>291</v>
      </c>
      <c r="B42" t="s">
        <v>140</v>
      </c>
      <c r="C42" s="7">
        <f>B13</f>
        <v>30113</v>
      </c>
      <c r="D42" s="7">
        <f>K13</f>
        <v>5141710</v>
      </c>
      <c r="E42" s="9">
        <f>L13</f>
        <v>5.8566119053777825</v>
      </c>
      <c r="F42" s="9">
        <f>L13</f>
        <v>5.8566119053777825</v>
      </c>
      <c r="G42" s="16">
        <f>E13</f>
        <v>6.4138808396353095E-2</v>
      </c>
    </row>
    <row r="43" spans="1:7" x14ac:dyDescent="0.2">
      <c r="A43" t="s">
        <v>256</v>
      </c>
      <c r="B43" t="s">
        <v>142</v>
      </c>
      <c r="C43" s="7">
        <f>B15</f>
        <v>13696</v>
      </c>
      <c r="D43" s="7">
        <f>K15</f>
        <v>6142699</v>
      </c>
      <c r="E43" s="9">
        <f>L15</f>
        <v>2.2296387955848074</v>
      </c>
      <c r="F43" s="9">
        <f>L15</f>
        <v>2.2296387955848074</v>
      </c>
      <c r="G43" s="16">
        <f>E15</f>
        <v>0.16790312953014411</v>
      </c>
    </row>
    <row r="44" spans="1:7" x14ac:dyDescent="0.2">
      <c r="A44" t="s">
        <v>257</v>
      </c>
      <c r="B44" t="s">
        <v>141</v>
      </c>
      <c r="C44" s="7">
        <f>B14</f>
        <v>2168</v>
      </c>
      <c r="D44" s="7">
        <f>K14</f>
        <v>2135597</v>
      </c>
      <c r="E44" s="9">
        <f>L14</f>
        <v>1.0151728064798742</v>
      </c>
      <c r="F44" s="9">
        <f>L14</f>
        <v>1.0151728064798742</v>
      </c>
      <c r="G44" s="16">
        <f>E14</f>
        <v>0.35415365396627108</v>
      </c>
    </row>
    <row r="45" spans="1:7" x14ac:dyDescent="0.2">
      <c r="A45" t="s">
        <v>143</v>
      </c>
      <c r="B45" t="s">
        <v>143</v>
      </c>
      <c r="C45" s="7">
        <f>B16</f>
        <v>54471</v>
      </c>
      <c r="D45" s="7">
        <f>K16</f>
        <v>2959517</v>
      </c>
      <c r="E45" s="9">
        <f>L16</f>
        <v>18.405368173252594</v>
      </c>
      <c r="F45" s="9">
        <f>L16</f>
        <v>18.405368173252594</v>
      </c>
      <c r="G45" s="16">
        <f>E16</f>
        <v>0.12881566677028286</v>
      </c>
    </row>
    <row r="46" spans="1:7" x14ac:dyDescent="0.2">
      <c r="A46" t="s">
        <v>258</v>
      </c>
      <c r="B46" t="s">
        <v>142</v>
      </c>
      <c r="C46" s="7">
        <f>B15</f>
        <v>13696</v>
      </c>
      <c r="D46" s="7">
        <f>K15</f>
        <v>6142699</v>
      </c>
      <c r="E46" s="9">
        <f>L15</f>
        <v>2.2296387955848074</v>
      </c>
      <c r="F46" s="9">
        <f>L15</f>
        <v>2.2296387955848074</v>
      </c>
      <c r="G46" s="16">
        <f>E15</f>
        <v>0.16790312953014411</v>
      </c>
    </row>
    <row r="48" spans="1:7" x14ac:dyDescent="0.2">
      <c r="A48" s="2" t="s">
        <v>259</v>
      </c>
    </row>
    <row r="49" spans="1:1" x14ac:dyDescent="0.2">
      <c r="A49" s="2" t="s">
        <v>284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147</v>
      </c>
    </row>
    <row r="2" spans="1:9" x14ac:dyDescent="0.2">
      <c r="A2" s="2" t="s">
        <v>148</v>
      </c>
    </row>
    <row r="4" spans="1:9" ht="30" customHeight="1" x14ac:dyDescent="0.2">
      <c r="A4" s="5" t="s">
        <v>149</v>
      </c>
      <c r="B4" s="5" t="s">
        <v>150</v>
      </c>
      <c r="C4" s="5" t="s">
        <v>151</v>
      </c>
      <c r="D4" s="5" t="s">
        <v>152</v>
      </c>
      <c r="E4" s="5" t="s">
        <v>153</v>
      </c>
      <c r="F4" s="5" t="s">
        <v>154</v>
      </c>
      <c r="G4" s="5" t="s">
        <v>155</v>
      </c>
      <c r="H4" s="5" t="s">
        <v>156</v>
      </c>
      <c r="I4" s="5" t="s">
        <v>157</v>
      </c>
    </row>
    <row r="5" spans="1:9" x14ac:dyDescent="0.2">
      <c r="A5" s="6" t="s">
        <v>158</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159</v>
      </c>
      <c r="B6" s="17">
        <v>6.7</v>
      </c>
      <c r="C6" s="17">
        <v>6.56</v>
      </c>
      <c r="D6" s="17">
        <v>6.11</v>
      </c>
      <c r="E6" s="17">
        <v>6.01</v>
      </c>
      <c r="F6" s="17">
        <v>6.16</v>
      </c>
      <c r="G6" s="17">
        <v>6.45</v>
      </c>
      <c r="H6" s="17">
        <v>6.87</v>
      </c>
      <c r="I6" s="9">
        <f t="shared" si="0"/>
        <v>2.5373134328358304E-2</v>
      </c>
    </row>
    <row r="7" spans="1:9" x14ac:dyDescent="0.2">
      <c r="A7" s="6" t="s">
        <v>160</v>
      </c>
      <c r="B7" s="17">
        <v>1.47</v>
      </c>
      <c r="C7" s="17">
        <v>1.55</v>
      </c>
      <c r="D7" s="17">
        <v>1.46</v>
      </c>
      <c r="E7" s="17">
        <v>1.35</v>
      </c>
      <c r="F7" s="17">
        <v>1.32</v>
      </c>
      <c r="G7" s="17">
        <v>1.45</v>
      </c>
      <c r="H7" s="17">
        <v>1.62</v>
      </c>
      <c r="I7" s="9">
        <f t="shared" si="0"/>
        <v>0.10204081632653073</v>
      </c>
    </row>
    <row r="8" spans="1:9" x14ac:dyDescent="0.2">
      <c r="A8" s="6" t="s">
        <v>161</v>
      </c>
      <c r="B8" s="17">
        <v>2.89</v>
      </c>
      <c r="C8" s="17">
        <v>3.04</v>
      </c>
      <c r="D8" s="17">
        <v>3.14</v>
      </c>
      <c r="E8" s="17">
        <v>3.12</v>
      </c>
      <c r="F8" s="17">
        <v>3.27</v>
      </c>
      <c r="G8" s="17">
        <v>3.44</v>
      </c>
      <c r="H8" s="17">
        <v>3.38</v>
      </c>
      <c r="I8" s="9">
        <f t="shared" si="0"/>
        <v>0.16955017301038056</v>
      </c>
    </row>
    <row r="9" spans="1:9" x14ac:dyDescent="0.2">
      <c r="A9" s="6" t="s">
        <v>162</v>
      </c>
      <c r="B9" s="17">
        <v>0.75</v>
      </c>
      <c r="C9" s="17">
        <v>0.81</v>
      </c>
      <c r="D9" s="17">
        <v>0.87</v>
      </c>
      <c r="E9" s="17">
        <v>0.87</v>
      </c>
      <c r="F9" s="17">
        <v>0.9</v>
      </c>
      <c r="G9" s="17">
        <v>0.91</v>
      </c>
      <c r="H9" s="17">
        <v>0.9</v>
      </c>
      <c r="I9" s="9">
        <f t="shared" si="0"/>
        <v>0.19999999999999996</v>
      </c>
    </row>
    <row r="10" spans="1:9" x14ac:dyDescent="0.2">
      <c r="A10" s="6" t="s">
        <v>163</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164</v>
      </c>
    </row>
    <row r="14" spans="1:9" ht="30" customHeight="1" x14ac:dyDescent="0.2">
      <c r="A14" s="5" t="s">
        <v>165</v>
      </c>
      <c r="B14" s="5" t="s">
        <v>166</v>
      </c>
    </row>
    <row r="15" spans="1:9" x14ac:dyDescent="0.2">
      <c r="A15" s="6" t="s">
        <v>167</v>
      </c>
      <c r="B15" s="19">
        <f>H6/H10</f>
        <v>9.8706896551724146</v>
      </c>
    </row>
    <row r="16" spans="1:9" x14ac:dyDescent="0.2">
      <c r="A16" s="6" t="s">
        <v>168</v>
      </c>
      <c r="B16" s="19">
        <f>H8/H10</f>
        <v>4.8563218390804597</v>
      </c>
    </row>
    <row r="17" spans="1:2" x14ac:dyDescent="0.2">
      <c r="A17" s="6" t="s">
        <v>169</v>
      </c>
      <c r="B17" s="16">
        <f>H10/H6</f>
        <v>0.10131004366812227</v>
      </c>
    </row>
    <row r="18" spans="1:2" x14ac:dyDescent="0.2">
      <c r="A18" s="6" t="s">
        <v>170</v>
      </c>
      <c r="B18" s="16">
        <f>H10/H8</f>
        <v>0.2059171597633136</v>
      </c>
    </row>
    <row r="19" spans="1:2" x14ac:dyDescent="0.2">
      <c r="A19" s="6" t="s">
        <v>171</v>
      </c>
      <c r="B19" s="19">
        <f>H6-H8</f>
        <v>3.49</v>
      </c>
    </row>
    <row r="20" spans="1:2" x14ac:dyDescent="0.2">
      <c r="A20" s="6" t="s">
        <v>172</v>
      </c>
      <c r="B20" s="19">
        <f>H8-H10</f>
        <v>2.6840000000000002</v>
      </c>
    </row>
    <row r="22" spans="1:2" x14ac:dyDescent="0.2">
      <c r="A22" s="2" t="s">
        <v>173</v>
      </c>
    </row>
    <row r="24" spans="1:2" x14ac:dyDescent="0.2">
      <c r="A24" s="18" t="s">
        <v>174</v>
      </c>
    </row>
    <row r="25" spans="1:2" x14ac:dyDescent="0.2">
      <c r="A25" s="2" t="s">
        <v>175</v>
      </c>
    </row>
    <row r="26" spans="1:2" ht="18" customHeight="1" x14ac:dyDescent="0.2">
      <c r="A26" s="5" t="s">
        <v>176</v>
      </c>
      <c r="B26" s="5" t="s">
        <v>177</v>
      </c>
    </row>
    <row r="27" spans="1:2" x14ac:dyDescent="0.2">
      <c r="A27" s="6" t="s">
        <v>158</v>
      </c>
      <c r="B27" s="17">
        <f>H5</f>
        <v>69.13</v>
      </c>
    </row>
    <row r="28" spans="1:2" x14ac:dyDescent="0.2">
      <c r="A28" s="6" t="s">
        <v>178</v>
      </c>
      <c r="B28" s="17">
        <f>H6</f>
        <v>6.87</v>
      </c>
    </row>
    <row r="29" spans="1:2" x14ac:dyDescent="0.2">
      <c r="A29" s="6" t="s">
        <v>179</v>
      </c>
      <c r="B29" s="17">
        <f>H8</f>
        <v>3.38</v>
      </c>
    </row>
    <row r="30" spans="1:2" x14ac:dyDescent="0.2">
      <c r="A30" s="6" t="s">
        <v>180</v>
      </c>
      <c r="B30" s="17">
        <f>H9</f>
        <v>0.9</v>
      </c>
    </row>
    <row r="31" spans="1:2" x14ac:dyDescent="0.2">
      <c r="A31" s="6" t="s">
        <v>181</v>
      </c>
      <c r="B31" s="17">
        <f>H10</f>
        <v>0.69599999999999995</v>
      </c>
    </row>
    <row r="33" spans="1:8" x14ac:dyDescent="0.2">
      <c r="A33" s="18" t="s">
        <v>274</v>
      </c>
    </row>
    <row r="34" spans="1:8" x14ac:dyDescent="0.2">
      <c r="A34" s="2" t="s">
        <v>275</v>
      </c>
    </row>
    <row r="35" spans="1:8" x14ac:dyDescent="0.2">
      <c r="A35" s="5" t="s">
        <v>276</v>
      </c>
      <c r="B35" s="5">
        <v>2019</v>
      </c>
      <c r="C35" s="5">
        <v>2020</v>
      </c>
      <c r="D35" s="5">
        <v>2021</v>
      </c>
      <c r="E35" s="5">
        <v>2022</v>
      </c>
      <c r="F35" s="5">
        <v>2023</v>
      </c>
      <c r="G35" s="5">
        <v>2024</v>
      </c>
      <c r="H35" s="5">
        <v>2025</v>
      </c>
    </row>
    <row r="36" spans="1:8" x14ac:dyDescent="0.2">
      <c r="A36" s="6" t="s">
        <v>178</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179</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163</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94</v>
      </c>
      <c r="B39" s="5">
        <v>2019</v>
      </c>
      <c r="C39" s="5">
        <v>2020</v>
      </c>
      <c r="D39" s="5">
        <v>2021</v>
      </c>
      <c r="E39" s="5">
        <v>2022</v>
      </c>
      <c r="F39" s="5">
        <v>2023</v>
      </c>
      <c r="G39" s="5">
        <v>2024</v>
      </c>
      <c r="H39" s="5">
        <v>2025</v>
      </c>
    </row>
    <row r="40" spans="1:8" x14ac:dyDescent="0.2">
      <c r="A40" s="6" t="s">
        <v>277</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182</v>
      </c>
    </row>
    <row r="2" spans="1:11" x14ac:dyDescent="0.2">
      <c r="A2" s="2" t="s">
        <v>183</v>
      </c>
    </row>
    <row r="4" spans="1:11" ht="30" customHeight="1" x14ac:dyDescent="0.2">
      <c r="A4" s="5" t="s">
        <v>184</v>
      </c>
      <c r="B4" s="5" t="s">
        <v>129</v>
      </c>
      <c r="C4" s="5" t="s">
        <v>185</v>
      </c>
      <c r="D4" s="5" t="s">
        <v>186</v>
      </c>
      <c r="E4" s="5" t="s">
        <v>187</v>
      </c>
      <c r="F4" s="5" t="s">
        <v>188</v>
      </c>
      <c r="G4" s="5" t="s">
        <v>189</v>
      </c>
      <c r="H4" s="5" t="s">
        <v>190</v>
      </c>
      <c r="I4" s="5" t="s">
        <v>191</v>
      </c>
      <c r="J4" s="5" t="s">
        <v>192</v>
      </c>
      <c r="K4" s="5" t="s">
        <v>193</v>
      </c>
    </row>
    <row r="5" spans="1:11" x14ac:dyDescent="0.2">
      <c r="A5" s="6" t="s">
        <v>194</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195</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196</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197</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198</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199</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200</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201</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202</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203</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204</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205</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206</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207</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208</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209</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210</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211</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7"/>
  <sheetViews>
    <sheetView topLeftCell="A64" zoomScale="110" workbookViewId="0">
      <selection activeCell="B63" sqref="B6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212</v>
      </c>
    </row>
    <row r="2" spans="1:7" x14ac:dyDescent="0.2">
      <c r="A2" s="2" t="s">
        <v>213</v>
      </c>
    </row>
    <row r="4" spans="1:7" x14ac:dyDescent="0.2">
      <c r="A4" s="18" t="s">
        <v>214</v>
      </c>
    </row>
    <row r="5" spans="1:7" ht="30" customHeight="1" x14ac:dyDescent="0.2">
      <c r="A5" s="5" t="s">
        <v>107</v>
      </c>
      <c r="B5" s="5" t="s">
        <v>215</v>
      </c>
      <c r="C5" s="5" t="s">
        <v>156</v>
      </c>
      <c r="D5" s="5" t="s">
        <v>99</v>
      </c>
      <c r="E5" s="5" t="s">
        <v>100</v>
      </c>
      <c r="F5" s="5" t="s">
        <v>216</v>
      </c>
      <c r="G5" s="5" t="s">
        <v>217</v>
      </c>
    </row>
    <row r="6" spans="1:7" x14ac:dyDescent="0.2">
      <c r="A6" s="6" t="s">
        <v>109</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110</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111</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112</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113</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114</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115</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116</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117</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118</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119</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218</v>
      </c>
    </row>
    <row r="20" spans="1:8" ht="30" customHeight="1" x14ac:dyDescent="0.2">
      <c r="A20" s="5" t="s">
        <v>122</v>
      </c>
      <c r="B20" s="5" t="s">
        <v>123</v>
      </c>
      <c r="C20" s="5" t="s">
        <v>129</v>
      </c>
      <c r="D20" s="5" t="s">
        <v>130</v>
      </c>
      <c r="E20" s="5" t="s">
        <v>219</v>
      </c>
      <c r="F20" s="5" t="s">
        <v>98</v>
      </c>
      <c r="G20" s="5" t="s">
        <v>220</v>
      </c>
      <c r="H20" s="5" t="s">
        <v>221</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222</v>
      </c>
    </row>
    <row r="36" spans="1:2" x14ac:dyDescent="0.2">
      <c r="A36" s="2" t="s">
        <v>223</v>
      </c>
    </row>
    <row r="37" spans="1:2" ht="28" customHeight="1" x14ac:dyDescent="0.2">
      <c r="A37" s="5" t="s">
        <v>107</v>
      </c>
      <c r="B37" s="5" t="s">
        <v>224</v>
      </c>
    </row>
    <row r="38" spans="1:2" x14ac:dyDescent="0.2">
      <c r="A38" s="6" t="s">
        <v>109</v>
      </c>
      <c r="B38" s="26">
        <f t="shared" ref="B38:B48" si="6">D6</f>
        <v>298</v>
      </c>
    </row>
    <row r="39" spans="1:2" x14ac:dyDescent="0.2">
      <c r="A39" s="6" t="s">
        <v>110</v>
      </c>
      <c r="B39" s="26">
        <f t="shared" si="6"/>
        <v>-2576</v>
      </c>
    </row>
    <row r="40" spans="1:2" x14ac:dyDescent="0.2">
      <c r="A40" s="6" t="s">
        <v>111</v>
      </c>
      <c r="B40" s="26">
        <f t="shared" si="6"/>
        <v>1123</v>
      </c>
    </row>
    <row r="41" spans="1:2" x14ac:dyDescent="0.2">
      <c r="A41" s="6" t="s">
        <v>112</v>
      </c>
      <c r="B41" s="26">
        <f t="shared" si="6"/>
        <v>2145</v>
      </c>
    </row>
    <row r="42" spans="1:2" x14ac:dyDescent="0.2">
      <c r="A42" s="6" t="s">
        <v>113</v>
      </c>
      <c r="B42" s="26">
        <f t="shared" si="6"/>
        <v>12863</v>
      </c>
    </row>
    <row r="43" spans="1:2" x14ac:dyDescent="0.2">
      <c r="A43" s="6" t="s">
        <v>114</v>
      </c>
      <c r="B43" s="26">
        <f t="shared" si="6"/>
        <v>16524</v>
      </c>
    </row>
    <row r="44" spans="1:2" x14ac:dyDescent="0.2">
      <c r="A44" s="6" t="s">
        <v>115</v>
      </c>
      <c r="B44" s="26">
        <f t="shared" si="6"/>
        <v>-3</v>
      </c>
    </row>
    <row r="45" spans="1:2" x14ac:dyDescent="0.2">
      <c r="A45" s="6" t="s">
        <v>116</v>
      </c>
      <c r="B45" s="26">
        <f t="shared" si="6"/>
        <v>-39109</v>
      </c>
    </row>
    <row r="46" spans="1:2" x14ac:dyDescent="0.2">
      <c r="A46" s="6" t="s">
        <v>117</v>
      </c>
      <c r="B46" s="26">
        <f t="shared" si="6"/>
        <v>-18304</v>
      </c>
    </row>
    <row r="47" spans="1:2" x14ac:dyDescent="0.2">
      <c r="A47" s="6" t="s">
        <v>118</v>
      </c>
      <c r="B47" s="26">
        <f t="shared" si="6"/>
        <v>25992</v>
      </c>
    </row>
    <row r="48" spans="1:2" x14ac:dyDescent="0.2">
      <c r="A48" s="6" t="s">
        <v>119</v>
      </c>
      <c r="B48" s="26">
        <f t="shared" si="6"/>
        <v>53506</v>
      </c>
    </row>
    <row r="49" spans="1:2" x14ac:dyDescent="0.2">
      <c r="A49" s="13" t="s">
        <v>108</v>
      </c>
      <c r="B49" s="27">
        <f>SUM(B38:B48)</f>
        <v>52459</v>
      </c>
    </row>
    <row r="51" spans="1:2" x14ac:dyDescent="0.2">
      <c r="A51" s="18" t="s">
        <v>225</v>
      </c>
    </row>
    <row r="52" spans="1:2" x14ac:dyDescent="0.2">
      <c r="A52" s="12" t="s">
        <v>123</v>
      </c>
      <c r="B52" s="14">
        <f>'01_Timeseries'!B14</f>
        <v>695617</v>
      </c>
    </row>
    <row r="53" spans="1:2" x14ac:dyDescent="0.2">
      <c r="A53" s="12" t="s">
        <v>226</v>
      </c>
      <c r="B53" s="27">
        <f>'01_Timeseries'!F14</f>
        <v>8909</v>
      </c>
    </row>
    <row r="54" spans="1:2" x14ac:dyDescent="0.2">
      <c r="A54" s="12" t="s">
        <v>227</v>
      </c>
      <c r="B54" s="15">
        <f>'01_Timeseries'!G14</f>
        <v>1.297349091608078E-2</v>
      </c>
    </row>
    <row r="55" spans="1:2" x14ac:dyDescent="0.2">
      <c r="A55" s="12" t="s">
        <v>228</v>
      </c>
      <c r="B55" s="15">
        <f>'01_Timeseries'!B14/'01_Timeseries'!B5-1</f>
        <v>8.1564716601519427E-2</v>
      </c>
    </row>
    <row r="56" spans="1:2" x14ac:dyDescent="0.2">
      <c r="A56" s="12" t="s">
        <v>229</v>
      </c>
      <c r="B56" s="16">
        <f>'01_Timeseries'!E14</f>
        <v>0.34725287047326331</v>
      </c>
    </row>
    <row r="57" spans="1:2" x14ac:dyDescent="0.2">
      <c r="A57" s="12" t="s">
        <v>230</v>
      </c>
      <c r="B57" s="28">
        <f>('01_Timeseries'!E14-'01_Timeseries'!E5)*100</f>
        <v>-2.0630293539312117</v>
      </c>
    </row>
    <row r="58" spans="1:2" x14ac:dyDescent="0.2">
      <c r="A58" s="12" t="s">
        <v>231</v>
      </c>
      <c r="B58" s="16">
        <f>'02_Age_Gender'!AE16/'01_Timeseries'!B14</f>
        <v>0.4401171909254662</v>
      </c>
    </row>
    <row r="59" spans="1:2" x14ac:dyDescent="0.2">
      <c r="A59" s="12" t="s">
        <v>232</v>
      </c>
      <c r="B59" s="16">
        <f>SUM('02_Age_Gender'!AE6:AE8)/'01_Timeseries'!B14</f>
        <v>6.1525235869738661E-2</v>
      </c>
    </row>
    <row r="60" spans="1:2" x14ac:dyDescent="0.2">
      <c r="A60" s="12" t="s">
        <v>233</v>
      </c>
      <c r="B60" s="15">
        <f>SUM('02_Age_Gender'!AE6:AE8)/SUM('02_Age_Gender'!D6:D8)-1</f>
        <v>-2.6278069756330624E-2</v>
      </c>
    </row>
    <row r="61" spans="1:2" x14ac:dyDescent="0.2">
      <c r="A61" s="12" t="s">
        <v>234</v>
      </c>
      <c r="B61" s="14">
        <f>'01_Timeseries'!I14</f>
        <v>721</v>
      </c>
    </row>
    <row r="62" spans="1:2" x14ac:dyDescent="0.2">
      <c r="A62" s="12" t="s">
        <v>235</v>
      </c>
      <c r="B62" s="24">
        <f>'01_Timeseries'!B14/83577140*1000</f>
        <v>8.3230534091020587</v>
      </c>
    </row>
    <row r="63" spans="1:2" x14ac:dyDescent="0.2">
      <c r="A63" s="12" t="s">
        <v>236</v>
      </c>
      <c r="B63" s="24">
        <f>'04_Funnel'!B15</f>
        <v>9.8706896551724146</v>
      </c>
    </row>
    <row r="64" spans="1:2" x14ac:dyDescent="0.2">
      <c r="A64" s="12" t="s">
        <v>237</v>
      </c>
      <c r="B64" s="19">
        <f>'04_Funnel'!B19</f>
        <v>3.49</v>
      </c>
    </row>
    <row r="65" spans="1:3" x14ac:dyDescent="0.2">
      <c r="A65" s="12" t="s">
        <v>238</v>
      </c>
      <c r="B65" s="24">
        <f>'05_Europe'!H6</f>
        <v>53.307071937218645</v>
      </c>
    </row>
    <row r="67" spans="1:3" x14ac:dyDescent="0.2">
      <c r="A67" s="16" t="s">
        <v>263</v>
      </c>
    </row>
    <row r="68" spans="1:3" x14ac:dyDescent="0.2">
      <c r="A68" t="s">
        <v>264</v>
      </c>
      <c r="B68" s="7">
        <f>'20_Dashboard'!D5</f>
        <v>2024</v>
      </c>
    </row>
    <row r="69" spans="1:3" x14ac:dyDescent="0.2">
      <c r="A69" t="s">
        <v>265</v>
      </c>
      <c r="B69" s="7">
        <f>INDEX('01_Timeseries'!$B$5:$B$14,MATCH($B$68,'01_Timeseries'!$A$5:$A$14,0))</f>
        <v>686708</v>
      </c>
    </row>
    <row r="70" spans="1:3" x14ac:dyDescent="0.2">
      <c r="A70" t="s">
        <v>266</v>
      </c>
      <c r="B70" s="12">
        <f>INDEX('01_Timeseries'!$E$5:$E$14,MATCH($B$68,'01_Timeseries'!$A$5:$A$14,0))</f>
        <v>0.35144340826086196</v>
      </c>
    </row>
    <row r="71" spans="1:3" x14ac:dyDescent="0.2">
      <c r="A71" t="s">
        <v>267</v>
      </c>
      <c r="B71" s="7">
        <f>SUM(INDEX('02_Age_Gender'!$B$6:$AE$8,0,($B$68-2016)*3+3))</f>
        <v>42247</v>
      </c>
    </row>
    <row r="72" spans="1:3" x14ac:dyDescent="0.2">
      <c r="A72" t="s">
        <v>268</v>
      </c>
      <c r="B72" s="12">
        <f>INDEX('02_Age_Gender'!$B$16:$AE$16,($B$68-2016)*3+3)/$B$69</f>
        <v>0.4349810982251554</v>
      </c>
    </row>
    <row r="73" spans="1:3" x14ac:dyDescent="0.2">
      <c r="A73" t="s">
        <v>269</v>
      </c>
      <c r="B73" s="7">
        <f>'01_Timeseries'!B14-$B$69</f>
        <v>8909</v>
      </c>
    </row>
    <row r="74" spans="1:3" x14ac:dyDescent="0.2">
      <c r="A74" t="s">
        <v>270</v>
      </c>
      <c r="B74" s="12">
        <f>'01_Timeseries'!B14/$B$69-1</f>
        <v>1.2973490916080799E-2</v>
      </c>
    </row>
    <row r="75" spans="1:3" x14ac:dyDescent="0.2">
      <c r="A75" t="s">
        <v>271</v>
      </c>
      <c r="B75" s="12">
        <f>('01_Timeseries'!E14-$B$70)*100</f>
        <v>-0.41905377875986471</v>
      </c>
    </row>
    <row r="76" spans="1:3" x14ac:dyDescent="0.2">
      <c r="A76" t="s">
        <v>272</v>
      </c>
      <c r="B76" s="12">
        <f>($B$58-$B$72)*100</f>
        <v>0.51360927003107903</v>
      </c>
    </row>
    <row r="77" spans="1:3" x14ac:dyDescent="0.2">
      <c r="A77" t="s">
        <v>273</v>
      </c>
      <c r="B77" s="12">
        <f>SUM('02_Age_Gender'!AE6:AE8)/$B$71-1</f>
        <v>1.304234620209721E-2</v>
      </c>
    </row>
    <row r="79" spans="1:3" x14ac:dyDescent="0.2">
      <c r="A79" s="17" t="s">
        <v>279</v>
      </c>
    </row>
    <row r="80" spans="1:3" x14ac:dyDescent="0.2">
      <c r="A80" s="5" t="s">
        <v>280</v>
      </c>
      <c r="B80" s="5">
        <v>2016</v>
      </c>
      <c r="C80" s="5">
        <v>2025</v>
      </c>
    </row>
    <row r="81" spans="1:3" x14ac:dyDescent="0.2">
      <c r="A81" s="6" t="s">
        <v>127</v>
      </c>
      <c r="B81" s="7">
        <f>SUM('02_Age_Gender'!D6:D8)</f>
        <v>43953</v>
      </c>
      <c r="C81" s="7">
        <f>SUM('02_Age_Gender'!AE6:AE8)</f>
        <v>42798</v>
      </c>
    </row>
    <row r="82" spans="1:3" x14ac:dyDescent="0.2">
      <c r="A82" s="6" t="s">
        <v>281</v>
      </c>
      <c r="B82" s="7">
        <f>SUM('02_Age_Gender'!D9:D12)</f>
        <v>90282</v>
      </c>
      <c r="C82" s="7">
        <f>SUM('02_Age_Gender'!AE9:AE12)</f>
        <v>121811</v>
      </c>
    </row>
    <row r="83" spans="1:3" x14ac:dyDescent="0.2">
      <c r="A83" s="6" t="s">
        <v>282</v>
      </c>
      <c r="B83" s="7">
        <f>SUM('02_Age_Gender'!D13:D15)</f>
        <v>256276</v>
      </c>
      <c r="C83" s="7">
        <f>SUM('02_Age_Gender'!AE13:AE15)</f>
        <v>224855</v>
      </c>
    </row>
    <row r="84" spans="1:3" x14ac:dyDescent="0.2">
      <c r="A84" s="6" t="s">
        <v>119</v>
      </c>
      <c r="B84" s="7">
        <f>'02_Age_Gender'!D16</f>
        <v>252647</v>
      </c>
      <c r="C84" s="7">
        <f>'02_Age_Gender'!AE16</f>
        <v>306153</v>
      </c>
    </row>
    <row r="86" spans="1:3" x14ac:dyDescent="0.2">
      <c r="A86" s="17" t="s">
        <v>286</v>
      </c>
    </row>
    <row r="87" spans="1:3" x14ac:dyDescent="0.2">
      <c r="A87" s="5" t="s">
        <v>107</v>
      </c>
      <c r="B87" s="5" t="s">
        <v>215</v>
      </c>
      <c r="C87" s="5" t="s">
        <v>156</v>
      </c>
    </row>
    <row r="88" spans="1:3" x14ac:dyDescent="0.2">
      <c r="A88" s="6" t="s">
        <v>109</v>
      </c>
      <c r="B88" s="12">
        <f>'02_Age_Gender'!C6/'02_Age_Gender'!D6</f>
        <v>0.37533368926855315</v>
      </c>
      <c r="C88" s="12">
        <f>'02_Age_Gender'!AD6/'02_Age_Gender'!AE6</f>
        <v>0.37954859511745737</v>
      </c>
    </row>
    <row r="89" spans="1:3" x14ac:dyDescent="0.2">
      <c r="A89" s="6" t="s">
        <v>110</v>
      </c>
      <c r="B89" s="12">
        <f>'02_Age_Gender'!C7/'02_Age_Gender'!D7</f>
        <v>0.33730876788945552</v>
      </c>
      <c r="C89" s="12">
        <f>'02_Age_Gender'!AD7/'02_Age_Gender'!AE7</f>
        <v>0.34369825206991722</v>
      </c>
    </row>
    <row r="90" spans="1:3" x14ac:dyDescent="0.2">
      <c r="A90" s="6" t="s">
        <v>111</v>
      </c>
      <c r="B90" s="12">
        <f>'02_Age_Gender'!C8/'02_Age_Gender'!D8</f>
        <v>0.29193875253321322</v>
      </c>
      <c r="C90" s="12">
        <f>'02_Age_Gender'!AD8/'02_Age_Gender'!AE8</f>
        <v>0.29316461057870491</v>
      </c>
    </row>
    <row r="91" spans="1:3" x14ac:dyDescent="0.2">
      <c r="A91" s="6" t="s">
        <v>112</v>
      </c>
      <c r="B91" s="12">
        <f>'02_Age_Gender'!C9/'02_Age_Gender'!D9</f>
        <v>0.2743662735529348</v>
      </c>
      <c r="C91" s="12">
        <f>'02_Age_Gender'!AD9/'02_Age_Gender'!AE9</f>
        <v>0.26233984457046838</v>
      </c>
    </row>
    <row r="92" spans="1:3" x14ac:dyDescent="0.2">
      <c r="A92" s="6" t="s">
        <v>113</v>
      </c>
      <c r="B92" s="12">
        <f>'02_Age_Gender'!C10/'02_Age_Gender'!D10</f>
        <v>0.25738670393292074</v>
      </c>
      <c r="C92" s="12">
        <f>'02_Age_Gender'!AD10/'02_Age_Gender'!AE10</f>
        <v>0.24499224900452901</v>
      </c>
    </row>
    <row r="93" spans="1:3" x14ac:dyDescent="0.2">
      <c r="A93" s="6" t="s">
        <v>114</v>
      </c>
      <c r="B93" s="12">
        <f>'02_Age_Gender'!C11/'02_Age_Gender'!D11</f>
        <v>0.27695705803046383</v>
      </c>
      <c r="C93" s="12">
        <f>'02_Age_Gender'!AD11/'02_Age_Gender'!AE11</f>
        <v>0.23384256105867471</v>
      </c>
    </row>
    <row r="94" spans="1:3" x14ac:dyDescent="0.2">
      <c r="A94" s="6" t="s">
        <v>115</v>
      </c>
      <c r="B94" s="12">
        <f>'02_Age_Gender'!C12/'02_Age_Gender'!D12</f>
        <v>0.30759068837475007</v>
      </c>
      <c r="C94" s="12">
        <f>'02_Age_Gender'!AD12/'02_Age_Gender'!AE12</f>
        <v>0.22849491162292448</v>
      </c>
    </row>
    <row r="95" spans="1:3" x14ac:dyDescent="0.2">
      <c r="A95" s="6" t="s">
        <v>116</v>
      </c>
      <c r="B95" s="12">
        <f>'02_Age_Gender'!C13/'02_Age_Gender'!D13</f>
        <v>0.36041615511236008</v>
      </c>
      <c r="C95" s="12">
        <f>'02_Age_Gender'!AD13/'02_Age_Gender'!AE13</f>
        <v>0.31692307692307692</v>
      </c>
    </row>
    <row r="96" spans="1:3" x14ac:dyDescent="0.2">
      <c r="A96" s="6" t="s">
        <v>117</v>
      </c>
      <c r="B96" s="12">
        <f>'02_Age_Gender'!C14/'02_Age_Gender'!D14</f>
        <v>0.38484921715019776</v>
      </c>
      <c r="C96" s="12">
        <f>'02_Age_Gender'!AD14/'02_Age_Gender'!AE14</f>
        <v>0.37931663323330955</v>
      </c>
    </row>
    <row r="97" spans="1:3" x14ac:dyDescent="0.2">
      <c r="A97" s="6" t="s">
        <v>118</v>
      </c>
      <c r="B97" s="12">
        <f>'02_Age_Gender'!C15/'02_Age_Gender'!D15</f>
        <v>0.40929772210240201</v>
      </c>
      <c r="C97" s="12">
        <f>'02_Age_Gender'!AD15/'02_Age_Gender'!AE15</f>
        <v>0.38819033793736524</v>
      </c>
    </row>
    <row r="98" spans="1:3" x14ac:dyDescent="0.2">
      <c r="A98" s="6" t="s">
        <v>119</v>
      </c>
      <c r="B98" s="12">
        <f>'02_Age_Gender'!C16/'02_Age_Gender'!D16</f>
        <v>0.39370742577588491</v>
      </c>
      <c r="C98" s="12">
        <f>'02_Age_Gender'!AD16/'02_Age_Gender'!AE16</f>
        <v>0.38231537825858314</v>
      </c>
    </row>
    <row r="100" spans="1:3" x14ac:dyDescent="0.2">
      <c r="A100" s="2" t="s">
        <v>287</v>
      </c>
    </row>
    <row r="102" spans="1:3" x14ac:dyDescent="0.2">
      <c r="A102" s="17" t="s">
        <v>292</v>
      </c>
    </row>
    <row r="103" spans="1:3" x14ac:dyDescent="0.2">
      <c r="A103" s="5" t="s">
        <v>122</v>
      </c>
      <c r="B103" s="5" t="s">
        <v>293</v>
      </c>
    </row>
    <row r="104" spans="1:3" x14ac:dyDescent="0.2">
      <c r="A104" s="6" t="s">
        <v>142</v>
      </c>
      <c r="B104" s="7">
        <f>MAX(0,('01_Timeseries'!$B$14/83577140*1000-'03_States'!L15)*'03_States'!K15/1000)</f>
        <v>37430.011853037802</v>
      </c>
    </row>
    <row r="105" spans="1:3" x14ac:dyDescent="0.2">
      <c r="A105" s="6" t="s">
        <v>134</v>
      </c>
      <c r="B105" s="7">
        <f>MAX(0,('01_Timeseries'!$B$14/83577140*1000-'03_States'!L7)*'03_States'!K7/1000)</f>
        <v>24175.599256255959</v>
      </c>
    </row>
    <row r="106" spans="1:3" x14ac:dyDescent="0.2">
      <c r="A106" s="6" t="s">
        <v>132</v>
      </c>
      <c r="B106" s="7">
        <f>MAX(0,('01_Timeseries'!$B$14/83577140*1000-'03_States'!L5)*'03_States'!K5/1000)</f>
        <v>17521.209687314018</v>
      </c>
    </row>
    <row r="107" spans="1:3" x14ac:dyDescent="0.2">
      <c r="A107" s="6" t="s">
        <v>141</v>
      </c>
      <c r="B107" s="7">
        <f>MAX(0,('01_Timeseries'!$B$14/83577140*1000-'03_States'!L14)*'03_States'!K14/1000)</f>
        <v>15606.68789131813</v>
      </c>
    </row>
    <row r="108" spans="1:3" x14ac:dyDescent="0.2">
      <c r="A108" s="6" t="s">
        <v>140</v>
      </c>
      <c r="B108" s="7">
        <f>MAX(0,('01_Timeseries'!$B$14/83577140*1000-'03_States'!L13)*'03_States'!K13/1000)</f>
        <v>12681.726944114149</v>
      </c>
    </row>
    <row r="109" spans="1:3" x14ac:dyDescent="0.2">
      <c r="A109" s="6" t="s">
        <v>139</v>
      </c>
      <c r="B109" s="7">
        <f>MAX(0,('01_Timeseries'!$B$14/83577140*1000-'03_States'!L12)*'03_States'!K12/1000)</f>
        <v>5351.7238459942337</v>
      </c>
    </row>
    <row r="110" spans="1:3" x14ac:dyDescent="0.2">
      <c r="A110" s="6" t="s">
        <v>136</v>
      </c>
      <c r="B110" s="7">
        <f>MAX(0,('01_Timeseries'!$B$14/83577140*1000-'03_States'!L9)*'03_States'!K9/1000)</f>
        <v>2534.3755905143462</v>
      </c>
    </row>
    <row r="111" spans="1:3" x14ac:dyDescent="0.2">
      <c r="A111" s="6" t="s">
        <v>133</v>
      </c>
      <c r="B111" s="7">
        <f>MAX(0,('01_Timeseries'!$B$14/83577140*1000-'03_States'!L6)*'03_States'!K6/1000)</f>
        <v>0</v>
      </c>
    </row>
    <row r="112" spans="1:3" x14ac:dyDescent="0.2">
      <c r="A112" s="6" t="s">
        <v>135</v>
      </c>
      <c r="B112" s="7">
        <f>MAX(0,('01_Timeseries'!$B$14/83577140*1000-'03_States'!L8)*'03_States'!K8/1000)</f>
        <v>0</v>
      </c>
    </row>
    <row r="113" spans="1:2" x14ac:dyDescent="0.2">
      <c r="A113" s="6" t="s">
        <v>137</v>
      </c>
      <c r="B113" s="7">
        <f>MAX(0,('01_Timeseries'!$B$14/83577140*1000-'03_States'!L10)*'03_States'!K10/1000)</f>
        <v>0</v>
      </c>
    </row>
    <row r="114" spans="1:2" x14ac:dyDescent="0.2">
      <c r="A114" s="6" t="s">
        <v>138</v>
      </c>
      <c r="B114" s="7">
        <f>MAX(0,('01_Timeseries'!$B$14/83577140*1000-'03_States'!L11)*'03_States'!K11/1000)</f>
        <v>0</v>
      </c>
    </row>
    <row r="115" spans="1:2" x14ac:dyDescent="0.2">
      <c r="A115" s="6" t="s">
        <v>143</v>
      </c>
      <c r="B115" s="7">
        <f>MAX(0,('01_Timeseries'!$B$14/83577140*1000-'03_States'!L16)*'03_States'!K16/1000)</f>
        <v>0</v>
      </c>
    </row>
    <row r="117" spans="1:2" x14ac:dyDescent="0.2">
      <c r="A117" s="2" t="s">
        <v>294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G5" zoomScale="92" zoomScaleNormal="234" workbookViewId="0">
      <selection activeCell="O10" sqref="O10"/>
    </sheetView>
  </sheetViews>
  <sheetFormatPr baseColWidth="10" defaultColWidth="8.83203125" defaultRowHeight="15" x14ac:dyDescent="0.2"/>
  <cols>
    <col min="1" max="1" width="2" customWidth="1"/>
    <col min="2" max="12" width="17" customWidth="1"/>
    <col min="13" max="13" width="2" customWidth="1"/>
  </cols>
  <sheetData>
    <row r="2" spans="2:13" x14ac:dyDescent="0.2">
      <c r="B2" s="32" t="s">
        <v>0</v>
      </c>
      <c r="C2" s="33"/>
      <c r="D2" s="33"/>
      <c r="E2" s="33"/>
      <c r="F2" s="33"/>
      <c r="G2" s="33"/>
      <c r="H2" s="33"/>
      <c r="I2" s="33"/>
      <c r="J2" s="33"/>
      <c r="K2" s="33"/>
      <c r="L2" s="33"/>
    </row>
    <row r="3" spans="2:13" x14ac:dyDescent="0.2">
      <c r="B3" s="33"/>
      <c r="C3" s="33"/>
      <c r="D3" s="33"/>
      <c r="E3" s="33"/>
      <c r="F3" s="33"/>
      <c r="G3" s="33"/>
      <c r="H3" s="33"/>
      <c r="I3" s="33"/>
      <c r="J3" s="33"/>
      <c r="K3" s="33"/>
      <c r="L3" s="33"/>
    </row>
    <row r="4" spans="2:13" x14ac:dyDescent="0.2">
      <c r="B4" s="43" t="s">
        <v>1</v>
      </c>
      <c r="C4" s="38"/>
      <c r="D4" s="38"/>
      <c r="E4" s="38"/>
      <c r="F4" s="38"/>
      <c r="G4" s="38"/>
      <c r="H4" s="38"/>
      <c r="I4" s="38"/>
      <c r="J4" s="38"/>
      <c r="K4" s="38"/>
      <c r="L4" s="38"/>
    </row>
    <row r="5" spans="2:13" ht="25" x14ac:dyDescent="0.2">
      <c r="B5" s="16" t="s">
        <v>261</v>
      </c>
      <c r="D5" s="30">
        <v>2024</v>
      </c>
      <c r="F5" s="2" t="s">
        <v>262</v>
      </c>
    </row>
    <row r="6" spans="2:13" ht="16" customHeight="1" x14ac:dyDescent="0.2">
      <c r="B6" s="44" t="s">
        <v>2</v>
      </c>
      <c r="C6" s="33"/>
      <c r="D6" s="44" t="str">
        <f>"GROWTH vs "&amp;'06_Metrics'!B68</f>
        <v>GROWTH vs 2024</v>
      </c>
      <c r="E6" s="33"/>
      <c r="F6" s="34" t="s">
        <v>3</v>
      </c>
      <c r="G6" s="35"/>
      <c r="H6" s="34" t="s">
        <v>4</v>
      </c>
      <c r="I6" s="35"/>
      <c r="J6" s="34" t="str">
        <f>"UNDER 19 vs "&amp;'06_Metrics'!B68</f>
        <v>UNDER 19 vs 2024</v>
      </c>
      <c r="K6" s="35"/>
      <c r="L6" s="45"/>
      <c r="M6" s="46"/>
    </row>
    <row r="7" spans="2:13" ht="22" customHeight="1" x14ac:dyDescent="0.2">
      <c r="B7" s="39">
        <f>'06_Metrics'!B52</f>
        <v>695617</v>
      </c>
      <c r="C7" s="37"/>
      <c r="D7" s="36">
        <f>'06_Metrics'!B74</f>
        <v>1.2973490916080799E-2</v>
      </c>
      <c r="E7" s="37"/>
      <c r="F7" s="42">
        <f>'06_Metrics'!B56</f>
        <v>0.34725287047326331</v>
      </c>
      <c r="G7" s="37"/>
      <c r="H7" s="42">
        <f>'06_Metrics'!B58</f>
        <v>0.4401171909254662</v>
      </c>
      <c r="I7" s="37"/>
      <c r="J7" s="42">
        <f>'06_Metrics'!B77</f>
        <v>1.304234620209721E-2</v>
      </c>
      <c r="K7" s="37"/>
      <c r="L7" s="40"/>
      <c r="M7" s="37"/>
    </row>
    <row r="8" spans="2:13" ht="22" customHeight="1" x14ac:dyDescent="0.2">
      <c r="B8" s="38"/>
      <c r="C8" s="38"/>
      <c r="D8" s="38"/>
      <c r="E8" s="38"/>
      <c r="F8" s="38"/>
      <c r="G8" s="38"/>
      <c r="H8" s="38"/>
      <c r="I8" s="38"/>
      <c r="J8" s="38"/>
      <c r="K8" s="38"/>
      <c r="L8" s="38"/>
      <c r="M8" s="38"/>
    </row>
    <row r="9" spans="2:13" x14ac:dyDescent="0.2">
      <c r="B9" s="47" t="str">
        <f>"Compared with "&amp;'06_Metrics'!B68&amp;": "&amp;TEXT('06_Metrics'!B73,"+#,##0;-#,##0")&amp;" members "&amp;"("&amp;TEXT('06_Metrics'!B74,"+0.0%;-0.0%")&amp;")"&amp;"     ·     female share "&amp;TEXT('06_Metrics'!B75,"+0.0;-0.0")&amp;" pp"&amp;"     ·     aged 61+ "&amp;TEXT('06_Metrics'!B76,"+0.0;-0.0")&amp;" pp"&amp;"     ·     under 19 "&amp;TEXT('06_Metrics'!B77,"+0.0%;-0.0%")</f>
        <v>Compared with 2024: +8909,0 members (+01%)     ·     female share -00 pp     ·     aged 61+ +01 pp     ·     under 19 +01%</v>
      </c>
      <c r="C9" s="38"/>
      <c r="D9" s="38"/>
      <c r="E9" s="38"/>
      <c r="F9" s="38"/>
      <c r="G9" s="38"/>
      <c r="H9" s="38"/>
      <c r="I9" s="38"/>
      <c r="J9" s="38"/>
      <c r="K9" s="38"/>
      <c r="L9" s="38"/>
      <c r="M9" s="38"/>
    </row>
    <row r="11" spans="2:13" x14ac:dyDescent="0.2">
      <c r="B11" s="29" t="s">
        <v>239</v>
      </c>
      <c r="H11" s="29" t="s">
        <v>5</v>
      </c>
    </row>
    <row r="29" spans="2:8" x14ac:dyDescent="0.2">
      <c r="B29" s="29" t="s">
        <v>6</v>
      </c>
      <c r="H29" s="29" t="s">
        <v>7</v>
      </c>
    </row>
    <row r="47" spans="2:8" x14ac:dyDescent="0.2">
      <c r="B47" s="29" t="s">
        <v>8</v>
      </c>
      <c r="H47" s="29" t="s">
        <v>9</v>
      </c>
    </row>
    <row r="67" spans="2:12" x14ac:dyDescent="0.2">
      <c r="B67" s="41" t="s">
        <v>285</v>
      </c>
      <c r="C67" s="38"/>
      <c r="D67" s="38"/>
      <c r="E67" s="38"/>
      <c r="F67" s="38"/>
      <c r="G67" s="38"/>
      <c r="H67" s="38"/>
      <c r="I67" s="38"/>
      <c r="J67" s="38"/>
      <c r="K67" s="38"/>
      <c r="L67" s="38"/>
    </row>
    <row r="68" spans="2:12" x14ac:dyDescent="0.2">
      <c r="B68" s="38"/>
      <c r="C68" s="38"/>
      <c r="D68" s="38"/>
      <c r="E68" s="38"/>
      <c r="F68" s="38"/>
      <c r="G68" s="38"/>
      <c r="H68" s="38"/>
      <c r="I68" s="38"/>
      <c r="J68" s="38"/>
      <c r="K68" s="38"/>
      <c r="L68" s="38"/>
    </row>
  </sheetData>
  <mergeCells count="16">
    <mergeCell ref="B67:L68"/>
    <mergeCell ref="H7:I8"/>
    <mergeCell ref="F7:G8"/>
    <mergeCell ref="J7:K8"/>
    <mergeCell ref="B4:L4"/>
    <mergeCell ref="B6:C6"/>
    <mergeCell ref="D6:E6"/>
    <mergeCell ref="H6:I6"/>
    <mergeCell ref="L6:M6"/>
    <mergeCell ref="B9:M9"/>
    <mergeCell ref="B2:L3"/>
    <mergeCell ref="F6:G6"/>
    <mergeCell ref="D7:E8"/>
    <mergeCell ref="B7:C8"/>
    <mergeCell ref="J6:K6"/>
    <mergeCell ref="L7:M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2026-09-24T23:49:48Z</dcterms:modified>
</cp:coreProperties>
</file>