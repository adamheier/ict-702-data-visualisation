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8A49E88E-FF61-3C42-A1CC-2EBBA352FA90}"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Federations" sheetId="10" r:id="rId7"/>
    <sheet name="07_History" sheetId="11" r:id="rId8"/>
    <sheet name="08_Metrics" sheetId="12" r:id="rId9"/>
    <sheet name="09_Chart_Selection" sheetId="13" r:id="rId10"/>
    <sheet name="10_Design_Rationale" sheetId="14" r:id="rId11"/>
    <sheet name="20_Dashboard" sheetId="15" r:id="rId12"/>
  </sheets>
  <definedNames>
    <definedName name="_xlchart.v6.0" hidden="1">'03_States'!$A$31:$A$46</definedName>
    <definedName name="_xlchart.v6.1" hidden="1">'03_States'!$E$30</definedName>
    <definedName name="_xlchart.v6.10" hidden="1">'03_States'!$E$31:$E$46</definedName>
    <definedName name="_xlchart.v6.11" hidden="1">'08_Metrics'!$A$20</definedName>
    <definedName name="_xlchart.v6.2" hidden="1">'03_States'!$E$31:$E$46</definedName>
    <definedName name="_xlchart.v6.3" hidden="1">'08_Metrics'!$A$20</definedName>
    <definedName name="_xlchart.v6.4" hidden="1">'03_States'!$A$31:$A$46</definedName>
    <definedName name="_xlchart.v6.5" hidden="1">'03_States'!$E$30</definedName>
    <definedName name="_xlchart.v6.6" hidden="1">'03_States'!$E$31:$E$46</definedName>
    <definedName name="_xlchart.v6.7" hidden="1">'08_Metrics'!$A$20</definedName>
    <definedName name="_xlchart.v6.8" hidden="1">'03_States'!$A$31:$A$46</definedName>
    <definedName name="_xlchart.v6.9" hidden="1">'03_States'!$E$30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5" l="1"/>
  <c r="J7" i="15"/>
  <c r="H7" i="15"/>
  <c r="F7" i="15"/>
  <c r="D7" i="15"/>
  <c r="B7" i="15"/>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B31" i="8"/>
  <c r="B30" i="8"/>
  <c r="B29" i="8"/>
  <c r="B28" i="8"/>
  <c r="B27" i="8"/>
  <c r="B20" i="8"/>
  <c r="B19" i="8"/>
  <c r="B18" i="8"/>
  <c r="B17" i="8"/>
  <c r="B16" i="8"/>
  <c r="B15"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<sst xmlns="http://schemas.openxmlformats.org/spreadsheetml/2006/main" count="570" uniqueCount="433">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</sst>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6" fillId="3" borderId="0" xfId="0" applyFont="1" applyFill="1" applyAlignment="1">
      <alignment horizontal="center"/>
    </xf>
    <xf numFmtId="0" fontId="0" fillId="0" borderId="0" xfId="0"/>
    <xf numFmtId="0" fontId="16" fillId="0" borderId="0" xfId="0" applyFont="1" applyAlignment="1">
      <alignment vertical="top" wrapText="1" indent="1"/>
    </xf>
    <xf numFmtId="164" fontId="14" fillId="5" borderId="0" xfId="0" applyNumberFormat="1" applyFont="1" applyFill="1" applyAlignment="1">
      <alignment horizontal="center" vertical="center"/>
    </xf>
    <xf numFmtId="0" fontId="0" fillId="5" borderId="0" xfId="0" applyFill="1"/>
    <xf numFmtId="165"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0" fillId="2" borderId="0" xfId="0" applyFill="1"/>
    <xf numFmtId="0" fontId="13" fillId="6" borderId="0" xfId="0" applyFont="1" applyFill="1" applyAlignment="1">
      <alignment horizontal="center" vertical="center"/>
    </xf>
    <xf numFmtId="0" fontId="0" fillId="6" borderId="0" xfId="0" applyFill="1"/>
    <xf numFmtId="0" fontId="13" fillId="7" borderId="0" xfId="0" applyFont="1" applyFill="1" applyAlignment="1">
      <alignment horizontal="center" vertical="center"/>
    </xf>
    <xf numFmtId="0" fontId="0" fillId="7" borderId="0" xfId="0" applyFill="1"/>
    <xf numFmtId="0" fontId="12" fillId="2" borderId="0" xfId="0" applyFont="1" applyFill="1" applyAlignment="1">
      <alignment horizontal="left" vertical="center" indent="1"/>
    </xf>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0/07/relationships/rdRichValueWebImage" Target="richData/rdRichValueWebImage.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Structure" Target="richData/rdsupportingpropertybagstructur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layout>
        <c:manualLayout>
          <c:xMode val="edge"/>
          <c:yMode val="edge"/>
          <c:x val="0.46759145021645021"/>
          <c:y val="2.5813016874328208E-2"/>
        </c:manualLayout>
      </c:layout>
      <c:overlay val="1"/>
    </c:title>
    <c:autoTitleDeleted val="0"/>
    <c:plotArea>
      <c:layout/>
      <c:barChart>
        <c:barDir val="bar"/>
        <c:grouping val="clustered"/>
        <c:varyColors val="1"/>
        <c:ser>
          <c:idx val="0"/>
          <c:order val="0"/>
          <c:tx>
            <c:strRef>
              <c:f>'04_Funnel'!$H$4</c:f>
              <c:strCache>
                <c:ptCount val="1"/>
                <c:pt idx="0">
                  <c:v>2025</c:v>
                </c:pt>
              </c:strCache>
            </c:strRef>
          </c:tx>
          <c:spPr>
            <a:solidFill>
              <a:srgbClr val="E69F00"/>
            </a:solidFill>
            <a:ln>
              <a:prstDash val="solid"/>
            </a:ln>
          </c:spPr>
          <c:invertIfNegative val="1"/>
          <c:cat>
            <c:strRef>
              <c:f>'04_Funnel'!$A$5:$A$10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'04_Funnel'!$H$5:$H$10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'08_Metrics'!$D$5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'08_Metrics'!$A$6:$A$16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'08_Metrics'!$D$6:$D$16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'08_Metrics'!$D$20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'08_Metrics'!$A$21:$A$32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'08_Metrics'!$D$21:$D$32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_xlchart.v6.4</cx:f>
        <cx:nf>_xlchart.v6.7</cx:nf>
      </cx:strDim>
      <cx:numDim type="colorVal">
        <cx:f>_xlchart.v6.6</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_xlchart.v6.5</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6435298" cy="297597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row r="52" spans="1:2" ht="48" x14ac:dyDescent="0.2">
      <c r="A52" s="3" t="s">
        <v>412</v>
      </c>
      <c r="B52" s="4" t="s">
        <v>413</v>
      </c>
    </row>
    <row r="53" spans="1:2" ht="48" x14ac:dyDescent="0.2">
      <c r="B53" s="4" t="s">
        <v>414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37">
        <v>2016</v>
      </c>
      <c r="C4" s="38"/>
      <c r="D4" s="38"/>
      <c r="E4" s="37">
        <v>2017</v>
      </c>
      <c r="F4" s="38"/>
      <c r="G4" s="38"/>
      <c r="H4" s="37">
        <v>2018</v>
      </c>
      <c r="I4" s="38"/>
      <c r="J4" s="38"/>
      <c r="K4" s="37">
        <v>2019</v>
      </c>
      <c r="L4" s="38"/>
      <c r="M4" s="38"/>
      <c r="N4" s="37">
        <v>2020</v>
      </c>
      <c r="O4" s="38"/>
      <c r="P4" s="38"/>
      <c r="Q4" s="37">
        <v>2021</v>
      </c>
      <c r="R4" s="38"/>
      <c r="S4" s="38"/>
      <c r="T4" s="37">
        <v>2022</v>
      </c>
      <c r="U4" s="38"/>
      <c r="V4" s="38"/>
      <c r="W4" s="37">
        <v>2023</v>
      </c>
      <c r="X4" s="38"/>
      <c r="Y4" s="38"/>
      <c r="Z4" s="37">
        <v>2024</v>
      </c>
      <c r="AA4" s="38"/>
      <c r="AB4" s="38"/>
      <c r="AC4" s="37">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124</v>
      </c>
    </row>
    <row r="2" spans="1:14" x14ac:dyDescent="0.2">
      <c r="A2" s="2" t="s">
        <v>125</v>
      </c>
    </row>
    <row r="4" spans="1:14" ht="30" customHeight="1" x14ac:dyDescent="0.2">
      <c r="A4" s="5" t="s">
        <v>126</v>
      </c>
      <c r="B4" s="5" t="s">
        <v>127</v>
      </c>
      <c r="C4" s="5" t="s">
        <v>128</v>
      </c>
      <c r="D4" s="5" t="s">
        <v>103</v>
      </c>
      <c r="E4" s="5" t="s">
        <v>104</v>
      </c>
      <c r="F4" s="5" t="s">
        <v>129</v>
      </c>
      <c r="G4" s="5" t="s">
        <v>130</v>
      </c>
      <c r="H4" s="5" t="s">
        <v>102</v>
      </c>
      <c r="I4" s="5" t="s">
        <v>131</v>
      </c>
      <c r="J4" s="5" t="s">
        <v>132</v>
      </c>
      <c r="K4" s="5" t="s">
        <v>133</v>
      </c>
      <c r="L4" s="5" t="s">
        <v>134</v>
      </c>
      <c r="M4" s="5" t="s">
        <v>107</v>
      </c>
      <c r="N4" s="5" t="s">
        <v>135</v>
      </c>
    </row>
    <row r="5" spans="1:14" x14ac:dyDescent="0.2">
      <c r="A5" s="6" t="s">
        <v>136</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423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432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139</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424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141</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425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426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427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429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428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147</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148</v>
      </c>
      <c r="B17" s="7">
        <v>32698</v>
      </c>
      <c r="C17" s="7">
        <v>22709</v>
      </c>
      <c r="D17" s="7">
        <f t="shared" si="0"/>
        <v>9989</v>
      </c>
      <c r="E17" s="9">
        <f t="shared" si="1"/>
        <v>0.43986965520278304</v>
      </c>
      <c r="F17" s="7">
        <v>23337</v>
      </c>
      <c r="G17" s="7">
        <v>9361</v>
      </c>
      <c r="H17" s="8">
        <f t="shared" si="2"/>
        <v>0.28628662303504804</v>
      </c>
      <c r="I17" s="7">
        <v>310</v>
      </c>
      <c r="J17" s="7">
        <v>8930</v>
      </c>
      <c r="K17" s="7" t="s">
        <v>149</v>
      </c>
      <c r="L17" s="10" t="s">
        <v>149</v>
      </c>
      <c r="M17" s="10" t="s">
        <v>149</v>
      </c>
      <c r="N17" s="10" t="s">
        <v>149</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150</v>
      </c>
    </row>
    <row r="22" spans="1:14" x14ac:dyDescent="0.2">
      <c r="A22" s="2" t="s">
        <v>415</v>
      </c>
    </row>
    <row r="23" spans="1:14" x14ac:dyDescent="0.2">
      <c r="A23" s="2" t="s">
        <v>416</v>
      </c>
    </row>
    <row r="24" spans="1:14" x14ac:dyDescent="0.2">
      <c r="A24" s="2" t="s">
        <v>417</v>
      </c>
    </row>
    <row r="25" spans="1:14" x14ac:dyDescent="0.2">
      <c r="A25" s="2" t="s">
        <v>418</v>
      </c>
    </row>
    <row r="28" spans="1:14" x14ac:dyDescent="0.2">
      <c r="A28" s="17" t="s">
        <v>419</v>
      </c>
    </row>
    <row r="29" spans="1:14" x14ac:dyDescent="0.2">
      <c r="A29" s="2" t="s">
        <v>420</v>
      </c>
    </row>
    <row r="30" spans="1:14" ht="30" x14ac:dyDescent="0.2">
      <c r="A30" s="5" t="s">
        <v>421</v>
      </c>
      <c r="B30" s="5" t="s">
        <v>422</v>
      </c>
      <c r="C30" s="5" t="s">
        <v>127</v>
      </c>
      <c r="D30" s="5" t="s">
        <v>133</v>
      </c>
      <c r="E30" s="5" t="s">
        <v>134</v>
      </c>
    </row>
    <row r="31" spans="1:14" x14ac:dyDescent="0.2">
      <c r="A31" t="e" vm="1">
        <v>#VALUE!</v>
      </c>
      <c r="B31" t="s">
        <v>136</v>
      </c>
      <c r="C31" s="7">
        <f>B5</f>
        <v>76079</v>
      </c>
      <c r="D31" s="7">
        <f t="shared" ref="D31:E33" si="5">K5</f>
        <v>11245898</v>
      </c>
      <c r="E31" s="9">
        <f t="shared" si="5"/>
        <v>6.7650444633234272</v>
      </c>
    </row>
    <row r="32" spans="1:14" x14ac:dyDescent="0.2">
      <c r="A32" t="e" vm="2">
        <v>#VALUE!</v>
      </c>
      <c r="B32" t="s">
        <v>137</v>
      </c>
      <c r="C32" s="7">
        <f>B6</f>
        <v>144501</v>
      </c>
      <c r="D32" s="7">
        <f t="shared" si="5"/>
        <v>13248928</v>
      </c>
      <c r="E32" s="9">
        <f t="shared" si="5"/>
        <v>10.906618256209105</v>
      </c>
    </row>
    <row r="33" spans="1:5" x14ac:dyDescent="0.2">
      <c r="A33" t="e" vm="3">
        <v>#VALUE!</v>
      </c>
      <c r="B33" t="s">
        <v>138</v>
      </c>
      <c r="C33" s="7">
        <f>B7</f>
        <v>27777</v>
      </c>
      <c r="D33" s="7">
        <f t="shared" si="5"/>
        <v>6242012</v>
      </c>
      <c r="E33" s="9">
        <f t="shared" si="5"/>
        <v>4.4500074655415593</v>
      </c>
    </row>
    <row r="34" spans="1:5" x14ac:dyDescent="0.2">
      <c r="A34" t="e" vm="4">
        <v>#VALUE!</v>
      </c>
      <c r="B34" t="s">
        <v>138</v>
      </c>
      <c r="C34" s="7">
        <f>B7</f>
        <v>27777</v>
      </c>
      <c r="D34" s="7">
        <f>K7</f>
        <v>6242012</v>
      </c>
      <c r="E34" s="9">
        <f>L7</f>
        <v>4.4500074655415593</v>
      </c>
    </row>
    <row r="35" spans="1:5" x14ac:dyDescent="0.2">
      <c r="A35" t="e" vm="5">
        <v>#VALUE!</v>
      </c>
      <c r="B35" t="s">
        <v>142</v>
      </c>
      <c r="C35" s="7">
        <f>B11</f>
        <v>78772</v>
      </c>
      <c r="D35" s="7">
        <f>K11</f>
        <v>8709370</v>
      </c>
      <c r="E35" s="9">
        <f>L11</f>
        <v>9.044511830362012</v>
      </c>
    </row>
    <row r="36" spans="1:5" x14ac:dyDescent="0.2">
      <c r="A36" t="e" vm="6">
        <v>#VALUE!</v>
      </c>
      <c r="B36" t="s">
        <v>139</v>
      </c>
      <c r="C36" s="7">
        <f>B8</f>
        <v>22099</v>
      </c>
      <c r="D36" s="7">
        <f>K8</f>
        <v>1862565</v>
      </c>
      <c r="E36" s="9">
        <f>L8</f>
        <v>11.864820825045031</v>
      </c>
    </row>
    <row r="37" spans="1:5" x14ac:dyDescent="0.2">
      <c r="A37" t="e" vm="7">
        <v>#VALUE!</v>
      </c>
      <c r="B37" t="s">
        <v>140</v>
      </c>
      <c r="C37" s="7">
        <f>B9</f>
        <v>49741</v>
      </c>
      <c r="D37" s="7">
        <f>K9</f>
        <v>6280793</v>
      </c>
      <c r="E37" s="9">
        <f>L9</f>
        <v>7.9195413700149011</v>
      </c>
    </row>
    <row r="38" spans="1:5" x14ac:dyDescent="0.2">
      <c r="A38" t="e" vm="8">
        <v>#VALUE!</v>
      </c>
      <c r="B38" t="s">
        <v>142</v>
      </c>
      <c r="C38" s="7">
        <f>B11</f>
        <v>78772</v>
      </c>
      <c r="D38" s="7">
        <f>K11</f>
        <v>8709370</v>
      </c>
      <c r="E38" s="9">
        <f>L11</f>
        <v>9.044511830362012</v>
      </c>
    </row>
    <row r="39" spans="1:5" x14ac:dyDescent="0.2">
      <c r="A39" t="e" vm="9">
        <v>#VALUE!</v>
      </c>
      <c r="B39" t="s">
        <v>141</v>
      </c>
      <c r="C39" s="7">
        <f>B10</f>
        <v>18752</v>
      </c>
      <c r="D39" s="7">
        <f>K10</f>
        <v>1573597</v>
      </c>
      <c r="E39" s="9">
        <f>L10</f>
        <v>11.916647019535498</v>
      </c>
    </row>
    <row r="40" spans="1:5" x14ac:dyDescent="0.2">
      <c r="A40" t="e" vm="10">
        <v>#VALUE!</v>
      </c>
      <c r="B40" t="s">
        <v>143</v>
      </c>
      <c r="C40" s="7">
        <f>B12</f>
        <v>144750</v>
      </c>
      <c r="D40" s="7">
        <f>K12</f>
        <v>18034454</v>
      </c>
      <c r="E40" s="9">
        <f>L12</f>
        <v>8.0263034300899836</v>
      </c>
    </row>
    <row r="41" spans="1:5" x14ac:dyDescent="0.2">
      <c r="A41" t="e" vm="11">
        <v>#VALUE!</v>
      </c>
      <c r="B41" t="s">
        <v>144</v>
      </c>
      <c r="C41" s="7">
        <f>B13</f>
        <v>30113</v>
      </c>
      <c r="D41" s="7">
        <f>K13</f>
        <v>5141710</v>
      </c>
      <c r="E41" s="9">
        <f>L13</f>
        <v>5.8566119053777825</v>
      </c>
    </row>
    <row r="42" spans="1:5" x14ac:dyDescent="0.2">
      <c r="A42" t="e" vm="12">
        <v>#VALUE!</v>
      </c>
      <c r="B42" t="s">
        <v>144</v>
      </c>
      <c r="C42" s="7">
        <f>B13</f>
        <v>30113</v>
      </c>
      <c r="D42" s="7">
        <f>K13</f>
        <v>5141710</v>
      </c>
      <c r="E42" s="9">
        <f>L13</f>
        <v>5.8566119053777825</v>
      </c>
    </row>
    <row r="43" spans="1:5" x14ac:dyDescent="0.2">
      <c r="A43" t="e" vm="13">
        <v>#VALUE!</v>
      </c>
      <c r="B43" t="s">
        <v>146</v>
      </c>
      <c r="C43" s="7">
        <f>B15</f>
        <v>13696</v>
      </c>
      <c r="D43" s="7">
        <f>K15</f>
        <v>6142699</v>
      </c>
      <c r="E43" s="9">
        <f>L15</f>
        <v>2.2296387955848074</v>
      </c>
    </row>
    <row r="44" spans="1:5" x14ac:dyDescent="0.2">
      <c r="A44" t="e" vm="14">
        <v>#VALUE!</v>
      </c>
      <c r="B44" t="s">
        <v>145</v>
      </c>
      <c r="C44" s="7">
        <f>B14</f>
        <v>2168</v>
      </c>
      <c r="D44" s="7">
        <f>K14</f>
        <v>2135597</v>
      </c>
      <c r="E44" s="9">
        <f>L14</f>
        <v>1.0151728064798742</v>
      </c>
    </row>
    <row r="45" spans="1:5" x14ac:dyDescent="0.2">
      <c r="A45" t="e" vm="15">
        <v>#VALUE!</v>
      </c>
      <c r="B45" t="s">
        <v>147</v>
      </c>
      <c r="C45" s="7">
        <f>B16</f>
        <v>54471</v>
      </c>
      <c r="D45" s="7">
        <f>K16</f>
        <v>2959517</v>
      </c>
      <c r="E45" s="9">
        <f>L16</f>
        <v>18.405368173252594</v>
      </c>
    </row>
    <row r="46" spans="1:5" x14ac:dyDescent="0.2">
      <c r="A46" t="s">
        <v>430</v>
      </c>
      <c r="B46" t="s">
        <v>146</v>
      </c>
      <c r="C46" s="7">
        <f>B15</f>
        <v>13696</v>
      </c>
      <c r="D46" s="7">
        <f>K15</f>
        <v>6142699</v>
      </c>
      <c r="E46" s="9">
        <f>L15</f>
        <v>2.2296387955848074</v>
      </c>
    </row>
    <row r="48" spans="1:5" x14ac:dyDescent="0.2">
      <c r="A48" s="2" t="s">
        <v>431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election activeCell="F33" sqref="F33"/>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151</v>
      </c>
    </row>
    <row r="2" spans="1:9" x14ac:dyDescent="0.2">
      <c r="A2" s="2" t="s">
        <v>152</v>
      </c>
    </row>
    <row r="4" spans="1:9" ht="30" customHeight="1" x14ac:dyDescent="0.2">
      <c r="A4" s="5" t="s">
        <v>153</v>
      </c>
      <c r="B4" s="5" t="s">
        <v>154</v>
      </c>
      <c r="C4" s="5" t="s">
        <v>155</v>
      </c>
      <c r="D4" s="5" t="s">
        <v>156</v>
      </c>
      <c r="E4" s="5" t="s">
        <v>157</v>
      </c>
      <c r="F4" s="5" t="s">
        <v>158</v>
      </c>
      <c r="G4" s="5" t="s">
        <v>159</v>
      </c>
      <c r="H4" s="5" t="s">
        <v>160</v>
      </c>
      <c r="I4" s="5" t="s">
        <v>161</v>
      </c>
    </row>
    <row r="5" spans="1:9" x14ac:dyDescent="0.2">
      <c r="A5" s="6" t="s">
        <v>162</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163</v>
      </c>
      <c r="B6" s="18">
        <v>6.7</v>
      </c>
      <c r="C6" s="18">
        <v>6.56</v>
      </c>
      <c r="D6" s="18">
        <v>6.11</v>
      </c>
      <c r="E6" s="18">
        <v>6.01</v>
      </c>
      <c r="F6" s="18">
        <v>6.16</v>
      </c>
      <c r="G6" s="18">
        <v>6.45</v>
      </c>
      <c r="H6" s="18">
        <v>6.87</v>
      </c>
      <c r="I6" s="9">
        <f t="shared" si="0"/>
        <v>2.5373134328358304E-2</v>
      </c>
    </row>
    <row r="7" spans="1:9" x14ac:dyDescent="0.2">
      <c r="A7" s="6" t="s">
        <v>164</v>
      </c>
      <c r="B7" s="18">
        <v>1.47</v>
      </c>
      <c r="C7" s="18">
        <v>1.55</v>
      </c>
      <c r="D7" s="18">
        <v>1.46</v>
      </c>
      <c r="E7" s="18">
        <v>1.35</v>
      </c>
      <c r="F7" s="18">
        <v>1.32</v>
      </c>
      <c r="G7" s="18">
        <v>1.45</v>
      </c>
      <c r="H7" s="18">
        <v>1.62</v>
      </c>
      <c r="I7" s="9">
        <f t="shared" si="0"/>
        <v>0.10204081632653073</v>
      </c>
    </row>
    <row r="8" spans="1:9" x14ac:dyDescent="0.2">
      <c r="A8" s="6" t="s">
        <v>165</v>
      </c>
      <c r="B8" s="18">
        <v>2.89</v>
      </c>
      <c r="C8" s="18">
        <v>3.04</v>
      </c>
      <c r="D8" s="18">
        <v>3.14</v>
      </c>
      <c r="E8" s="18">
        <v>3.12</v>
      </c>
      <c r="F8" s="18">
        <v>3.27</v>
      </c>
      <c r="G8" s="18">
        <v>3.44</v>
      </c>
      <c r="H8" s="18">
        <v>3.38</v>
      </c>
      <c r="I8" s="9">
        <f t="shared" si="0"/>
        <v>0.16955017301038056</v>
      </c>
    </row>
    <row r="9" spans="1:9" x14ac:dyDescent="0.2">
      <c r="A9" s="6" t="s">
        <v>166</v>
      </c>
      <c r="B9" s="18">
        <v>0.75</v>
      </c>
      <c r="C9" s="18">
        <v>0.81</v>
      </c>
      <c r="D9" s="18">
        <v>0.87</v>
      </c>
      <c r="E9" s="18">
        <v>0.87</v>
      </c>
      <c r="F9" s="18">
        <v>0.9</v>
      </c>
      <c r="G9" s="18">
        <v>0.91</v>
      </c>
      <c r="H9" s="18">
        <v>0.9</v>
      </c>
      <c r="I9" s="9">
        <f t="shared" si="0"/>
        <v>0.19999999999999996</v>
      </c>
    </row>
    <row r="10" spans="1:9" x14ac:dyDescent="0.2">
      <c r="A10" s="6" t="s">
        <v>167</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168</v>
      </c>
    </row>
    <row r="14" spans="1:9" ht="30" customHeight="1" x14ac:dyDescent="0.2">
      <c r="A14" s="5" t="s">
        <v>169</v>
      </c>
      <c r="B14" s="5" t="s">
        <v>170</v>
      </c>
    </row>
    <row r="15" spans="1:9" x14ac:dyDescent="0.2">
      <c r="A15" s="6" t="s">
        <v>171</v>
      </c>
      <c r="B15" s="20">
        <f>H6/H10</f>
        <v>9.8706896551724146</v>
      </c>
    </row>
    <row r="16" spans="1:9" x14ac:dyDescent="0.2">
      <c r="A16" s="6" t="s">
        <v>172</v>
      </c>
      <c r="B16" s="20">
        <f>H8/H10</f>
        <v>4.8563218390804597</v>
      </c>
    </row>
    <row r="17" spans="1:2" x14ac:dyDescent="0.2">
      <c r="A17" s="6" t="s">
        <v>173</v>
      </c>
      <c r="B17" s="17">
        <f>H10/H6</f>
        <v>0.10131004366812227</v>
      </c>
    </row>
    <row r="18" spans="1:2" x14ac:dyDescent="0.2">
      <c r="A18" s="6" t="s">
        <v>174</v>
      </c>
      <c r="B18" s="17">
        <f>H10/H8</f>
        <v>0.2059171597633136</v>
      </c>
    </row>
    <row r="19" spans="1:2" x14ac:dyDescent="0.2">
      <c r="A19" s="6" t="s">
        <v>175</v>
      </c>
      <c r="B19" s="20">
        <f>H6-H8</f>
        <v>3.49</v>
      </c>
    </row>
    <row r="20" spans="1:2" x14ac:dyDescent="0.2">
      <c r="A20" s="6" t="s">
        <v>176</v>
      </c>
      <c r="B20" s="20">
        <f>H8-H10</f>
        <v>2.6840000000000002</v>
      </c>
    </row>
    <row r="22" spans="1:2" x14ac:dyDescent="0.2">
      <c r="A22" s="2" t="s">
        <v>177</v>
      </c>
    </row>
    <row r="24" spans="1:2" x14ac:dyDescent="0.2">
      <c r="A24" s="19" t="s">
        <v>178</v>
      </c>
    </row>
    <row r="25" spans="1:2" x14ac:dyDescent="0.2">
      <c r="A25" s="2" t="s">
        <v>179</v>
      </c>
    </row>
    <row r="26" spans="1:2" ht="18" customHeight="1" x14ac:dyDescent="0.2">
      <c r="A26" s="5" t="s">
        <v>180</v>
      </c>
      <c r="B26" s="5" t="s">
        <v>181</v>
      </c>
    </row>
    <row r="27" spans="1:2" x14ac:dyDescent="0.2">
      <c r="A27" s="6" t="s">
        <v>162</v>
      </c>
      <c r="B27" s="18">
        <f>H5</f>
        <v>69.13</v>
      </c>
    </row>
    <row r="28" spans="1:2" x14ac:dyDescent="0.2">
      <c r="A28" s="6" t="s">
        <v>182</v>
      </c>
      <c r="B28" s="18">
        <f>H6</f>
        <v>6.87</v>
      </c>
    </row>
    <row r="29" spans="1:2" x14ac:dyDescent="0.2">
      <c r="A29" s="6" t="s">
        <v>183</v>
      </c>
      <c r="B29" s="18">
        <f>H8</f>
        <v>3.38</v>
      </c>
    </row>
    <row r="30" spans="1:2" x14ac:dyDescent="0.2">
      <c r="A30" s="6" t="s">
        <v>184</v>
      </c>
      <c r="B30" s="18">
        <f>H9</f>
        <v>0.9</v>
      </c>
    </row>
    <row r="31" spans="1:2" x14ac:dyDescent="0.2">
      <c r="A31" s="6" t="s">
        <v>185</v>
      </c>
      <c r="B31" s="18">
        <f>H10</f>
        <v>0.69599999999999995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186</v>
      </c>
    </row>
    <row r="2" spans="1:11" x14ac:dyDescent="0.2">
      <c r="A2" s="2" t="s">
        <v>187</v>
      </c>
    </row>
    <row r="4" spans="1:11" ht="30" customHeight="1" x14ac:dyDescent="0.2">
      <c r="A4" s="5" t="s">
        <v>188</v>
      </c>
      <c r="B4" s="5" t="s">
        <v>133</v>
      </c>
      <c r="C4" s="5" t="s">
        <v>189</v>
      </c>
      <c r="D4" s="5" t="s">
        <v>190</v>
      </c>
      <c r="E4" s="5" t="s">
        <v>191</v>
      </c>
      <c r="F4" s="5" t="s">
        <v>192</v>
      </c>
      <c r="G4" s="5" t="s">
        <v>193</v>
      </c>
      <c r="H4" s="5" t="s">
        <v>194</v>
      </c>
      <c r="I4" s="5" t="s">
        <v>195</v>
      </c>
      <c r="J4" s="5" t="s">
        <v>196</v>
      </c>
      <c r="K4" s="5" t="s">
        <v>197</v>
      </c>
    </row>
    <row r="5" spans="1:11" x14ac:dyDescent="0.2">
      <c r="A5" s="6" t="s">
        <v>198</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199</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200</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201</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202</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203</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204</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205</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206</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207</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208</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209</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210</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211</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212</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213</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214</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215</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election activeCell="F26" sqref="F26"/>
    </sheetView>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216</v>
      </c>
    </row>
    <row r="2" spans="1:5" x14ac:dyDescent="0.2">
      <c r="A2" s="2" t="s">
        <v>217</v>
      </c>
    </row>
    <row r="4" spans="1:5" ht="30" customHeight="1" x14ac:dyDescent="0.2">
      <c r="A4" s="5" t="s">
        <v>218</v>
      </c>
      <c r="B4" s="5" t="s">
        <v>219</v>
      </c>
      <c r="C4" s="5" t="s">
        <v>220</v>
      </c>
      <c r="D4" s="5" t="s">
        <v>103</v>
      </c>
      <c r="E4" s="5" t="s">
        <v>104</v>
      </c>
    </row>
    <row r="5" spans="1:5" x14ac:dyDescent="0.2">
      <c r="A5" s="6">
        <v>1</v>
      </c>
      <c r="B5" s="6" t="s">
        <v>221</v>
      </c>
      <c r="C5" s="7">
        <v>8005050</v>
      </c>
      <c r="D5" s="7">
        <v>297843</v>
      </c>
      <c r="E5" s="9">
        <v>3.9E-2</v>
      </c>
    </row>
    <row r="6" spans="1:5" x14ac:dyDescent="0.2">
      <c r="A6" s="6">
        <v>2</v>
      </c>
      <c r="B6" s="6" t="s">
        <v>222</v>
      </c>
      <c r="C6" s="7">
        <v>5246046</v>
      </c>
      <c r="D6" s="7">
        <v>182474</v>
      </c>
      <c r="E6" s="9">
        <v>3.5999999999999997E-2</v>
      </c>
    </row>
    <row r="7" spans="1:5" x14ac:dyDescent="0.2">
      <c r="A7" s="6">
        <v>3</v>
      </c>
      <c r="B7" s="6" t="s">
        <v>223</v>
      </c>
      <c r="C7" s="7">
        <v>1518566</v>
      </c>
      <c r="D7" s="7">
        <v>27180</v>
      </c>
      <c r="E7" s="9">
        <v>1.7999999999999999E-2</v>
      </c>
    </row>
    <row r="8" spans="1:5" x14ac:dyDescent="0.2">
      <c r="A8" s="6">
        <v>4</v>
      </c>
      <c r="B8" s="6" t="s">
        <v>224</v>
      </c>
      <c r="C8" s="7">
        <v>1517087</v>
      </c>
      <c r="D8" s="7">
        <v>44776</v>
      </c>
      <c r="E8" s="9">
        <v>0.03</v>
      </c>
    </row>
    <row r="9" spans="1:5" x14ac:dyDescent="0.2">
      <c r="A9" s="6">
        <v>5</v>
      </c>
      <c r="B9" s="6" t="s">
        <v>225</v>
      </c>
      <c r="C9" s="7">
        <v>1349758</v>
      </c>
      <c r="D9" s="7">
        <v>11918</v>
      </c>
      <c r="E9" s="9">
        <v>9.0000000000000011E-3</v>
      </c>
    </row>
    <row r="10" spans="1:5" x14ac:dyDescent="0.2">
      <c r="A10" s="6">
        <v>6</v>
      </c>
      <c r="B10" s="6" t="s">
        <v>226</v>
      </c>
      <c r="C10" s="7">
        <v>804129</v>
      </c>
      <c r="D10" s="7">
        <v>11364</v>
      </c>
      <c r="E10" s="9">
        <v>1.4E-2</v>
      </c>
    </row>
    <row r="11" spans="1:5" x14ac:dyDescent="0.2">
      <c r="A11" s="6">
        <v>7</v>
      </c>
      <c r="B11" s="6" t="s">
        <v>227</v>
      </c>
      <c r="C11" s="7">
        <v>793149</v>
      </c>
      <c r="D11" s="7">
        <v>27781</v>
      </c>
      <c r="E11" s="9">
        <v>3.5999999999999997E-2</v>
      </c>
    </row>
    <row r="12" spans="1:5" x14ac:dyDescent="0.2">
      <c r="A12" s="21">
        <v>8</v>
      </c>
      <c r="B12" s="21" t="s">
        <v>228</v>
      </c>
      <c r="C12" s="22">
        <v>686708</v>
      </c>
      <c r="D12" s="22">
        <v>4582</v>
      </c>
      <c r="E12" s="26">
        <v>6.9999999999999993E-3</v>
      </c>
    </row>
    <row r="13" spans="1:5" x14ac:dyDescent="0.2">
      <c r="A13" s="6">
        <v>9</v>
      </c>
      <c r="B13" s="6" t="s">
        <v>229</v>
      </c>
      <c r="C13" s="7">
        <v>657994</v>
      </c>
      <c r="D13" s="7">
        <v>-4932</v>
      </c>
      <c r="E13" s="9">
        <v>-6.9999999999999993E-3</v>
      </c>
    </row>
    <row r="14" spans="1:5" x14ac:dyDescent="0.2">
      <c r="A14" s="6">
        <v>10</v>
      </c>
      <c r="B14" s="6" t="s">
        <v>230</v>
      </c>
      <c r="C14" s="7">
        <v>626161</v>
      </c>
      <c r="D14" s="7">
        <v>19844</v>
      </c>
      <c r="E14" s="9">
        <v>3.3000000000000002E-2</v>
      </c>
    </row>
    <row r="15" spans="1:5" x14ac:dyDescent="0.2">
      <c r="A15" s="6">
        <v>11</v>
      </c>
      <c r="B15" s="6" t="s">
        <v>231</v>
      </c>
      <c r="C15" s="7">
        <v>602724</v>
      </c>
      <c r="D15" s="7">
        <v>14286</v>
      </c>
      <c r="E15" s="9">
        <v>2.4E-2</v>
      </c>
    </row>
    <row r="16" spans="1:5" x14ac:dyDescent="0.2">
      <c r="A16" s="6">
        <v>12</v>
      </c>
      <c r="B16" s="6" t="s">
        <v>232</v>
      </c>
      <c r="C16" s="7">
        <v>542063</v>
      </c>
      <c r="D16" s="7">
        <v>14763</v>
      </c>
      <c r="E16" s="9">
        <v>2.8000000000000001E-2</v>
      </c>
    </row>
    <row r="17" spans="1:5" x14ac:dyDescent="0.2">
      <c r="A17" s="6">
        <v>13</v>
      </c>
      <c r="B17" s="6" t="s">
        <v>233</v>
      </c>
      <c r="C17" s="7">
        <v>518380</v>
      </c>
      <c r="D17" s="7">
        <v>3069</v>
      </c>
      <c r="E17" s="9">
        <v>6.0000000000000001E-3</v>
      </c>
    </row>
    <row r="18" spans="1:5" x14ac:dyDescent="0.2">
      <c r="A18" s="6">
        <v>14</v>
      </c>
      <c r="B18" s="6" t="s">
        <v>234</v>
      </c>
      <c r="C18" s="7">
        <v>512126</v>
      </c>
      <c r="D18" s="7">
        <v>-12215</v>
      </c>
      <c r="E18" s="9">
        <v>-2.3E-2</v>
      </c>
    </row>
    <row r="19" spans="1:5" x14ac:dyDescent="0.2">
      <c r="A19" s="6">
        <v>15</v>
      </c>
      <c r="B19" s="6" t="s">
        <v>235</v>
      </c>
      <c r="C19" s="7">
        <v>464148</v>
      </c>
      <c r="D19" s="7">
        <v>27800</v>
      </c>
      <c r="E19" s="9">
        <v>6.4000000000000001E-2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tabSelected="1" workbookViewId="0">
      <selection activeCell="N10" sqref="N10"/>
    </sheetView>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236</v>
      </c>
    </row>
    <row r="2" spans="1:4" x14ac:dyDescent="0.2">
      <c r="A2" s="2" t="s">
        <v>237</v>
      </c>
    </row>
    <row r="4" spans="1:4" ht="30" customHeight="1" x14ac:dyDescent="0.2">
      <c r="A4" s="5" t="s">
        <v>98</v>
      </c>
      <c r="B4" s="5" t="s">
        <v>105</v>
      </c>
      <c r="C4" s="5" t="s">
        <v>99</v>
      </c>
      <c r="D4" s="5" t="s">
        <v>238</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239</v>
      </c>
    </row>
    <row r="2" spans="1:7" x14ac:dyDescent="0.2">
      <c r="A2" s="2" t="s">
        <v>240</v>
      </c>
    </row>
    <row r="4" spans="1:7" x14ac:dyDescent="0.2">
      <c r="A4" s="19" t="s">
        <v>241</v>
      </c>
    </row>
    <row r="5" spans="1:7" ht="30" customHeight="1" x14ac:dyDescent="0.2">
      <c r="A5" s="5" t="s">
        <v>111</v>
      </c>
      <c r="B5" s="5" t="s">
        <v>242</v>
      </c>
      <c r="C5" s="5" t="s">
        <v>160</v>
      </c>
      <c r="D5" s="5" t="s">
        <v>103</v>
      </c>
      <c r="E5" s="5" t="s">
        <v>104</v>
      </c>
      <c r="F5" s="5" t="s">
        <v>243</v>
      </c>
      <c r="G5" s="5" t="s">
        <v>244</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245</v>
      </c>
    </row>
    <row r="20" spans="1:8" ht="30" customHeight="1" x14ac:dyDescent="0.2">
      <c r="A20" s="5" t="s">
        <v>126</v>
      </c>
      <c r="B20" s="5" t="s">
        <v>127</v>
      </c>
      <c r="C20" s="5" t="s">
        <v>133</v>
      </c>
      <c r="D20" s="5" t="s">
        <v>134</v>
      </c>
      <c r="E20" s="5" t="s">
        <v>246</v>
      </c>
      <c r="F20" s="5" t="s">
        <v>102</v>
      </c>
      <c r="G20" s="5" t="s">
        <v>247</v>
      </c>
      <c r="H20" s="5" t="s">
        <v>248</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7">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7">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7">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7">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7">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7">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7">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7">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7">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7">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7">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7">
        <f>D32-'01_Timeseries'!$B$14/83577140*1000</f>
        <v>-7.3078806026221841</v>
      </c>
    </row>
    <row r="35" spans="1:2" x14ac:dyDescent="0.2">
      <c r="A35" s="19" t="s">
        <v>249</v>
      </c>
    </row>
    <row r="36" spans="1:2" x14ac:dyDescent="0.2">
      <c r="A36" s="2" t="s">
        <v>250</v>
      </c>
    </row>
    <row r="37" spans="1:2" ht="28" customHeight="1" x14ac:dyDescent="0.2">
      <c r="A37" s="5" t="s">
        <v>111</v>
      </c>
      <c r="B37" s="5" t="s">
        <v>251</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252</v>
      </c>
    </row>
    <row r="52" spans="1:2" x14ac:dyDescent="0.2">
      <c r="A52" s="12" t="s">
        <v>127</v>
      </c>
      <c r="B52" s="14">
        <f>'01_Timeseries'!B14</f>
        <v>695617</v>
      </c>
    </row>
    <row r="53" spans="1:2" x14ac:dyDescent="0.2">
      <c r="A53" s="12" t="s">
        <v>253</v>
      </c>
      <c r="B53" s="29">
        <f>'01_Timeseries'!F14</f>
        <v>8909</v>
      </c>
    </row>
    <row r="54" spans="1:2" x14ac:dyDescent="0.2">
      <c r="A54" s="12" t="s">
        <v>254</v>
      </c>
      <c r="B54" s="16">
        <f>'01_Timeseries'!G14</f>
        <v>1.297349091608078E-2</v>
      </c>
    </row>
    <row r="55" spans="1:2" x14ac:dyDescent="0.2">
      <c r="A55" s="12" t="s">
        <v>255</v>
      </c>
      <c r="B55" s="16">
        <f>'01_Timeseries'!B14/'01_Timeseries'!B5-1</f>
        <v>8.1564716601519427E-2</v>
      </c>
    </row>
    <row r="56" spans="1:2" x14ac:dyDescent="0.2">
      <c r="A56" s="12" t="s">
        <v>256</v>
      </c>
      <c r="B56" s="17">
        <f>'01_Timeseries'!E14</f>
        <v>0.34725287047326331</v>
      </c>
    </row>
    <row r="57" spans="1:2" x14ac:dyDescent="0.2">
      <c r="A57" s="12" t="s">
        <v>257</v>
      </c>
      <c r="B57" s="30">
        <f>('01_Timeseries'!E14-'01_Timeseries'!E5)*100</f>
        <v>-2.0630293539312117</v>
      </c>
    </row>
    <row r="58" spans="1:2" x14ac:dyDescent="0.2">
      <c r="A58" s="12" t="s">
        <v>258</v>
      </c>
      <c r="B58" s="17">
        <f>'02_Age_Gender'!AE16/'01_Timeseries'!B14</f>
        <v>0.4401171909254662</v>
      </c>
    </row>
    <row r="59" spans="1:2" x14ac:dyDescent="0.2">
      <c r="A59" s="12" t="s">
        <v>259</v>
      </c>
      <c r="B59" s="17">
        <f>SUM('02_Age_Gender'!AE6:AE8)/'01_Timeseries'!B14</f>
        <v>6.1525235869738661E-2</v>
      </c>
    </row>
    <row r="60" spans="1:2" x14ac:dyDescent="0.2">
      <c r="A60" s="12" t="s">
        <v>260</v>
      </c>
      <c r="B60" s="16">
        <f>SUM('02_Age_Gender'!AE6:AE8)/SUM('02_Age_Gender'!D6:D8)-1</f>
        <v>-2.6278069756330624E-2</v>
      </c>
    </row>
    <row r="61" spans="1:2" x14ac:dyDescent="0.2">
      <c r="A61" s="12" t="s">
        <v>261</v>
      </c>
      <c r="B61" s="14">
        <f>'01_Timeseries'!I14</f>
        <v>721</v>
      </c>
    </row>
    <row r="62" spans="1:2" x14ac:dyDescent="0.2">
      <c r="A62" s="12" t="s">
        <v>262</v>
      </c>
      <c r="B62" s="25">
        <f>'01_Timeseries'!B14/83577140*1000</f>
        <v>8.3230534091020587</v>
      </c>
    </row>
    <row r="63" spans="1:2" x14ac:dyDescent="0.2">
      <c r="A63" s="12" t="s">
        <v>263</v>
      </c>
      <c r="B63" s="25">
        <f>'04_Funnel'!B15</f>
        <v>9.8706896551724146</v>
      </c>
    </row>
    <row r="64" spans="1:2" x14ac:dyDescent="0.2">
      <c r="A64" s="12" t="s">
        <v>264</v>
      </c>
      <c r="B64" s="20">
        <f>'04_Funnel'!B19</f>
        <v>3.49</v>
      </c>
    </row>
    <row r="65" spans="1:2" x14ac:dyDescent="0.2">
      <c r="A65" s="12" t="s">
        <v>265</v>
      </c>
      <c r="B65" s="25">
        <f>'05_Europe'!H6</f>
        <v>53.307071937218645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50.33203125" customWidth="1"/>
  </cols>
  <sheetData>
    <row r="1" spans="1:6" ht="19" x14ac:dyDescent="0.25">
      <c r="A1" s="1" t="s">
        <v>266</v>
      </c>
    </row>
    <row r="2" spans="1:6" x14ac:dyDescent="0.2">
      <c r="A2" s="2" t="s">
        <v>267</v>
      </c>
    </row>
    <row r="4" spans="1:6" ht="30" customHeight="1" x14ac:dyDescent="0.2">
      <c r="A4" s="5" t="s">
        <v>268</v>
      </c>
      <c r="B4" s="5" t="s">
        <v>269</v>
      </c>
      <c r="C4" s="5" t="s">
        <v>270</v>
      </c>
      <c r="D4" s="5" t="s">
        <v>271</v>
      </c>
      <c r="E4" s="5" t="s">
        <v>272</v>
      </c>
      <c r="F4" s="5" t="s">
        <v>273</v>
      </c>
    </row>
    <row r="5" spans="1:6" ht="16" x14ac:dyDescent="0.2">
      <c r="A5" s="6" t="s">
        <v>274</v>
      </c>
      <c r="B5" s="31" t="s">
        <v>275</v>
      </c>
      <c r="C5" s="31" t="s">
        <v>275</v>
      </c>
      <c r="D5" s="32"/>
      <c r="E5" s="32"/>
      <c r="F5" s="12" t="s">
        <v>276</v>
      </c>
    </row>
    <row r="6" spans="1:6" ht="16" x14ac:dyDescent="0.2">
      <c r="A6" s="6" t="s">
        <v>277</v>
      </c>
      <c r="B6" s="31" t="s">
        <v>275</v>
      </c>
      <c r="C6" s="31" t="s">
        <v>275</v>
      </c>
      <c r="D6" s="32"/>
      <c r="E6" s="32"/>
      <c r="F6" s="12" t="s">
        <v>278</v>
      </c>
    </row>
    <row r="7" spans="1:6" ht="16" x14ac:dyDescent="0.2">
      <c r="A7" s="6" t="s">
        <v>279</v>
      </c>
      <c r="B7" s="31" t="s">
        <v>275</v>
      </c>
      <c r="C7" s="32"/>
      <c r="D7" s="32"/>
      <c r="E7" s="32"/>
      <c r="F7" s="12" t="s">
        <v>280</v>
      </c>
    </row>
    <row r="8" spans="1:6" ht="16" x14ac:dyDescent="0.2">
      <c r="A8" s="6" t="s">
        <v>281</v>
      </c>
      <c r="B8" s="31" t="s">
        <v>275</v>
      </c>
      <c r="C8" s="32"/>
      <c r="D8" s="32"/>
      <c r="E8" s="32"/>
      <c r="F8" s="12" t="s">
        <v>282</v>
      </c>
    </row>
    <row r="9" spans="1:6" ht="16" x14ac:dyDescent="0.2">
      <c r="A9" s="6" t="s">
        <v>283</v>
      </c>
      <c r="B9" s="31" t="s">
        <v>275</v>
      </c>
      <c r="C9" s="31" t="s">
        <v>275</v>
      </c>
      <c r="D9" s="31" t="s">
        <v>275</v>
      </c>
      <c r="E9" s="31" t="s">
        <v>275</v>
      </c>
      <c r="F9" s="12" t="s">
        <v>284</v>
      </c>
    </row>
    <row r="10" spans="1:6" ht="16" x14ac:dyDescent="0.2">
      <c r="A10" s="6" t="s">
        <v>285</v>
      </c>
      <c r="B10" s="31" t="s">
        <v>275</v>
      </c>
      <c r="C10" s="31" t="s">
        <v>275</v>
      </c>
      <c r="D10" s="31" t="s">
        <v>275</v>
      </c>
      <c r="E10" s="31" t="s">
        <v>275</v>
      </c>
      <c r="F10" s="12" t="s">
        <v>286</v>
      </c>
    </row>
    <row r="11" spans="1:6" ht="16" x14ac:dyDescent="0.2">
      <c r="A11" s="6" t="s">
        <v>287</v>
      </c>
      <c r="B11" s="31" t="s">
        <v>275</v>
      </c>
      <c r="C11" s="32"/>
      <c r="D11" s="32"/>
      <c r="E11" s="32"/>
      <c r="F11" s="12" t="s">
        <v>288</v>
      </c>
    </row>
    <row r="12" spans="1:6" ht="16" x14ac:dyDescent="0.2">
      <c r="A12" s="6" t="s">
        <v>289</v>
      </c>
      <c r="B12" s="32"/>
      <c r="C12" s="31" t="s">
        <v>275</v>
      </c>
      <c r="D12" s="32"/>
      <c r="E12" s="32"/>
      <c r="F12" s="12" t="s">
        <v>290</v>
      </c>
    </row>
    <row r="13" spans="1:6" ht="16" x14ac:dyDescent="0.2">
      <c r="A13" s="6" t="s">
        <v>291</v>
      </c>
      <c r="B13" s="32"/>
      <c r="C13" s="32"/>
      <c r="D13" s="31" t="s">
        <v>275</v>
      </c>
      <c r="E13" s="31" t="s">
        <v>275</v>
      </c>
      <c r="F13" s="12" t="s">
        <v>292</v>
      </c>
    </row>
    <row r="14" spans="1:6" ht="16" x14ac:dyDescent="0.2">
      <c r="A14" s="6" t="s">
        <v>293</v>
      </c>
      <c r="B14" s="32"/>
      <c r="C14" s="32"/>
      <c r="D14" s="31" t="s">
        <v>275</v>
      </c>
      <c r="E14" s="31" t="s">
        <v>275</v>
      </c>
      <c r="F14" s="12" t="s">
        <v>294</v>
      </c>
    </row>
    <row r="15" spans="1:6" ht="16" x14ac:dyDescent="0.2">
      <c r="A15" s="6" t="s">
        <v>295</v>
      </c>
      <c r="B15" s="32"/>
      <c r="C15" s="32"/>
      <c r="D15" s="31" t="s">
        <v>275</v>
      </c>
      <c r="E15" s="32"/>
      <c r="F15" s="12" t="s">
        <v>296</v>
      </c>
    </row>
    <row r="16" spans="1:6" ht="16" x14ac:dyDescent="0.2">
      <c r="A16" s="6" t="s">
        <v>297</v>
      </c>
      <c r="B16" s="32"/>
      <c r="C16" s="32"/>
      <c r="D16" s="31" t="s">
        <v>275</v>
      </c>
      <c r="E16" s="32"/>
      <c r="F16" s="12" t="s">
        <v>298</v>
      </c>
    </row>
    <row r="17" spans="1:6" ht="16" x14ac:dyDescent="0.2">
      <c r="A17" s="6" t="s">
        <v>299</v>
      </c>
      <c r="B17" s="32"/>
      <c r="C17" s="32"/>
      <c r="D17" s="31" t="s">
        <v>275</v>
      </c>
      <c r="E17" s="32"/>
      <c r="F17" s="12" t="s">
        <v>300</v>
      </c>
    </row>
    <row r="18" spans="1:6" ht="16" x14ac:dyDescent="0.2">
      <c r="A18" s="6" t="s">
        <v>301</v>
      </c>
      <c r="B18" s="32"/>
      <c r="C18" s="31" t="s">
        <v>275</v>
      </c>
      <c r="D18" s="32"/>
      <c r="E18" s="32"/>
      <c r="F18" s="12" t="s">
        <v>302</v>
      </c>
    </row>
    <row r="19" spans="1:6" ht="16" x14ac:dyDescent="0.2">
      <c r="A19" s="6" t="s">
        <v>303</v>
      </c>
      <c r="B19" s="32"/>
      <c r="C19" s="31" t="s">
        <v>275</v>
      </c>
      <c r="D19" s="32"/>
      <c r="E19" s="32"/>
      <c r="F19" s="12" t="s">
        <v>304</v>
      </c>
    </row>
    <row r="20" spans="1:6" ht="16" x14ac:dyDescent="0.2">
      <c r="A20" s="6" t="s">
        <v>305</v>
      </c>
      <c r="B20" s="31" t="s">
        <v>275</v>
      </c>
      <c r="C20" s="32"/>
      <c r="D20" s="32"/>
      <c r="E20" s="31" t="s">
        <v>275</v>
      </c>
      <c r="F20" s="12" t="s">
        <v>306</v>
      </c>
    </row>
    <row r="21" spans="1:6" x14ac:dyDescent="0.2">
      <c r="A21" s="6" t="s">
        <v>307</v>
      </c>
      <c r="B21" s="32"/>
      <c r="C21" s="32"/>
      <c r="D21" s="32"/>
      <c r="E21" s="32"/>
      <c r="F21" s="12" t="s">
        <v>308</v>
      </c>
    </row>
    <row r="23" spans="1:6" x14ac:dyDescent="0.2">
      <c r="A23" s="19" t="s">
        <v>309</v>
      </c>
    </row>
    <row r="24" spans="1:6" ht="30" customHeight="1" x14ac:dyDescent="0.2">
      <c r="A24" s="5" t="s">
        <v>310</v>
      </c>
      <c r="B24" s="5" t="s">
        <v>311</v>
      </c>
      <c r="C24" s="5" t="s">
        <v>312</v>
      </c>
    </row>
    <row r="25" spans="1:6" x14ac:dyDescent="0.2">
      <c r="A25" s="33" t="s">
        <v>313</v>
      </c>
      <c r="B25" s="12" t="s">
        <v>314</v>
      </c>
      <c r="C25" s="12" t="s">
        <v>315</v>
      </c>
    </row>
    <row r="26" spans="1:6" x14ac:dyDescent="0.2">
      <c r="A26" s="33" t="s">
        <v>316</v>
      </c>
      <c r="B26" s="12" t="s">
        <v>317</v>
      </c>
      <c r="C26" s="12" t="s">
        <v>318</v>
      </c>
    </row>
    <row r="27" spans="1:6" x14ac:dyDescent="0.2">
      <c r="A27" s="33" t="s">
        <v>319</v>
      </c>
      <c r="B27" s="12" t="s">
        <v>320</v>
      </c>
      <c r="C27" s="12" t="s">
        <v>321</v>
      </c>
    </row>
    <row r="28" spans="1:6" x14ac:dyDescent="0.2">
      <c r="A28" s="33" t="s">
        <v>322</v>
      </c>
      <c r="B28" s="12" t="s">
        <v>323</v>
      </c>
      <c r="C28" s="12" t="s">
        <v>324</v>
      </c>
    </row>
    <row r="29" spans="1:6" x14ac:dyDescent="0.2">
      <c r="A29" s="33" t="s">
        <v>325</v>
      </c>
      <c r="B29" s="12" t="s">
        <v>326</v>
      </c>
      <c r="C29" s="12" t="s">
        <v>327</v>
      </c>
    </row>
    <row r="31" spans="1:6" x14ac:dyDescent="0.2">
      <c r="A31" s="2" t="s">
        <v>328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329</v>
      </c>
    </row>
    <row r="2" spans="1:5" x14ac:dyDescent="0.2">
      <c r="A2" s="2" t="s">
        <v>330</v>
      </c>
    </row>
    <row r="4" spans="1:5" x14ac:dyDescent="0.2">
      <c r="A4" s="19" t="s">
        <v>331</v>
      </c>
    </row>
    <row r="5" spans="1:5" ht="30" customHeight="1" x14ac:dyDescent="0.2">
      <c r="A5" s="5" t="s">
        <v>332</v>
      </c>
      <c r="B5" s="5" t="s">
        <v>333</v>
      </c>
      <c r="C5" s="5" t="s">
        <v>334</v>
      </c>
      <c r="D5" s="5" t="s">
        <v>335</v>
      </c>
      <c r="E5" s="5" t="s">
        <v>336</v>
      </c>
    </row>
    <row r="6" spans="1:5" ht="46" customHeight="1" x14ac:dyDescent="0.2">
      <c r="A6" s="32">
        <v>1</v>
      </c>
      <c r="B6" s="12" t="s">
        <v>337</v>
      </c>
      <c r="C6" s="12" t="s">
        <v>338</v>
      </c>
      <c r="D6" s="12" t="s">
        <v>339</v>
      </c>
      <c r="E6" s="34" t="s">
        <v>340</v>
      </c>
    </row>
    <row r="7" spans="1:5" ht="46" customHeight="1" x14ac:dyDescent="0.2">
      <c r="A7" s="32">
        <v>2</v>
      </c>
      <c r="B7" s="12" t="s">
        <v>341</v>
      </c>
      <c r="C7" s="12" t="s">
        <v>271</v>
      </c>
      <c r="D7" s="12" t="s">
        <v>342</v>
      </c>
      <c r="E7" s="34" t="s">
        <v>343</v>
      </c>
    </row>
    <row r="8" spans="1:5" ht="46" customHeight="1" x14ac:dyDescent="0.2">
      <c r="A8" s="32">
        <v>3</v>
      </c>
      <c r="B8" s="12" t="s">
        <v>344</v>
      </c>
      <c r="C8" s="12" t="s">
        <v>271</v>
      </c>
      <c r="D8" s="12" t="s">
        <v>345</v>
      </c>
      <c r="E8" s="34" t="s">
        <v>346</v>
      </c>
    </row>
    <row r="9" spans="1:5" ht="46" customHeight="1" x14ac:dyDescent="0.2">
      <c r="A9" s="32">
        <v>4</v>
      </c>
      <c r="B9" s="12" t="s">
        <v>347</v>
      </c>
      <c r="C9" s="12" t="s">
        <v>348</v>
      </c>
      <c r="D9" s="12" t="s">
        <v>349</v>
      </c>
      <c r="E9" s="34" t="s">
        <v>350</v>
      </c>
    </row>
    <row r="10" spans="1:5" ht="46" customHeight="1" x14ac:dyDescent="0.2">
      <c r="A10" s="32">
        <v>5</v>
      </c>
      <c r="B10" s="12" t="s">
        <v>351</v>
      </c>
      <c r="C10" s="12" t="s">
        <v>272</v>
      </c>
      <c r="D10" s="12" t="s">
        <v>352</v>
      </c>
      <c r="E10" s="34" t="s">
        <v>353</v>
      </c>
    </row>
    <row r="11" spans="1:5" ht="46" customHeight="1" x14ac:dyDescent="0.2">
      <c r="A11" s="32">
        <v>6</v>
      </c>
      <c r="B11" s="12" t="s">
        <v>354</v>
      </c>
      <c r="C11" s="12" t="s">
        <v>272</v>
      </c>
      <c r="D11" s="12" t="s">
        <v>352</v>
      </c>
      <c r="E11" s="34" t="s">
        <v>355</v>
      </c>
    </row>
    <row r="13" spans="1:5" x14ac:dyDescent="0.2">
      <c r="A13" s="19" t="s">
        <v>356</v>
      </c>
    </row>
    <row r="14" spans="1:5" ht="30" customHeight="1" x14ac:dyDescent="0.2">
      <c r="A14" s="5"/>
      <c r="B14" s="5" t="s">
        <v>357</v>
      </c>
      <c r="C14" s="5" t="s">
        <v>358</v>
      </c>
      <c r="D14" s="5"/>
      <c r="E14" s="5" t="s">
        <v>359</v>
      </c>
    </row>
    <row r="15" spans="1:5" ht="34" customHeight="1" x14ac:dyDescent="0.2">
      <c r="B15" s="33" t="s">
        <v>360</v>
      </c>
      <c r="C15" s="35" t="s">
        <v>361</v>
      </c>
      <c r="D15" s="6"/>
      <c r="E15" s="34" t="s">
        <v>362</v>
      </c>
    </row>
    <row r="16" spans="1:5" ht="34" customHeight="1" x14ac:dyDescent="0.2">
      <c r="B16" s="33" t="s">
        <v>363</v>
      </c>
      <c r="C16" s="35" t="s">
        <v>361</v>
      </c>
      <c r="D16" s="6"/>
      <c r="E16" s="34" t="s">
        <v>364</v>
      </c>
    </row>
    <row r="17" spans="2:5" ht="34" customHeight="1" x14ac:dyDescent="0.2">
      <c r="B17" s="33" t="s">
        <v>365</v>
      </c>
      <c r="C17" s="35" t="s">
        <v>361</v>
      </c>
      <c r="D17" s="6"/>
      <c r="E17" s="34" t="s">
        <v>366</v>
      </c>
    </row>
    <row r="18" spans="2:5" ht="34" customHeight="1" x14ac:dyDescent="0.2">
      <c r="B18" s="33" t="s">
        <v>367</v>
      </c>
      <c r="C18" s="35" t="s">
        <v>361</v>
      </c>
      <c r="D18" s="6"/>
      <c r="E18" s="34" t="s">
        <v>368</v>
      </c>
    </row>
    <row r="19" spans="2:5" ht="34" customHeight="1" x14ac:dyDescent="0.2">
      <c r="B19" s="33" t="s">
        <v>369</v>
      </c>
      <c r="C19" s="35" t="s">
        <v>361</v>
      </c>
      <c r="D19" s="6"/>
      <c r="E19" s="34" t="s">
        <v>370</v>
      </c>
    </row>
    <row r="20" spans="2:5" ht="34" customHeight="1" x14ac:dyDescent="0.2">
      <c r="B20" s="33" t="s">
        <v>371</v>
      </c>
      <c r="C20" s="35" t="s">
        <v>361</v>
      </c>
      <c r="D20" s="6"/>
      <c r="E20" s="34" t="s">
        <v>372</v>
      </c>
    </row>
    <row r="21" spans="2:5" ht="34" customHeight="1" x14ac:dyDescent="0.2">
      <c r="B21" s="33" t="s">
        <v>373</v>
      </c>
      <c r="C21" s="35" t="s">
        <v>361</v>
      </c>
      <c r="D21" s="6"/>
      <c r="E21" s="34" t="s">
        <v>374</v>
      </c>
    </row>
    <row r="22" spans="2:5" ht="34" customHeight="1" x14ac:dyDescent="0.2">
      <c r="B22" s="33" t="s">
        <v>375</v>
      </c>
      <c r="C22" s="35" t="s">
        <v>361</v>
      </c>
      <c r="D22" s="6"/>
      <c r="E22" s="34" t="s">
        <v>376</v>
      </c>
    </row>
    <row r="23" spans="2:5" ht="34" customHeight="1" x14ac:dyDescent="0.2">
      <c r="B23" s="33" t="s">
        <v>377</v>
      </c>
      <c r="C23" s="35" t="s">
        <v>361</v>
      </c>
      <c r="D23" s="6"/>
      <c r="E23" s="34" t="s">
        <v>378</v>
      </c>
    </row>
    <row r="24" spans="2:5" ht="34" customHeight="1" x14ac:dyDescent="0.2">
      <c r="B24" s="33" t="s">
        <v>379</v>
      </c>
      <c r="C24" s="35" t="s">
        <v>361</v>
      </c>
      <c r="D24" s="6"/>
      <c r="E24" s="34" t="s">
        <v>380</v>
      </c>
    </row>
    <row r="25" spans="2:5" ht="34" customHeight="1" x14ac:dyDescent="0.2">
      <c r="B25" s="33" t="s">
        <v>381</v>
      </c>
      <c r="C25" s="35" t="s">
        <v>361</v>
      </c>
      <c r="D25" s="6"/>
      <c r="E25" s="34" t="s">
        <v>382</v>
      </c>
    </row>
    <row r="26" spans="2:5" ht="34" customHeight="1" x14ac:dyDescent="0.2">
      <c r="B26" s="33" t="s">
        <v>383</v>
      </c>
      <c r="C26" s="35" t="s">
        <v>384</v>
      </c>
      <c r="D26" s="6"/>
      <c r="E26" s="34" t="s">
        <v>385</v>
      </c>
    </row>
    <row r="27" spans="2:5" ht="34" customHeight="1" x14ac:dyDescent="0.2">
      <c r="B27" s="33" t="s">
        <v>386</v>
      </c>
      <c r="C27" s="35" t="s">
        <v>384</v>
      </c>
      <c r="D27" s="6"/>
      <c r="E27" s="34" t="s">
        <v>387</v>
      </c>
    </row>
    <row r="28" spans="2:5" ht="34" customHeight="1" x14ac:dyDescent="0.2">
      <c r="B28" s="33" t="s">
        <v>388</v>
      </c>
      <c r="C28" s="35" t="s">
        <v>384</v>
      </c>
      <c r="D28" s="6"/>
      <c r="E28" s="34" t="s">
        <v>389</v>
      </c>
    </row>
    <row r="29" spans="2:5" ht="34" customHeight="1" x14ac:dyDescent="0.2">
      <c r="B29" s="33" t="s">
        <v>390</v>
      </c>
      <c r="C29" s="35" t="s">
        <v>384</v>
      </c>
      <c r="D29" s="6"/>
      <c r="E29" s="34" t="s">
        <v>391</v>
      </c>
    </row>
    <row r="30" spans="2:5" ht="34" customHeight="1" x14ac:dyDescent="0.2">
      <c r="B30" s="33" t="s">
        <v>392</v>
      </c>
      <c r="C30" s="35" t="s">
        <v>384</v>
      </c>
      <c r="D30" s="6"/>
      <c r="E30" s="34" t="s">
        <v>393</v>
      </c>
    </row>
    <row r="31" spans="2:5" ht="34" customHeight="1" x14ac:dyDescent="0.2">
      <c r="B31" s="33" t="s">
        <v>394</v>
      </c>
      <c r="C31" s="35" t="s">
        <v>384</v>
      </c>
      <c r="D31" s="6"/>
      <c r="E31" s="34" t="s">
        <v>395</v>
      </c>
    </row>
    <row r="33" spans="1:5" x14ac:dyDescent="0.2">
      <c r="A33" s="19" t="s">
        <v>396</v>
      </c>
    </row>
    <row r="34" spans="1:5" ht="34" customHeight="1" x14ac:dyDescent="0.2">
      <c r="B34" s="33" t="s">
        <v>397</v>
      </c>
      <c r="C34" s="6"/>
      <c r="D34" s="6"/>
      <c r="E34" s="34" t="s">
        <v>398</v>
      </c>
    </row>
    <row r="35" spans="1:5" ht="34" customHeight="1" x14ac:dyDescent="0.2">
      <c r="B35" s="33" t="s">
        <v>399</v>
      </c>
      <c r="C35" s="6"/>
      <c r="D35" s="6"/>
      <c r="E35" s="34" t="s">
        <v>400</v>
      </c>
    </row>
    <row r="36" spans="1:5" ht="34" customHeight="1" x14ac:dyDescent="0.2">
      <c r="B36" s="33" t="s">
        <v>401</v>
      </c>
      <c r="C36" s="6"/>
      <c r="D36" s="6"/>
      <c r="E36" s="34" t="s">
        <v>402</v>
      </c>
    </row>
    <row r="37" spans="1:5" ht="34" customHeight="1" x14ac:dyDescent="0.2">
      <c r="B37" s="33" t="s">
        <v>403</v>
      </c>
      <c r="C37" s="6"/>
      <c r="D37" s="6"/>
      <c r="E37" s="34" t="s">
        <v>404</v>
      </c>
    </row>
    <row r="38" spans="1:5" ht="34" customHeight="1" x14ac:dyDescent="0.2">
      <c r="B38" s="33" t="s">
        <v>405</v>
      </c>
      <c r="C38" s="6"/>
      <c r="D38" s="6"/>
      <c r="E38" s="34" t="s">
        <v>406</v>
      </c>
    </row>
    <row r="39" spans="1:5" ht="34" customHeight="1" x14ac:dyDescent="0.2">
      <c r="B39" s="33" t="s">
        <v>407</v>
      </c>
      <c r="C39" s="6"/>
      <c r="D39" s="6"/>
      <c r="E39" s="34" t="s">
        <v>408</v>
      </c>
    </row>
    <row r="40" spans="1:5" ht="34" customHeight="1" x14ac:dyDescent="0.2">
      <c r="B40" s="33" t="s">
        <v>409</v>
      </c>
      <c r="C40" s="6"/>
      <c r="D40" s="6"/>
      <c r="E40" s="34" t="s">
        <v>410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topLeftCell="A44" zoomScale="75" zoomScaleNormal="183" workbookViewId="0">
      <selection activeCell="G74" sqref="G74"/>
    </sheetView>
  </sheetViews>
  <sheetFormatPr baseColWidth="10" defaultColWidth="8.83203125" defaultRowHeight="15" x14ac:dyDescent="0.2"/>
  <cols>
    <col min="1" max="1" width="2" customWidth="1"/>
    <col min="2" max="12" width="17" customWidth="1"/>
    <col min="13" max="13" width="2" customWidth="1"/>
  </cols>
  <sheetData>
    <row r="2" spans="2:13" x14ac:dyDescent="0.2">
      <c r="B2" s="50" t="s">
        <v>0</v>
      </c>
      <c r="C2" s="45"/>
      <c r="D2" s="45"/>
      <c r="E2" s="45"/>
      <c r="F2" s="45"/>
      <c r="G2" s="45"/>
      <c r="H2" s="45"/>
      <c r="I2" s="45"/>
      <c r="J2" s="45"/>
      <c r="K2" s="45"/>
      <c r="L2" s="45"/>
    </row>
    <row r="3" spans="2:13" x14ac:dyDescent="0.2">
      <c r="B3" s="45"/>
      <c r="C3" s="45"/>
      <c r="D3" s="45"/>
      <c r="E3" s="45"/>
      <c r="F3" s="45"/>
      <c r="G3" s="45"/>
      <c r="H3" s="45"/>
      <c r="I3" s="45"/>
      <c r="J3" s="45"/>
      <c r="K3" s="45"/>
      <c r="L3" s="45"/>
    </row>
    <row r="4" spans="2:13" x14ac:dyDescent="0.2">
      <c r="B4" s="43" t="s">
        <v>1</v>
      </c>
      <c r="C4" s="38"/>
      <c r="D4" s="38"/>
      <c r="E4" s="38"/>
      <c r="F4" s="38"/>
      <c r="G4" s="38"/>
      <c r="H4" s="38"/>
      <c r="I4" s="38"/>
      <c r="J4" s="38"/>
      <c r="K4" s="38"/>
      <c r="L4" s="38"/>
    </row>
    <row r="6" spans="2:13" ht="16" customHeight="1" x14ac:dyDescent="0.2">
      <c r="B6" s="44" t="s">
        <v>2</v>
      </c>
      <c r="C6" s="45"/>
      <c r="D6" s="44" t="s">
        <v>3</v>
      </c>
      <c r="E6" s="45"/>
      <c r="F6" s="46" t="s">
        <v>4</v>
      </c>
      <c r="G6" s="47"/>
      <c r="H6" s="46" t="s">
        <v>5</v>
      </c>
      <c r="I6" s="47"/>
      <c r="J6" s="46" t="s">
        <v>6</v>
      </c>
      <c r="K6" s="47"/>
      <c r="L6" s="48" t="s">
        <v>7</v>
      </c>
      <c r="M6" s="49"/>
    </row>
    <row r="7" spans="2:13" ht="22" customHeight="1" x14ac:dyDescent="0.2">
      <c r="B7" s="51">
        <f>'08_Metrics'!B52</f>
        <v>695617</v>
      </c>
      <c r="C7" s="41"/>
      <c r="D7" s="42">
        <f>'08_Metrics'!B55</f>
        <v>8.1564716601519427E-2</v>
      </c>
      <c r="E7" s="41"/>
      <c r="F7" s="40">
        <f>'08_Metrics'!B56</f>
        <v>0.34725287047326331</v>
      </c>
      <c r="G7" s="41"/>
      <c r="H7" s="40">
        <f>'08_Metrics'!B58</f>
        <v>0.4401171909254662</v>
      </c>
      <c r="I7" s="41"/>
      <c r="J7" s="42">
        <f>'08_Metrics'!B60</f>
        <v>-2.6278069756330624E-2</v>
      </c>
      <c r="K7" s="41"/>
      <c r="L7" s="52">
        <f>'08_Metrics'!B63</f>
        <v>9.8706896551724146</v>
      </c>
      <c r="M7" s="41"/>
    </row>
    <row r="8" spans="2:13" ht="22" customHeight="1" x14ac:dyDescent="0.2">
      <c r="B8" s="38"/>
      <c r="C8" s="38"/>
      <c r="D8" s="38"/>
      <c r="E8" s="38"/>
      <c r="F8" s="38"/>
      <c r="G8" s="38"/>
      <c r="H8" s="38"/>
      <c r="I8" s="38"/>
      <c r="J8" s="38"/>
      <c r="K8" s="38"/>
      <c r="L8" s="38"/>
      <c r="M8" s="38"/>
    </row>
    <row r="10" spans="2:13" x14ac:dyDescent="0.2">
      <c r="B10" s="36" t="s">
        <v>411</v>
      </c>
      <c r="H10" s="36" t="s">
        <v>8</v>
      </c>
    </row>
    <row r="28" spans="2:8" x14ac:dyDescent="0.2">
      <c r="B28" s="36" t="s">
        <v>9</v>
      </c>
      <c r="H28" s="36" t="s">
        <v>10</v>
      </c>
    </row>
    <row r="46" spans="2:8" x14ac:dyDescent="0.2">
      <c r="B46" s="36" t="s">
        <v>11</v>
      </c>
      <c r="H46" s="36" t="s">
        <v>12</v>
      </c>
    </row>
    <row r="66" spans="2:12" x14ac:dyDescent="0.2">
      <c r="B66" s="39"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2:L3"/>
    <mergeCell ref="F6:G6"/>
    <mergeCell ref="D7:E8"/>
    <mergeCell ref="B7:C8"/>
    <mergeCell ref="J6:K6"/>
    <mergeCell ref="L7:M8"/>
    <mergeCell ref="B66:L67"/>
    <mergeCell ref="H7:I8"/>
    <mergeCell ref="F7:G8"/>
    <mergeCell ref="J7:K8"/>
    <mergeCell ref="B4:L4"/>
    <mergeCell ref="B6:C6"/>
    <mergeCell ref="D6:E6"/>
    <mergeCell ref="H6:I6"/>
    <mergeCell ref="L6:M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00_README</vt:lpstr>
      <vt:lpstr>01_Timeseries</vt:lpstr>
      <vt:lpstr>02_Age_Gender</vt:lpstr>
      <vt:lpstr>03_States</vt:lpstr>
      <vt:lpstr>04_Funnel</vt:lpstr>
      <vt:lpstr>05_Europe</vt:lpstr>
      <vt:lpstr>06_Federations</vt:lpstr>
      <vt:lpstr>07_History</vt:lpstr>
      <vt:lpstr>08_Metrics</vt:lpstr>
      <vt:lpstr>09_Chart_Selection</vt:lpstr>
      <vt:lpstr>10_Design_Rationale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2026-09-24T12:13:45Z</dcterms:modified>
</cp:coreProperties>
</file>