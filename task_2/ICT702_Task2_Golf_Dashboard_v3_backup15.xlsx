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6F0119B1-E744-634A-BE45-F58D7770BE31}" xr6:coauthVersionLast="47" xr6:coauthVersionMax="47" xr10:uidLastSave="{00000000-0000-0000-0000-000000000000}"/>
  <bookViews>
    <workbookView xWindow="0" yWindow="660" windowWidth="29400" windowHeight="17180" activeTab="7" xr2:uid="{00000000-000D-0000-FFFF-FFFF00000000}"/>
  </bookViews>
  <sheets>
    <sheet name="00_README" sheetId="1" r:id="rId1"/>
    <sheet name="01_Timeseries" sheetId="2" r:id="rId2"/>
    <sheet name="02_Age_Gender" sheetId="3" r:id="rId3"/>
    <sheet name="03_States" sheetId="5" r:id="rId4"/>
    <sheet name="04_Funnel" sheetId="8" r:id="rId5"/>
    <sheet name="05_Europe" sheetId="9" r:id="rId6"/>
    <sheet name="06_Metrics" sheetId="12" r:id="rId7"/>
    <sheet name="20_Dashboard" sheetId="15" r:id="rId8"/>
  </sheets>
  <definedNames>
    <definedName name="_xlchart.v5.4" hidden="1">'03_States'!$A$31:$A$46</definedName>
    <definedName name="_xlchart.v5.5" hidden="1">'03_States'!$F$30</definedName>
    <definedName name="_xlchart.v5.6" hidden="1">'03_States'!$F$31:$F$46</definedName>
    <definedName name="_xlchart.v5.7" hidden="1">'06_Metrics'!$A$20</definedName>
    <definedName name="_xlchart.v6.0" hidden="1">'03_States'!$A$31:$A$46</definedName>
    <definedName name="_xlchart.v6.1" hidden="1">'03_States'!$F$30</definedName>
    <definedName name="_xlchart.v6.2" hidden="1">'03_States'!$F$31:$F$46</definedName>
    <definedName name="_xlchart.v6.3" hidden="1">'06_Metrics'!$A$20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2" i="5" l="1"/>
  <c r="C98" i="12"/>
  <c r="B98" i="12"/>
  <c r="C97" i="12"/>
  <c r="B97" i="12"/>
  <c r="C96" i="12"/>
  <c r="B96" i="12"/>
  <c r="C95" i="12"/>
  <c r="B95" i="12"/>
  <c r="C94" i="12"/>
  <c r="B94" i="12"/>
  <c r="C93" i="12"/>
  <c r="B93" i="12"/>
  <c r="C92" i="12"/>
  <c r="B92" i="12"/>
  <c r="C91" i="12"/>
  <c r="B91" i="12"/>
  <c r="C90" i="12"/>
  <c r="B90" i="12"/>
  <c r="C89" i="12"/>
  <c r="B89" i="12"/>
  <c r="C88" i="12"/>
  <c r="B88" i="12"/>
  <c r="C84" i="12"/>
  <c r="B84" i="12"/>
  <c r="C83" i="12"/>
  <c r="B83" i="12"/>
  <c r="C82" i="12"/>
  <c r="B82" i="12"/>
  <c r="C81" i="12"/>
  <c r="B81" i="12"/>
  <c r="B77" i="12"/>
  <c r="B76" i="12"/>
  <c r="B75" i="12"/>
  <c r="B74" i="12"/>
  <c r="B73" i="12"/>
  <c r="B72" i="12"/>
  <c r="B71" i="12"/>
  <c r="B70" i="12"/>
  <c r="B69" i="12"/>
  <c r="B68" i="12"/>
  <c r="B65" i="12"/>
  <c r="B64" i="12"/>
  <c r="B63" i="12"/>
  <c r="B62" i="12"/>
  <c r="B61" i="12"/>
  <c r="B60" i="12"/>
  <c r="B59" i="12"/>
  <c r="B58" i="12"/>
  <c r="B57" i="12"/>
  <c r="B56" i="12"/>
  <c r="B55" i="12"/>
  <c r="B54" i="12"/>
  <c r="B53" i="12"/>
  <c r="B52" i="12"/>
  <c r="B49" i="12"/>
  <c r="B48" i="12"/>
  <c r="B47" i="12"/>
  <c r="B46" i="12"/>
  <c r="B45" i="12"/>
  <c r="B44" i="12"/>
  <c r="B43" i="12"/>
  <c r="B42" i="12"/>
  <c r="B41" i="12"/>
  <c r="B40" i="12"/>
  <c r="B39" i="12"/>
  <c r="B38" i="12"/>
  <c r="H32" i="12"/>
  <c r="G32" i="12"/>
  <c r="F32" i="12"/>
  <c r="E32" i="12"/>
  <c r="D32" i="12"/>
  <c r="C32" i="12"/>
  <c r="B32" i="12"/>
  <c r="A32" i="12"/>
  <c r="H31" i="12"/>
  <c r="G31" i="12"/>
  <c r="F31" i="12"/>
  <c r="E31" i="12"/>
  <c r="D31" i="12"/>
  <c r="C31" i="12"/>
  <c r="B31" i="12"/>
  <c r="A31" i="12"/>
  <c r="H30" i="12"/>
  <c r="G30" i="12"/>
  <c r="F30" i="12"/>
  <c r="E30" i="12"/>
  <c r="D30" i="12"/>
  <c r="C30" i="12"/>
  <c r="B30" i="12"/>
  <c r="A30" i="12"/>
  <c r="H29" i="12"/>
  <c r="G29" i="12"/>
  <c r="F29" i="12"/>
  <c r="E29" i="12"/>
  <c r="D29" i="12"/>
  <c r="C29" i="12"/>
  <c r="B29" i="12"/>
  <c r="A29" i="12"/>
  <c r="H28" i="12"/>
  <c r="G28" i="12"/>
  <c r="F28" i="12"/>
  <c r="E28" i="12"/>
  <c r="D28" i="12"/>
  <c r="C28" i="12"/>
  <c r="B28" i="12"/>
  <c r="A28" i="12"/>
  <c r="H27" i="12"/>
  <c r="G27" i="12"/>
  <c r="F27" i="12"/>
  <c r="E27" i="12"/>
  <c r="D27" i="12"/>
  <c r="C27" i="12"/>
  <c r="B27" i="12"/>
  <c r="A27" i="12"/>
  <c r="H26" i="12"/>
  <c r="G26" i="12"/>
  <c r="F26" i="12"/>
  <c r="E26" i="12"/>
  <c r="D26" i="12"/>
  <c r="C26" i="12"/>
  <c r="B26" i="12"/>
  <c r="A26" i="12"/>
  <c r="H25" i="12"/>
  <c r="G25" i="12"/>
  <c r="F25" i="12"/>
  <c r="E25" i="12"/>
  <c r="D25" i="12"/>
  <c r="C25" i="12"/>
  <c r="B25" i="12"/>
  <c r="A25" i="12"/>
  <c r="H24" i="12"/>
  <c r="G24" i="12"/>
  <c r="F24" i="12"/>
  <c r="E24" i="12"/>
  <c r="D24" i="12"/>
  <c r="C24" i="12"/>
  <c r="B24" i="12"/>
  <c r="A24" i="12"/>
  <c r="H23" i="12"/>
  <c r="G23" i="12"/>
  <c r="F23" i="12"/>
  <c r="E23" i="12"/>
  <c r="D23" i="12"/>
  <c r="C23" i="12"/>
  <c r="B23" i="12"/>
  <c r="A23" i="12"/>
  <c r="H22" i="12"/>
  <c r="G22" i="12"/>
  <c r="F22" i="12"/>
  <c r="E22" i="12"/>
  <c r="D22" i="12"/>
  <c r="C22" i="12"/>
  <c r="B22" i="12"/>
  <c r="A22" i="12"/>
  <c r="H21" i="12"/>
  <c r="G21" i="12"/>
  <c r="F21" i="12"/>
  <c r="E21" i="12"/>
  <c r="D21" i="12"/>
  <c r="C21" i="12"/>
  <c r="B21" i="12"/>
  <c r="A21" i="12"/>
  <c r="G16" i="12"/>
  <c r="F16" i="12"/>
  <c r="E16" i="12"/>
  <c r="D16" i="12"/>
  <c r="C16" i="12"/>
  <c r="B16" i="12"/>
  <c r="G15" i="12"/>
  <c r="F15" i="12"/>
  <c r="E15" i="12"/>
  <c r="D15" i="12"/>
  <c r="C15" i="12"/>
  <c r="B15" i="12"/>
  <c r="G14" i="12"/>
  <c r="F14" i="12"/>
  <c r="E14" i="12"/>
  <c r="D14" i="12"/>
  <c r="C14" i="12"/>
  <c r="B14" i="12"/>
  <c r="G13" i="12"/>
  <c r="F13" i="12"/>
  <c r="E13" i="12"/>
  <c r="D13" i="12"/>
  <c r="C13" i="12"/>
  <c r="B13" i="12"/>
  <c r="G12" i="12"/>
  <c r="F12" i="12"/>
  <c r="E12" i="12"/>
  <c r="D12" i="12"/>
  <c r="C12" i="12"/>
  <c r="B12" i="12"/>
  <c r="G11" i="12"/>
  <c r="F11" i="12"/>
  <c r="E11" i="12"/>
  <c r="D11" i="12"/>
  <c r="C11" i="12"/>
  <c r="B11" i="12"/>
  <c r="G10" i="12"/>
  <c r="F10" i="12"/>
  <c r="E10" i="12"/>
  <c r="D10" i="12"/>
  <c r="C10" i="12"/>
  <c r="B10" i="12"/>
  <c r="G9" i="12"/>
  <c r="F9" i="12"/>
  <c r="E9" i="12"/>
  <c r="D9" i="12"/>
  <c r="C9" i="12"/>
  <c r="B9" i="12"/>
  <c r="G8" i="12"/>
  <c r="F8" i="12"/>
  <c r="E8" i="12"/>
  <c r="D8" i="12"/>
  <c r="C8" i="12"/>
  <c r="B8" i="12"/>
  <c r="G7" i="12"/>
  <c r="F7" i="12"/>
  <c r="E7" i="12"/>
  <c r="D7" i="12"/>
  <c r="C7" i="12"/>
  <c r="B7" i="12"/>
  <c r="G6" i="12"/>
  <c r="F6" i="12"/>
  <c r="E6" i="12"/>
  <c r="D6" i="12"/>
  <c r="C6" i="12"/>
  <c r="B6" i="12"/>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K5" i="9"/>
  <c r="J5" i="9"/>
  <c r="I5" i="9"/>
  <c r="H5" i="9"/>
  <c r="H40" i="8"/>
  <c r="G40" i="8"/>
  <c r="F40" i="8"/>
  <c r="E40" i="8"/>
  <c r="D40" i="8"/>
  <c r="C40" i="8"/>
  <c r="B40" i="8"/>
  <c r="H38" i="8"/>
  <c r="G38" i="8"/>
  <c r="F38" i="8"/>
  <c r="E38" i="8"/>
  <c r="D38" i="8"/>
  <c r="C38" i="8"/>
  <c r="B38" i="8"/>
  <c r="H37" i="8"/>
  <c r="G37" i="8"/>
  <c r="F37" i="8"/>
  <c r="E37" i="8"/>
  <c r="D37" i="8"/>
  <c r="C37" i="8"/>
  <c r="B37" i="8"/>
  <c r="H36" i="8"/>
  <c r="G36" i="8"/>
  <c r="F36" i="8"/>
  <c r="E36" i="8"/>
  <c r="D36" i="8"/>
  <c r="C36" i="8"/>
  <c r="B36" i="8"/>
  <c r="B31" i="8"/>
  <c r="B30" i="8"/>
  <c r="B29" i="8"/>
  <c r="B28" i="8"/>
  <c r="B27" i="8"/>
  <c r="B20" i="8"/>
  <c r="B19" i="8"/>
  <c r="B18" i="8"/>
  <c r="B17" i="8"/>
  <c r="B16" i="8"/>
  <c r="B15" i="8"/>
  <c r="I10" i="8"/>
  <c r="I9" i="8"/>
  <c r="I8" i="8"/>
  <c r="I7" i="8"/>
  <c r="I6" i="8"/>
  <c r="I5" i="8"/>
  <c r="G46" i="5"/>
  <c r="F46" i="5"/>
  <c r="E46" i="5"/>
  <c r="D46" i="5"/>
  <c r="C46" i="5"/>
  <c r="G45" i="5"/>
  <c r="F45" i="5"/>
  <c r="E45" i="5"/>
  <c r="D45" i="5"/>
  <c r="C45" i="5"/>
  <c r="G44" i="5"/>
  <c r="F44" i="5"/>
  <c r="E44" i="5"/>
  <c r="D44" i="5"/>
  <c r="C44" i="5"/>
  <c r="G43" i="5"/>
  <c r="F43" i="5"/>
  <c r="E43" i="5"/>
  <c r="D43" i="5"/>
  <c r="C43" i="5"/>
  <c r="G42" i="5"/>
  <c r="F42" i="5"/>
  <c r="E42" i="5"/>
  <c r="D42" i="5"/>
  <c r="C42" i="5"/>
  <c r="G41" i="5"/>
  <c r="F41" i="5"/>
  <c r="E41" i="5"/>
  <c r="D41" i="5"/>
  <c r="C41" i="5"/>
  <c r="G40" i="5"/>
  <c r="F40" i="5"/>
  <c r="E40" i="5"/>
  <c r="D40" i="5"/>
  <c r="C40" i="5"/>
  <c r="G39" i="5"/>
  <c r="F39" i="5"/>
  <c r="E39" i="5"/>
  <c r="D39" i="5"/>
  <c r="C39" i="5"/>
  <c r="G38" i="5"/>
  <c r="F38" i="5"/>
  <c r="E38" i="5"/>
  <c r="D38" i="5"/>
  <c r="C38" i="5"/>
  <c r="G37" i="5"/>
  <c r="F37" i="5"/>
  <c r="E37" i="5"/>
  <c r="D37" i="5"/>
  <c r="C37" i="5"/>
  <c r="G36" i="5"/>
  <c r="F36" i="5"/>
  <c r="E36" i="5"/>
  <c r="D36" i="5"/>
  <c r="C36" i="5"/>
  <c r="G35" i="5"/>
  <c r="F35" i="5"/>
  <c r="E35" i="5"/>
  <c r="D35" i="5"/>
  <c r="C35" i="5"/>
  <c r="G34" i="5"/>
  <c r="F34" i="5"/>
  <c r="E34" i="5"/>
  <c r="D34" i="5"/>
  <c r="C34" i="5"/>
  <c r="G33" i="5"/>
  <c r="F33" i="5"/>
  <c r="E33" i="5"/>
  <c r="D33" i="5"/>
  <c r="C33" i="5"/>
  <c r="G32" i="5"/>
  <c r="F32" i="5"/>
  <c r="E32" i="5"/>
  <c r="D32" i="5"/>
  <c r="C32" i="5"/>
  <c r="G31" i="5"/>
  <c r="F31" i="5"/>
  <c r="E31" i="5"/>
  <c r="D31" i="5"/>
  <c r="C31" i="5"/>
  <c r="J18" i="5"/>
  <c r="I18" i="5"/>
  <c r="H18" i="5"/>
  <c r="G18" i="5"/>
  <c r="F18" i="5"/>
  <c r="E18" i="5"/>
  <c r="D18" i="5"/>
  <c r="C18" i="5"/>
  <c r="B18" i="5"/>
  <c r="H17" i="5"/>
  <c r="E17" i="5"/>
  <c r="D17" i="5"/>
  <c r="M16" i="5"/>
  <c r="L16" i="5"/>
  <c r="H16" i="5"/>
  <c r="E16" i="5"/>
  <c r="D16" i="5"/>
  <c r="M15" i="5"/>
  <c r="L15" i="5"/>
  <c r="H15" i="5"/>
  <c r="E15" i="5"/>
  <c r="D15" i="5"/>
  <c r="M14" i="5"/>
  <c r="L14" i="5"/>
  <c r="H14" i="5"/>
  <c r="E14" i="5"/>
  <c r="D14" i="5"/>
  <c r="M13" i="5"/>
  <c r="L13" i="5"/>
  <c r="H13" i="5"/>
  <c r="E13" i="5"/>
  <c r="D13" i="5"/>
  <c r="L12" i="5"/>
  <c r="H12" i="5"/>
  <c r="E12" i="5"/>
  <c r="D12" i="5"/>
  <c r="M11" i="5"/>
  <c r="L11" i="5"/>
  <c r="H11" i="5"/>
  <c r="E11" i="5"/>
  <c r="D11" i="5"/>
  <c r="M10" i="5"/>
  <c r="L10" i="5"/>
  <c r="H10" i="5"/>
  <c r="E10" i="5"/>
  <c r="D10" i="5"/>
  <c r="M9" i="5"/>
  <c r="L9" i="5"/>
  <c r="H9" i="5"/>
  <c r="E9" i="5"/>
  <c r="D9" i="5"/>
  <c r="M8" i="5"/>
  <c r="L8" i="5"/>
  <c r="H8" i="5"/>
  <c r="E8" i="5"/>
  <c r="D8" i="5"/>
  <c r="M7" i="5"/>
  <c r="L7" i="5"/>
  <c r="H7" i="5"/>
  <c r="E7" i="5"/>
  <c r="D7" i="5"/>
  <c r="M6" i="5"/>
  <c r="L6" i="5"/>
  <c r="H6" i="5"/>
  <c r="E6" i="5"/>
  <c r="D6" i="5"/>
  <c r="M5" i="5"/>
  <c r="L5" i="5"/>
  <c r="H5" i="5"/>
  <c r="E5" i="5"/>
  <c r="D5" i="5"/>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C17" i="3"/>
  <c r="B17" i="3"/>
  <c r="AE16" i="3"/>
  <c r="AB16" i="3"/>
  <c r="Y16" i="3"/>
  <c r="V16" i="3"/>
  <c r="S16" i="3"/>
  <c r="P16" i="3"/>
  <c r="M16" i="3"/>
  <c r="J16" i="3"/>
  <c r="G16" i="3"/>
  <c r="D16" i="3"/>
  <c r="AE15" i="3"/>
  <c r="AB15" i="3"/>
  <c r="Y15" i="3"/>
  <c r="V15" i="3"/>
  <c r="S15" i="3"/>
  <c r="P15" i="3"/>
  <c r="M15" i="3"/>
  <c r="J15" i="3"/>
  <c r="G15" i="3"/>
  <c r="D15" i="3"/>
  <c r="AE14" i="3"/>
  <c r="AB14" i="3"/>
  <c r="Y14" i="3"/>
  <c r="V14" i="3"/>
  <c r="S14" i="3"/>
  <c r="P14" i="3"/>
  <c r="M14" i="3"/>
  <c r="J14" i="3"/>
  <c r="G14" i="3"/>
  <c r="D14" i="3"/>
  <c r="AE13" i="3"/>
  <c r="AB13" i="3"/>
  <c r="Y13" i="3"/>
  <c r="V13" i="3"/>
  <c r="S13" i="3"/>
  <c r="P13" i="3"/>
  <c r="M13" i="3"/>
  <c r="J13" i="3"/>
  <c r="G13" i="3"/>
  <c r="D13" i="3"/>
  <c r="AE12" i="3"/>
  <c r="AB12" i="3"/>
  <c r="Y12" i="3"/>
  <c r="V12" i="3"/>
  <c r="S12" i="3"/>
  <c r="P12" i="3"/>
  <c r="M12" i="3"/>
  <c r="J12" i="3"/>
  <c r="G12" i="3"/>
  <c r="D12" i="3"/>
  <c r="AE11" i="3"/>
  <c r="AB11" i="3"/>
  <c r="Y11" i="3"/>
  <c r="V11" i="3"/>
  <c r="S11" i="3"/>
  <c r="P11" i="3"/>
  <c r="M11" i="3"/>
  <c r="J11" i="3"/>
  <c r="G11" i="3"/>
  <c r="D11" i="3"/>
  <c r="AE10" i="3"/>
  <c r="AB10" i="3"/>
  <c r="Y10" i="3"/>
  <c r="V10" i="3"/>
  <c r="S10" i="3"/>
  <c r="P10" i="3"/>
  <c r="M10" i="3"/>
  <c r="J10" i="3"/>
  <c r="G10" i="3"/>
  <c r="D10" i="3"/>
  <c r="AE9" i="3"/>
  <c r="AB9" i="3"/>
  <c r="Y9" i="3"/>
  <c r="V9" i="3"/>
  <c r="S9" i="3"/>
  <c r="P9" i="3"/>
  <c r="M9" i="3"/>
  <c r="J9" i="3"/>
  <c r="G9" i="3"/>
  <c r="D9" i="3"/>
  <c r="AE8" i="3"/>
  <c r="AB8" i="3"/>
  <c r="Y8" i="3"/>
  <c r="V8" i="3"/>
  <c r="S8" i="3"/>
  <c r="P8" i="3"/>
  <c r="M8" i="3"/>
  <c r="J8" i="3"/>
  <c r="G8" i="3"/>
  <c r="D8" i="3"/>
  <c r="AE7" i="3"/>
  <c r="AB7" i="3"/>
  <c r="Y7" i="3"/>
  <c r="V7" i="3"/>
  <c r="S7" i="3"/>
  <c r="P7" i="3"/>
  <c r="M7" i="3"/>
  <c r="J7" i="3"/>
  <c r="G7" i="3"/>
  <c r="D7" i="3"/>
  <c r="AE6" i="3"/>
  <c r="AB6" i="3"/>
  <c r="Y6" i="3"/>
  <c r="V6" i="3"/>
  <c r="S6" i="3"/>
  <c r="P6" i="3"/>
  <c r="M6" i="3"/>
  <c r="J6" i="3"/>
  <c r="G6" i="3"/>
  <c r="D6" i="3"/>
  <c r="K14" i="2"/>
  <c r="J14" i="2"/>
  <c r="G14" i="2"/>
  <c r="F14" i="2"/>
  <c r="E14" i="2"/>
  <c r="K13" i="2"/>
  <c r="J13" i="2"/>
  <c r="G13" i="2"/>
  <c r="F13" i="2"/>
  <c r="E13" i="2"/>
  <c r="K12" i="2"/>
  <c r="J12" i="2"/>
  <c r="G12" i="2"/>
  <c r="F12" i="2"/>
  <c r="E12" i="2"/>
  <c r="K11" i="2"/>
  <c r="J11" i="2"/>
  <c r="G11" i="2"/>
  <c r="F11" i="2"/>
  <c r="E11" i="2"/>
  <c r="K10" i="2"/>
  <c r="J10" i="2"/>
  <c r="G10" i="2"/>
  <c r="F10" i="2"/>
  <c r="E10" i="2"/>
  <c r="K9" i="2"/>
  <c r="J9" i="2"/>
  <c r="G9" i="2"/>
  <c r="F9" i="2"/>
  <c r="E9" i="2"/>
  <c r="K8" i="2"/>
  <c r="J8" i="2"/>
  <c r="G8" i="2"/>
  <c r="F8" i="2"/>
  <c r="E8" i="2"/>
  <c r="K7" i="2"/>
  <c r="J7" i="2"/>
  <c r="G7" i="2"/>
  <c r="F7" i="2"/>
  <c r="E7" i="2"/>
  <c r="K6" i="2"/>
  <c r="J6" i="2"/>
  <c r="G6" i="2"/>
  <c r="F6" i="2"/>
  <c r="E6" i="2"/>
  <c r="K5" i="2"/>
  <c r="J5" i="2"/>
  <c r="E5" i="2"/>
  <c r="B9" i="15"/>
  <c r="J7" i="15"/>
  <c r="H7" i="15"/>
  <c r="F7" i="15"/>
  <c r="D7" i="15"/>
  <c r="B7" i="15"/>
  <c r="J6" i="15"/>
  <c r="D6" i="15"/>
</calcChain>
</file>

<file path=xl/sharedStrings.xml><?xml version="1.0" encoding="utf-8"?>
<sst xmlns="http://schemas.openxmlformats.org/spreadsheetml/2006/main" count="410" uniqueCount="292">
  <si>
    <t>GROWING GOLF IN GERMANY   —   Participation Dashboard 2016–2025</t>
  </si>
  <si>
    <t>Primary audience: DGV executive board   ·   Secondary: the twelve state golf associations   |   Players as at 30 Sep 2025, facilities 31 Dec 2025   |   Sources: DGV; Allensbach/AWA; The R&amp;A; Destatis</t>
  </si>
  <si>
    <t>PLAYERS 2025</t>
  </si>
  <si>
    <t>FEMALE SHARE</t>
  </si>
  <si>
    <t>AGED 61+</t>
  </si>
  <si>
    <t>2   The unconverted pool keeps growing: 2.25m in 2019, 2.68m in 2025</t>
  </si>
  <si>
    <t>3   The centre of gravity shifts: the 41–60 cohort falls below the over-60s</t>
  </si>
  <si>
    <t>4   Women drop out between 19 and 40 — the trough is 22.8% at ages 36-40</t>
  </si>
  <si>
    <t>5   Domestic headroom: penetration varies eighteenfold (red line = national average, 8.3)</t>
  </si>
  <si>
    <t>6   European ceiling: Germany sits far below the northern markets</t>
  </si>
  <si>
    <t>ICT702 Task 2 — Growing Golf in Germany  (v2, full source set)</t>
  </si>
  <si>
    <t>Data sources, definitions, reconciliation and workbook structure</t>
  </si>
  <si>
    <t>PURPOSE</t>
  </si>
  <si>
    <t>Data basis for an Excel dashboard supporting the executive board of the German Golf Federation (DGV) in strategic decisions aimed at increasing participation in golf. The twelve state golf associations are the secondary audience, as the layer that implements those decisions regionally.</t>
  </si>
  <si>
    <t>AUDIENCE</t>
  </si>
  <si>
    <t>Primary: the DGV executive board, which sets national participation strategy and allocates the programme budget. Secondary: the twelve state golf associations, which implement it regionally.</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</si>
  <si>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</si>
  <si>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</si>
  <si>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</si>
  <si>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</si>
  <si>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</si>
  <si>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</si>
  <si>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</si>
  <si>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</si>
  <si>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</si>
  <si>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</si>
  <si>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</si>
  <si>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</si>
  <si>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</si>
  <si>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</si>
  <si>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</si>
  <si>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</si>
  <si>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</si>
  <si>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</si>
  <si>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</si>
  <si>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</si>
  <si>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</si>
  <si>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</si>
  <si>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</si>
  <si>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</si>
  <si>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</si>
  <si>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</si>
  <si>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</si>
  <si>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</si>
  <si>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</si>
  <si>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</si>
  <si>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</si>
  <si>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</si>
  <si>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</si>
  <si>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</si>
  <si>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</si>
  <si>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</si>
  <si>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</si>
  <si>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</si>
  <si>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</si>
  <si>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</si>
  <si>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
  </si>
  <si>
    <t/>
  </si>
  <si>
    <t>04_States</t>
  </si>
  <si>
    <t>State associations 2016 vs 2025, facilities, population, penetration</t>
  </si>
  <si>
    <t/>
  </si>
  <si>
    <t/>
  </si>
  <si>
    <t/>
  </si>
  <si>
    <t/>
  </si>
  <si>
    <t>07_Funnel</t>
  </si>
  <si>
    <t>Allensbach awareness / interest / play funnel 2019–2025 (S3)</t>
  </si>
  <si>
    <t>08_Europe</t>
  </si>
  <si>
    <t>R&amp;A European benchmark: penetration, female share, courses (S5)</t>
  </si>
  <si>
    <t>09_Federations</t>
  </si>
  <si>
    <t/>
  </si>
  <si>
    <t>10_History</t>
  </si>
  <si>
    <t/>
  </si>
  <si>
    <t>11_Metrics</t>
  </si>
  <si>
    <t>Derived metrics as live formulas, plus a waterfall-ready data block</t>
  </si>
  <si>
    <t>12_Chart_Selection</t>
  </si>
  <si>
    <t/>
  </si>
  <si>
    <t>13_Design_Rationale</t>
  </si>
  <si>
    <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</si>
  <si>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</si>
  <si>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</si>
  <si>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</si>
  <si>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</si>
  <si>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</si>
  <si>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</si>
  <si>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</si>
  <si>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</si>
  <si>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</si>
  <si>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</si>
  <si>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</si>
  <si>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</si>
  <si>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</si>
  <si>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</si>
  <si>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</si>
  <si>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</si>
  <si>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</si>
  <si>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</si>
  <si>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</si>
  <si>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</si>
  <si>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</si>
  <si>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</si>
  <si>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</si>
  <si>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</si>
  <si>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</si>
  <si>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</si>
  <si>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</si>
  <si>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</si>
  <si>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</si>
  <si>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</si>
  <si>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</si>
  <si>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</si>
  <si>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</si>
  <si>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</si>
  <si>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</si>
  <si>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</si>
  <si>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</si>
  <si>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</si>
  <si>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</si>
  <si>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</si>
  <si>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</si>
  <si>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</si>
  <si>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</si>
  <si>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</si>
  <si>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</si>
  <si>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</si>
  <si>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</si>
  <si>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</si>
  <si>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</si>
  <si>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</si>
  <si>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</si>
  <si>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</si>
  <si>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</si>
  <si>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</si>
  <si>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</si>
  <si>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</si>
  <si>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</si>
  <si>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</si>
  <si>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</si>
  <si>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</si>
  <si>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</si>
  <si>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</si>
  <si>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</si>
  <si>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</si>
  <si>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</si>
  <si>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</si>
  <si>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</si>
  <si>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</si>
  <si>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</si>
  <si>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</si>
  <si>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</si>
  <si>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</si>
  <si>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</si>
  <si>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</si>
  <si>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</si>
  <si>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</si>
  <si>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</si>
  <si>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</si>
  <si>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</si>
  <si>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</si>
  <si>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</si>
  <si>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</si>
  <si>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</si>
  <si>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</si>
  <si>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</si>
  <si>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</si>
  <si>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</si>
  <si>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</si>
  <si>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</si>
  <si>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</si>
  <si>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</si>
  <si>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</si>
  <si>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</si>
  <si>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</si>
  <si>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</si>
  <si>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</si>
  <si>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Ready for Excel's native Funnel chart</t>
  </si>
  <si>
    <t>Select A26:B31, then Insert &gt; Insert Waterfall, Funnel, Stock, Surface or Radar Chart &gt; Funnel.</t>
  </si>
  <si>
    <t>Funnel stage</t>
  </si>
  <si>
    <t>People (millions)</t>
  </si>
  <si>
    <t>Interested in golf</t>
  </si>
  <si>
    <t>Play golf at all</t>
  </si>
  <si>
    <t>Play golf often</t>
  </si>
  <si>
    <t>DGV-registered member</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</si>
  <si>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</si>
  <si>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</si>
  <si>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</si>
  <si>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</si>
  <si>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</si>
  <si>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</si>
  <si>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</si>
  <si>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</si>
  <si>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</si>
  <si>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</si>
  <si>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</si>
  <si>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</si>
  <si>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</si>
  <si>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</si>
  <si>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</si>
  <si>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</si>
  <si>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</si>
  <si>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</si>
  <si>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</si>
  <si>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</si>
  <si>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</si>
  <si>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</si>
  <si>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</si>
  <si>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</si>
  <si>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</si>
  <si>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</si>
  <si>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</si>
  <si>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</si>
  <si>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</si>
  <si>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</si>
  <si>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</si>
  <si>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</si>
  <si>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</si>
  <si>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</si>
  <si>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</si>
  <si>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</si>
  <si>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</si>
  <si>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</si>
  <si>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</si>
  <si>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</si>
  <si>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Ready for Excel's native Waterfall chart — net change by age band, 2016 to 2025</t>
  </si>
  <si>
    <t>Select A38:B49, then Insert &gt; Insert Waterfall, Funnel, Stock, Surface or Radar Chart &gt; Waterfall. Right-click the Total bar &gt; Set as Total.</t>
  </si>
  <si>
    <t>Net change 2016–2025</t>
  </si>
  <si>
    <t>D)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</si>
  <si>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</si>
  <si>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</si>
  <si>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</si>
  <si>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</si>
  <si>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</si>
  <si>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</si>
  <si>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</si>
  <si>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</si>
  <si>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</si>
  <si>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</si>
  <si>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</si>
  <si>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</si>
  <si>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</si>
  <si>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</si>
  <si>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CAVEAT — MAP LABELS</t>
  </si>
  <si>
    <t>Column A of 04_States uses Excel Geography data types so that a regional map can be drawn. Three associations that span two federal states resolve to the larger state only: Lower Saxony also covers Bremen, Rhineland-Palatinate also covers Saarland, and Saxony also covers Thüringen.</t>
  </si>
  <si>
    <t>All figures and population denominators cover the full combined territory, so the rates are correct for the association; only the map label is narrower. Membership is not published below association level in any source. State this in the report's limitations section.</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</si>
  <si>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</si>
  <si>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</si>
  <si>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</si>
  <si>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</si>
  <si>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</si>
  <si>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</si>
  <si>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</si>
  <si>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</si>
  <si>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</si>
  <si>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</si>
  <si>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</si>
  <si>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</si>
  <si>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</si>
  <si>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</si>
  <si>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</si>
  <si>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</si>
  <si>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</si>
  <si>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</si>
  <si>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</si>
  <si>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  pick any year from 2016 to 2024</t>
  </si>
  <si>
    <t>E)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</si>
  <si>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</si>
  <si>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</si>
  <si>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</si>
  <si>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</si>
  <si>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</si>
  <si>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</si>
  <si>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Change in members vs benchmark (%)</t>
  </si>
  <si>
    <t>Change in female share (pp)</t>
  </si>
  <si>
    <t>Change in 61+ share (pp)</t>
  </si>
  <si>
    <t>Change in under-19 members (%)</t>
  </si>
  <si>
    <t>Stage sizes in millions of people</t>
  </si>
  <si>
    <t>Grey = interested, orange = people who play, blue = DGV members. Millions of people.</t>
  </si>
  <si>
    <t>Stage</t>
  </si>
  <si>
    <t>Playing without a membership</t>
  </si>
  <si>
    <t>Golfers who play but hold no DGV membership: 2.25m in 2019, 2.68m in 2025 — an increase of 437,000 in six years.</t>
  </si>
  <si>
    <t>F)  Members by age cohort — source for the slope chart</t>
  </si>
  <si>
    <t>Age cohort</t>
  </si>
  <si>
    <t>19 to 40</t>
  </si>
  <si>
    <t>41 to 60</t>
  </si>
  <si>
    <t>Untapped potential to national average</t>
  </si>
  <si>
    <t>Untapped potential = (national average density − association density) × population, floored at zero. Values repeat for federal states served by the same association, so do not sum column G down the list; the national total is 115,301.</t>
  </si>
  <si>
    <t>Colour encoding: blue #0072B2 = male members and volume measures, orange #E69F00 = female members and the opportunity measure |   Sources: Deutscher Golf Verband (2017–2026); Institut für Demoskopie Allensbach / AWA 2025 via Statista; The R&amp;A (2025); Statistisches Bundesamt (2025). Full source list and caveats on sheet 00_README.</t>
  </si>
  <si>
    <t>G)  Female share by age band — source for the dashboard chart</t>
  </si>
  <si>
    <t>Women are well represented among children and members over 50, but fall to 22.8% in the 36-40 band — the steepest decline of any cohort since 2016 (-7.9 pp).</t>
  </si>
  <si>
    <t>Berlin</t>
  </si>
  <si>
    <t>Brandenburg</t>
  </si>
  <si>
    <t>Bremen</t>
  </si>
  <si>
    <t>Saarland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</si>
</sst>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
    <numFmt numFmtId="167" formatCode="\+#,##0.0;\-#,##0.0"/>
    <numFmt numFmtId="168" formatCode="\+#,##0;\-#,##0"/>
    <numFmt numFmtId="169" formatCode="\+0.00;\-0.00"/>
  </numFmts>
  <fonts count="14"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s>
  <fills count="8">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rgb="FFE69F00"/>
      </patternFill>
    </fill>
    <fill>
      <patternFill patternType="solid">
        <fgColor rgb="FF9999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9">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4" fontId="0" fillId="0" borderId="1" xfId="0" applyNumberFormat="1" applyBorder="1"/>
    <xf numFmtId="165" fontId="0" fillId="0" borderId="1" xfId="0" applyNumberFormat="1" applyBorder="1"/>
    <xf numFmtId="166"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5" fontId="5" fillId="0" borderId="1" xfId="0" applyNumberFormat="1" applyFont="1" applyBorder="1"/>
    <xf numFmtId="164"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6" fontId="5" fillId="4" borderId="1" xfId="0" applyNumberFormat="1" applyFont="1" applyFill="1" applyBorder="1"/>
    <xf numFmtId="164" fontId="5" fillId="4" borderId="1" xfId="0" applyNumberFormat="1" applyFont="1" applyFill="1" applyBorder="1"/>
    <xf numFmtId="166" fontId="5" fillId="0" borderId="1" xfId="0" applyNumberFormat="1" applyFont="1" applyBorder="1"/>
    <xf numFmtId="167" fontId="0" fillId="0" borderId="1" xfId="0" applyNumberFormat="1" applyBorder="1"/>
    <xf numFmtId="168" fontId="0" fillId="0" borderId="1" xfId="0" applyNumberFormat="1" applyBorder="1"/>
    <xf numFmtId="168" fontId="5" fillId="0" borderId="1" xfId="0" applyNumberFormat="1" applyFont="1" applyBorder="1"/>
    <xf numFmtId="169" fontId="5" fillId="0" borderId="1" xfId="0" applyNumberFormat="1" applyFont="1" applyBorder="1"/>
    <xf numFmtId="0" fontId="12" fillId="0" borderId="0" xfId="0" applyFont="1"/>
    <xf numFmtId="3" fontId="11" fillId="5" borderId="0" xfId="0" applyNumberFormat="1" applyFont="1" applyFill="1" applyAlignment="1">
      <alignment horizontal="center" vertical="center"/>
    </xf>
    <xf numFmtId="4" fontId="7" fillId="0" borderId="1" xfId="0" applyNumberFormat="1" applyFont="1" applyBorder="1"/>
    <xf numFmtId="0" fontId="9" fillId="2" borderId="0" xfId="0" applyFont="1" applyFill="1" applyAlignment="1">
      <alignment horizontal="left" vertical="center" indent="1"/>
    </xf>
    <xf numFmtId="0" fontId="0" fillId="2" borderId="0" xfId="0" applyFill="1"/>
    <xf numFmtId="0" fontId="10" fillId="6" borderId="0" xfId="0" applyFont="1" applyFill="1" applyAlignment="1">
      <alignment horizontal="center" vertical="center"/>
    </xf>
    <xf numFmtId="0" fontId="0" fillId="6" borderId="0" xfId="0" applyFill="1"/>
    <xf numFmtId="165" fontId="11" fillId="5" borderId="0" xfId="0" applyNumberFormat="1" applyFont="1" applyFill="1" applyAlignment="1">
      <alignment horizontal="center" vertical="center"/>
    </xf>
    <xf numFmtId="0" fontId="0" fillId="5" borderId="0" xfId="0" applyFill="1"/>
    <xf numFmtId="0" fontId="0" fillId="0" borderId="0" xfId="0"/>
    <xf numFmtId="3" fontId="11" fillId="5" borderId="0" xfId="0" applyNumberFormat="1" applyFont="1" applyFill="1" applyAlignment="1">
      <alignment horizontal="center" vertical="center"/>
    </xf>
    <xf numFmtId="166" fontId="11" fillId="5" borderId="0" xfId="0" applyNumberFormat="1" applyFont="1" applyFill="1" applyAlignment="1">
      <alignment horizontal="center" vertical="center"/>
    </xf>
    <xf numFmtId="0" fontId="13" fillId="0" borderId="0" xfId="0" applyFont="1" applyAlignment="1">
      <alignment vertical="top" wrapText="1" indent="1"/>
    </xf>
    <xf numFmtId="164" fontId="11" fillId="5" borderId="0" xfId="0" applyNumberFormat="1" applyFont="1" applyFill="1" applyAlignment="1">
      <alignment horizontal="center" vertical="center"/>
    </xf>
    <xf numFmtId="0" fontId="2" fillId="0" borderId="0" xfId="0" applyFont="1" applyAlignment="1">
      <alignment horizontal="left" indent="1"/>
    </xf>
    <xf numFmtId="0" fontId="10" fillId="2" borderId="0" xfId="0" applyFont="1" applyFill="1" applyAlignment="1">
      <alignment horizontal="center" vertical="center"/>
    </xf>
    <xf numFmtId="0" fontId="10" fillId="7" borderId="0" xfId="0" applyFont="1" applyFill="1" applyAlignment="1">
      <alignment horizontal="center" vertical="center"/>
    </xf>
    <xf numFmtId="0" fontId="0" fillId="7" borderId="0" xfId="0" applyFill="1"/>
    <xf numFmtId="0" fontId="2" fillId="0" borderId="0" xfId="0" applyFont="1"/>
    <xf numFmtId="0" fontId="6" fillId="3"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solidFill>
                <a:schemeClr val="accent1"/>
              </a:solidFill>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title>
          <c:tx>
            <c:rich>
              <a:bodyPr/>
              <a:lstStyle/>
              <a:p>
                <a:pPr>
                  <a:defRPr/>
                </a:pPr>
                <a:r>
                  <a:rPr lang="en-GB"/>
                  <a:t>DGV-registered memberships, 2016-2025</a:t>
                </a:r>
              </a:p>
            </c:rich>
          </c:tx>
          <c:overlay val="1"/>
        </c:title>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Golfers playing without a DGV membership (millions)</a:t>
            </a:r>
          </a:p>
        </c:rich>
      </c:tx>
      <c:overlay val="1"/>
    </c:title>
    <c:autoTitleDeleted val="0"/>
    <c:plotArea>
      <c:layout/>
      <c:barChart>
        <c:barDir val="col"/>
        <c:grouping val="clustered"/>
        <c:varyColors val="1"/>
        <c:ser>
          <c:idx val="0"/>
          <c:order val="0"/>
          <c:tx>
            <c:strRef>
              <c:f>'04_Funnel'!$A$40</c:f>
              <c:strCache>
                <c:ptCount val="1"/>
                <c:pt idx="0">
                  <c:v>Playing without a membership</c:v>
                </c:pt>
              </c:strCache>
            </c:strRef>
          </c:tx>
          <c:spPr>
            <a:solidFill>
              <a:srgbClr val="E69F00"/>
            </a:solidFill>
            <a:ln>
              <a:prstDash val="solid"/>
            </a:ln>
          </c:spPr>
          <c:invertIfNegative val="1"/>
          <c:dLbls>
            <c:dLbl>
              <c:idx val="0"/>
              <c:spPr>
                <a:noFill/>
                <a:ln>
                  <a:noFill/>
                </a:ln>
                <a:effectLst/>
              </c:spPr>
              <c:txPr>
                <a:bodyPr wrap="square" lIns="91440" tIns="19050" rIns="38100" bIns="19050" anchor="ctr">
                  <a:spAutoFit/>
                </a:bodyPr>
                <a:lstStyle/>
                <a:p>
                  <a:pPr>
                    <a:defRPr/>
                  </a:pPr>
                  <a:endParaRPr lang="en-DE"/>
                </a:p>
              </c:txPr>
              <c:dLblPos val="in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7D27-BB46-8507-BD7B777914F4}"/>
                </c:ext>
              </c:extLst>
            </c:dLbl>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'04_Funnel'!$B$39:$H$39</c:f>
              <c:numCache>
                <c:formatCode>General</c:formatCode>
                <c:ptCount val="7"/>
                <c:pt idx="0">
                  <c:v>2019</c:v>
                </c:pt>
                <c:pt idx="1">
                  <c:v>2020</c:v>
                </c:pt>
                <c:pt idx="2">
                  <c:v>2021</c:v>
                </c:pt>
                <c:pt idx="3">
                  <c:v>2022</c:v>
                </c:pt>
                <c:pt idx="4">
                  <c:v>2023</c:v>
                </c:pt>
                <c:pt idx="5">
                  <c:v>2024</c:v>
                </c:pt>
                <c:pt idx="6">
                  <c:v>2025</c:v>
                </c:pt>
              </c:numCache>
            </c:numRef>
          </c:cat>
          <c:val>
            <c:numRef>
              <c:f>'04_Funnel'!$B$40:$H$40</c:f>
              <c:numCache>
                <c:formatCode>General</c:formatCode>
                <c:ptCount val="7"/>
                <c:pt idx="0">
                  <c:v>2.2469999999999999</c:v>
                </c:pt>
                <c:pt idx="1">
                  <c:v>2.3890000000000002</c:v>
                </c:pt>
                <c:pt idx="2">
                  <c:v>2.4660000000000002</c:v>
                </c:pt>
                <c:pt idx="3">
                  <c:v>2.4370000000000003</c:v>
                </c:pt>
                <c:pt idx="4">
                  <c:v>2.5880000000000001</c:v>
                </c:pt>
                <c:pt idx="5">
                  <c:v>2.7530000000000001</c:v>
                </c:pt>
                <c:pt idx="6">
                  <c:v>2.6840000000000002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8C2-2A43-ADB7-E1C01B1A0665}"/>
            </c:ext>
          </c:extLst>
        </c:ser>
        <c:dLbls>
          <c:dLblPos val="inEnd"/>
          <c:showLegendKey val="0"/>
          <c:showVal val="1"/>
          <c:showCatName val="0"/>
          <c:showSerName val="0"/>
          <c:showPercent val="0"/>
          <c:showBubbleSize val="0"/>
        </c:dLbls>
        <c:gapWidth val="4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
          <c:min val="0"/>
        </c:scaling>
        <c:delete val="0"/>
        <c:axPos val="l"/>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Members by age cohort, 2016 and 2025</a:t>
            </a:r>
          </a:p>
        </c:rich>
      </c:tx>
      <c:overlay val="1"/>
    </c:title>
    <c:autoTitleDeleted val="0"/>
    <c:plotArea>
      <c:layout/>
      <c:lineChart>
        <c:grouping val="standard"/>
        <c:varyColors val="1"/>
        <c:ser>
          <c:idx val="0"/>
          <c:order val="0"/>
          <c:tx>
            <c:strRef>
              <c:f>'06_Metrics'!$A$81</c:f>
              <c:strCache>
                <c:ptCount val="1"/>
                <c:pt idx="0">
                  <c:v>Under 19</c:v>
                </c:pt>
              </c:strCache>
            </c:strRef>
          </c:tx>
          <c:spPr>
            <a:ln w="20000">
              <a:solidFill>
                <a:srgbClr val="999999"/>
              </a:solidFill>
              <a:prstDash val="solid"/>
            </a:ln>
          </c:spPr>
          <c:marker>
            <c:symbol val="circle"/>
            <c:size val="7"/>
            <c:spPr>
              <a:solidFill>
                <a:srgbClr val="999999"/>
              </a:solidFill>
              <a:ln>
                <a:solidFill>
                  <a:srgbClr val="999999"/>
                </a:solidFill>
                <a:prstDash val="solid"/>
              </a:ln>
            </c:spPr>
          </c:marker>
          <c:dLbls>
            <c:dLbl>
              <c:idx val="0"/>
              <c:layout>
                <c:manualLayout>
                  <c:x val="-9.5590911252283889E-2"/>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CA-1F48-85B1-F2882D75C308}"/>
                </c:ext>
              </c:extLst>
            </c:dLbl>
            <c:dLbl>
              <c:idx val="1"/>
              <c:layout>
                <c:manualLayout>
                  <c:x val="-8.6336328170039675E-4"/>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CA-1F48-85B1-F2882D75C308}"/>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'06_Metrics'!$B$81:$C$81</c:f>
              <c:numCache>
                <c:formatCode>#,##0</c:formatCode>
                <c:ptCount val="2"/>
                <c:pt idx="0">
                  <c:v>43953</c:v>
                </c:pt>
                <c:pt idx="1">
                  <c:v>42798</c:v>
                </c:pt>
              </c:numCache>
            </c:numRef>
          </c:val>
          <c:smooth val="0"/>
          <c:extLst>
            <c:ext xmlns:c16="http://schemas.microsoft.com/office/drawing/2014/chart" uri="{C3380CC4-5D6E-409C-BE32-E72D297353CC}">
              <c16:uniqueId val="{00000000-B8CA-1F48-85B1-F2882D75C308}"/>
            </c:ext>
          </c:extLst>
        </c:ser>
        <c:ser>
          <c:idx val="1"/>
          <c:order val="1"/>
          <c:tx>
            <c:strRef>
              <c:f>'06_Metrics'!$A$82</c:f>
              <c:strCache>
                <c:ptCount val="1"/>
                <c:pt idx="0">
                  <c:v>19 to 40</c:v>
                </c:pt>
              </c:strCache>
            </c:strRef>
          </c:tx>
          <c:spPr>
            <a:ln w="32000">
              <a:solidFill>
                <a:srgbClr val="0072B2"/>
              </a:solidFill>
              <a:prstDash val="solid"/>
            </a:ln>
          </c:spPr>
          <c:marker>
            <c:symbol val="circle"/>
            <c:size val="7"/>
            <c:spPr>
              <a:solidFill>
                <a:srgbClr val="0072B2"/>
              </a:solidFill>
              <a:ln>
                <a:solidFill>
                  <a:srgbClr val="0072B2"/>
                </a:solidFill>
                <a:prstDash val="solid"/>
              </a:ln>
            </c:spPr>
          </c:marker>
          <c:dLbls>
            <c:dLbl>
              <c:idx val="0"/>
              <c:layout>
                <c:manualLayout>
                  <c:x val="-8.5723458338681474E-2"/>
                  <c:y val="-7.823689205666375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68-6947-80A1-8C4A4C3E2FF1}"/>
                </c:ext>
              </c:extLst>
            </c:dLbl>
            <c:dLbl>
              <c:idx val="1"/>
              <c:layout>
                <c:manualLayout>
                  <c:x val="-9.8132207708174508E-3"/>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'06_Metrics'!$B$82:$C$82</c:f>
              <c:numCache>
                <c:formatCode>#,##0</c:formatCode>
                <c:ptCount val="2"/>
                <c:pt idx="0">
                  <c:v>90282</c:v>
                </c:pt>
                <c:pt idx="1">
                  <c:v>121811</c:v>
                </c:pt>
              </c:numCache>
            </c:numRef>
          </c:val>
          <c:smooth val="0"/>
          <c:extLst>
            <c:ext xmlns:c16="http://schemas.microsoft.com/office/drawing/2014/chart" uri="{C3380CC4-5D6E-409C-BE32-E72D297353CC}">
              <c16:uniqueId val="{00000001-B8CA-1F48-85B1-F2882D75C308}"/>
            </c:ext>
          </c:extLst>
        </c:ser>
        <c:ser>
          <c:idx val="2"/>
          <c:order val="2"/>
          <c:tx>
            <c:strRef>
              <c:f>'06_Metrics'!$A$83</c:f>
              <c:strCache>
                <c:ptCount val="1"/>
                <c:pt idx="0">
                  <c:v>41 to 60</c:v>
                </c:pt>
              </c:strCache>
            </c:strRef>
          </c:tx>
          <c:spPr>
            <a:ln w="32000">
              <a:solidFill>
                <a:srgbClr val="E69F00"/>
              </a:solidFill>
              <a:prstDash val="solid"/>
            </a:ln>
          </c:spPr>
          <c:marker>
            <c:symbol val="circle"/>
            <c:size val="7"/>
            <c:spPr>
              <a:solidFill>
                <a:srgbClr val="E69F00"/>
              </a:solidFill>
              <a:ln>
                <a:solidFill>
                  <a:srgbClr val="E69F00"/>
                </a:solidFill>
                <a:prstDash val="solid"/>
              </a:ln>
            </c:spPr>
          </c:marker>
          <c:dLbls>
            <c:dLbl>
              <c:idx val="0"/>
              <c:layout>
                <c:manualLayout>
                  <c:x val="-5.3230013590668181E-2"/>
                  <c:y val="-5.54777097887411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68-6947-80A1-8C4A4C3E2FF1}"/>
                </c:ext>
              </c:extLst>
            </c:dLbl>
            <c:dLbl>
              <c:idx val="1"/>
              <c:layout>
                <c:manualLayout>
                  <c:x val="-3.8927490226559826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'06_Metrics'!$B$83:$C$83</c:f>
              <c:numCache>
                <c:formatCode>#,##0</c:formatCode>
                <c:ptCount val="2"/>
                <c:pt idx="0">
                  <c:v>256276</c:v>
                </c:pt>
                <c:pt idx="1">
                  <c:v>224855</c:v>
                </c:pt>
              </c:numCache>
            </c:numRef>
          </c:val>
          <c:smooth val="0"/>
          <c:extLst>
            <c:ext xmlns:c16="http://schemas.microsoft.com/office/drawing/2014/chart" uri="{C3380CC4-5D6E-409C-BE32-E72D297353CC}">
              <c16:uniqueId val="{00000002-B8CA-1F48-85B1-F2882D75C308}"/>
            </c:ext>
          </c:extLst>
        </c:ser>
        <c:ser>
          <c:idx val="3"/>
          <c:order val="3"/>
          <c:tx>
            <c:strRef>
              <c:f>'06_Metrics'!$A$84</c:f>
              <c:strCache>
                <c:ptCount val="1"/>
                <c:pt idx="0">
                  <c:v>61 and over</c:v>
                </c:pt>
              </c:strCache>
            </c:strRef>
          </c:tx>
          <c:spPr>
            <a:ln w="20000">
              <a:solidFill>
                <a:srgbClr val="404040"/>
              </a:solidFill>
              <a:prstDash val="solid"/>
            </a:ln>
          </c:spPr>
          <c:marker>
            <c:symbol val="circle"/>
            <c:size val="7"/>
            <c:spPr>
              <a:solidFill>
                <a:srgbClr val="404040"/>
              </a:solidFill>
              <a:ln>
                <a:solidFill>
                  <a:srgbClr val="404040"/>
                </a:solidFill>
                <a:prstDash val="solid"/>
              </a:ln>
            </c:spPr>
          </c:marker>
          <c:dLbls>
            <c:dLbl>
              <c:idx val="0"/>
              <c:layout>
                <c:manualLayout>
                  <c:x val="-4.7309541842506748E-2"/>
                  <c:y val="7.681529047671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68-6947-80A1-8C4A4C3E2FF1}"/>
                </c:ext>
              </c:extLst>
            </c:dLbl>
            <c:dLbl>
              <c:idx val="1"/>
              <c:layout>
                <c:manualLayout>
                  <c:x val="-7.8397301880969612E-3"/>
                  <c:y val="-4.26751613759548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'06_Metrics'!$B$84:$C$84</c:f>
              <c:numCache>
                <c:formatCode>#,##0</c:formatCode>
                <c:ptCount val="2"/>
                <c:pt idx="0">
                  <c:v>252647</c:v>
                </c:pt>
                <c:pt idx="1">
                  <c:v>306153</c:v>
                </c:pt>
              </c:numCache>
            </c:numRef>
          </c:val>
          <c:smooth val="0"/>
          <c:extLst>
            <c:ext xmlns:c16="http://schemas.microsoft.com/office/drawing/2014/chart" uri="{C3380CC4-5D6E-409C-BE32-E72D297353CC}">
              <c16:uniqueId val="{00000003-B8CA-1F48-85B1-F2882D75C308}"/>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30000"/>
          <c:min val="0"/>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Female share of members by age band</a:t>
            </a:r>
          </a:p>
        </c:rich>
      </c:tx>
      <c:overlay val="1"/>
    </c:title>
    <c:autoTitleDeleted val="0"/>
    <c:plotArea>
      <c:layout/>
      <c:lineChart>
        <c:grouping val="standard"/>
        <c:varyColors val="1"/>
        <c:ser>
          <c:idx val="0"/>
          <c:order val="0"/>
          <c:tx>
            <c:strRef>
              <c:f>'06_Metrics'!$B$87</c:f>
              <c:strCache>
                <c:ptCount val="1"/>
                <c:pt idx="0">
                  <c:v>2016</c:v>
                </c:pt>
              </c:strCache>
            </c:strRef>
          </c:tx>
          <c:spPr>
            <a:ln w="20000">
              <a:solidFill>
                <a:srgbClr val="999999"/>
              </a:solidFill>
              <a:prstDash val="solid"/>
            </a:ln>
          </c:spPr>
          <c:marker>
            <c:symbol val="circle"/>
            <c:size val="6"/>
            <c:spPr>
              <a:solidFill>
                <a:srgbClr val="999999"/>
              </a:solidFill>
              <a:ln>
                <a:solidFill>
                  <a:srgbClr val="999999"/>
                </a:solidFill>
                <a:prstDash val="solid"/>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'06_Metrics'!$B$88:$B$98</c:f>
              <c:numCache>
                <c:formatCode>General</c:formatCode>
                <c:ptCount val="11"/>
                <c:pt idx="0">
                  <c:v>0.37533368926855315</c:v>
                </c:pt>
                <c:pt idx="1">
                  <c:v>0.33730876788945552</c:v>
                </c:pt>
                <c:pt idx="2">
                  <c:v>0.29193875253321322</c:v>
                </c:pt>
                <c:pt idx="3">
                  <c:v>0.2743662735529348</c:v>
                </c:pt>
                <c:pt idx="4">
                  <c:v>0.25738670393292074</c:v>
                </c:pt>
                <c:pt idx="5">
                  <c:v>0.27695705803046383</c:v>
                </c:pt>
                <c:pt idx="6">
                  <c:v>0.30759068837475007</c:v>
                </c:pt>
                <c:pt idx="7">
                  <c:v>0.36041615511236008</c:v>
                </c:pt>
                <c:pt idx="8">
                  <c:v>0.38484921715019776</c:v>
                </c:pt>
                <c:pt idx="9">
                  <c:v>0.40929772210240201</c:v>
                </c:pt>
                <c:pt idx="10">
                  <c:v>0.39370742577588491</c:v>
                </c:pt>
              </c:numCache>
            </c:numRef>
          </c:val>
          <c:smooth val="0"/>
          <c:extLst>
            <c:ext xmlns:c16="http://schemas.microsoft.com/office/drawing/2014/chart" uri="{C3380CC4-5D6E-409C-BE32-E72D297353CC}">
              <c16:uniqueId val="{00000000-A5ED-8E4D-9D8C-FC64F9E112BD}"/>
            </c:ext>
          </c:extLst>
        </c:ser>
        <c:ser>
          <c:idx val="1"/>
          <c:order val="1"/>
          <c:tx>
            <c:strRef>
              <c:f>'06_Metrics'!$C$87</c:f>
              <c:strCache>
                <c:ptCount val="1"/>
                <c:pt idx="0">
                  <c:v>2025</c:v>
                </c:pt>
              </c:strCache>
            </c:strRef>
          </c:tx>
          <c:spPr>
            <a:ln w="32000">
              <a:solidFill>
                <a:srgbClr val="E69F00"/>
              </a:solidFill>
              <a:prstDash val="solid"/>
            </a:ln>
          </c:spPr>
          <c:marker>
            <c:symbol val="circle"/>
            <c:size val="6"/>
            <c:spPr>
              <a:solidFill>
                <a:srgbClr val="E69F00"/>
              </a:solidFill>
              <a:ln>
                <a:solidFill>
                  <a:srgbClr val="E69F00"/>
                </a:solidFill>
                <a:prstDash val="solid"/>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'06_Metrics'!$C$88:$C$98</c:f>
              <c:numCache>
                <c:formatCode>General</c:formatCode>
                <c:ptCount val="11"/>
                <c:pt idx="0">
                  <c:v>0.37954859511745737</c:v>
                </c:pt>
                <c:pt idx="1">
                  <c:v>0.34369825206991722</c:v>
                </c:pt>
                <c:pt idx="2">
                  <c:v>0.29316461057870491</c:v>
                </c:pt>
                <c:pt idx="3">
                  <c:v>0.26233984457046838</c:v>
                </c:pt>
                <c:pt idx="4">
                  <c:v>0.24499224900452901</c:v>
                </c:pt>
                <c:pt idx="5">
                  <c:v>0.23384256105867471</c:v>
                </c:pt>
                <c:pt idx="6">
                  <c:v>0.22849491162292448</c:v>
                </c:pt>
                <c:pt idx="7">
                  <c:v>0.31692307692307692</c:v>
                </c:pt>
                <c:pt idx="8">
                  <c:v>0.37931663323330955</c:v>
                </c:pt>
                <c:pt idx="9">
                  <c:v>0.38819033793736524</c:v>
                </c:pt>
                <c:pt idx="10">
                  <c:v>0.38231537825858314</c:v>
                </c:pt>
              </c:numCache>
            </c:numRef>
          </c:val>
          <c:smooth val="0"/>
          <c:extLst>
            <c:ext xmlns:c16="http://schemas.microsoft.com/office/drawing/2014/chart" uri="{C3380CC4-5D6E-409C-BE32-E72D297353CC}">
              <c16:uniqueId val="{00000001-A5ED-8E4D-9D8C-FC64F9E112BD}"/>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45"/>
          <c:min val="0.15"/>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 ranked (VcG excluded)</a:t>
            </a:r>
          </a:p>
        </c:rich>
      </c:tx>
      <c:layout>
        <c:manualLayout>
          <c:xMode val="edge"/>
          <c:yMode val="edge"/>
          <c:x val="0.20505248917748917"/>
          <c:y val="0"/>
        </c:manualLayout>
      </c:layout>
      <c:overlay val="1"/>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'06_Metrics'!$D$20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'06_Metrics'!$A$21:$A$32</c:f>
              <c:strCache>
                <c:ptCount val="12"/>
                <c:pt idx="0">
                  <c:v>Schleswig-Holstein</c:v>
                </c:pt>
                <c:pt idx="1">
                  <c:v>Mecklenburg-Vorpommern</c:v>
                </c:pt>
                <c:pt idx="2">
                  <c:v>Hamburg</c:v>
                </c:pt>
                <c:pt idx="3">
                  <c:v>Bavaria</c:v>
                </c:pt>
                <c:pt idx="4">
                  <c:v>Lower Saxony</c:v>
                </c:pt>
                <c:pt idx="5">
                  <c:v>North Rhine-Westphalia</c:v>
                </c:pt>
                <c:pt idx="6">
                  <c:v>Hesse</c:v>
                </c:pt>
                <c:pt idx="7">
                  <c:v>Baden-Württemberg</c:v>
                </c:pt>
                <c:pt idx="8">
                  <c:v>Rhineland-Palatinate</c:v>
                </c:pt>
                <c:pt idx="9">
                  <c:v>Berlin/Brandenburg Metropolitan Region</c:v>
                </c:pt>
                <c:pt idx="10">
                  <c:v>Saxony</c:v>
                </c:pt>
                <c:pt idx="11">
                  <c:v>Saxony-Anhalt</c:v>
                </c:pt>
              </c:strCache>
            </c:strRef>
          </c:cat>
          <c:val>
            <c:numRef>
              <c:f>'06_Metrics'!$D$21:$D$32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dLblPos val="outEnd"/>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rnd">
              <a:solidFill>
                <a:srgbClr val="C00000"/>
              </a:solidFill>
              <a:prstDash val="dash"/>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autoZero"/>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1"/>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_xlchart.v5.7</cx:nf>
      </cx:strDim>
      <cx:numDim type="colorVal">
        <cx:f>_xlchart.v5.6</cx:f>
      </cx:numDim>
    </cx:data>
  </cx:chartData>
  <cx:chart>
    <cx:title pos="t" align="ctr" overlay="0">
      <cx:tx>
        <cx:txData>
          <cx:v>Untapped potential: members to be gained by reaching the national average</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Untapped potential: members to be gained by reaching the national average</a:t>
          </a:r>
        </a:p>
      </cx:txPr>
    </cx:title>
    <cx:plotArea>
      <cx:plotAreaRegion>
        <cx:series layoutId="regionMap" uniqueId="{FF8B1334-FBE9-C849-9DD2-87A49D6C29A5}">
          <cx:tx>
            <cx:txData>
              <cx:f>_xlchart.v5.5</cx:f>
              <cx:v>Untapped potential to national average</cx:v>
            </cx:txData>
          </cx:tx>
          <cx:dataPt idx="2"/>
          <cx:dataPt idx="3"/>
          <cx:dataPt idx="4"/>
          <cx:dataPt idx="7"/>
          <cx:dataPt idx="8"/>
          <cx:dataPt idx="9"/>
          <cx:dataPt idx="11"/>
          <cx:dataPt idx="12"/>
          <cx:dataPt idx="13"/>
          <cx:dataPt idx="14"/>
          <cx:dataLabels>
            <cx:visibility seriesName="0" categoryName="0" value="1"/>
          </cx:dataLabels>
          <cx:dataId val="0"/>
          <cx:layoutPr>
            <cx:geography cultureLanguage="en-GB" cultureRegion="DE" attribution="Powered by Bing">
              <cx:geoCache provider="{E9337A44-BEBE-4D9F-B70C-5C5E7DAFC167}">
                <cx:binary>7Htpb904tu1fCfL5yiVKnNToauBS0hk8T7GdfBEcxyEpUaIGUtNvu9/eH3vbmSpxpau7keDiBXiu
QhVsHfFscZF7r7U29feH+W8P5vG+fzHXphn+9jD//lI51/7tt9+GB/VY3w8HtX7o7WDfu4MHW/9m
37/XD4+/vevvJ93I36IQ4d8e1H3vHueX//g7jCYf7bF9uHfaNhf+sV8uHwdv3PAX17576cWD9Y17
ul3CSL+/3D729X2zvHzx2Djtluulffz95Tefefnit+cj/elbXxgIzPl3cC9BB2GCEs5omHz4YS9f
GNvIT5dReBDzEP7h0cfLyeevPr2v4fZ/I54P0dy/e9c/DsOLT///6sZvgv/q73qw6cdnT+1ToFn+
4cl++3Zu//H3Z3+AZ332l6+m//nE/KtLEG6tm0wPrtcPDv3+Uty/e2yC2//zP71zj/Xbx15+no6P
SHzz+f8QCcwPCA7jJP5qqr9CIjkIMWOIIP4JiGdI/Dm0/3rxXXS+jfH76PzlYN8MAHNy+/KfrtL/
J0E8eXyozGPz1vcyuLF9a+v6sW9+HpAkPmBRiCOOWfjhJ/p2S0UHmCHEI46+u6W+Du/2cXAvzi3E
d9/o+x8A9N8a9BmwJze/GLCif6wffy6QKOSEhegjjiH6Bkh+wOAi4eFnHPHnNfQxN34M5wdA+9MA
zwDaiV8MoKv72TZL8N+Nujfu82T9eOYk0UGIYoSTiHzZUV9lToQOYCNSxFjyEUeA8WP5/IjTN1H9
AFz/bJxnqF1d/2Koicfe6J+5raIDAnyJRZ/zY/zNtkLxAQ6jGNHwc6X7Fq6P4fwATn8a4BlAApjG
r8VKoDoAL3kqaJ+n6udsqjghKKKfmN8zYhgfEBJhSjD+7qYSf8T0I1B9d5TneP1qafDYTo/9i4/p
4qcCxih52jefmDwQxK+yYHKAKEkiHH4iJeEz/vh1UD+A2D8Z5hlkp/tfbItdK9+D0NP3PxGv8CAJ
Y5bE8R/S6iu8oGqFkCEjhMjn7/xYrr6E8gMofW+MZxBd734xiMT9eN//TIBAkCWYckTwH4XoW4Aw
SqCQJX/g9zWt+BTPD6D05xGeYSRe/2IYndreqReXSjePwZO2aYEI/kzIwM3ALKFJSMiXqvQVZOyA
UGAWcci/3VLfD+sHkPuXAz4D8vRX09BXD8o8DpOWwc6awT3+VH6IDxBDIY4/MYvwW/2cHHDEcQRG
yCdVBpe/3nd/Du0HgPzLwZ6BePWrZcwdOHKPnyfvJzDG8ICGMQpjCkL4q10HzlWMEIrpZ50MfP9r
wD6E8QMYPb//GSy7X43O/3RiCEyCRDEmEfsoj//E5GPMMWU8/pIzv4bnYzg/gM+fBngG0NXpL1bF
dvf1T9ZaIKYwhvmPo48QPFPEIVDBmIYkfkYFPwXyA9j8eYRn4Ox+taT2gVwYEMTB+f1Tm6O5dz8x
x+HkIEExizGOv2c1sQOM4XoYfjainoms7wX3A+j9i+GeQXl5/ovts6v7+/4Jyc/l4sdLFMAXc3As
GPRZPv58U6noQULiCKjF56vPeOLngH4Asu8M8Qymq+P/bZj+ecPsS+cwu3f3+YeW41c9s7+++rnZ
9uzWT6X/u1h+LDv7d7+/5CgCCg/M7ksz82mYb2jDFw37eXl8c9/j/eB+f4miA7BEYvzU34TeGn8y
PSbQHb+/BBbJOOCME8JxAs1P4CzNkzr50BKlNOYxw3HEKYL/vHwxWP/hUngQhVBGaQLpOCaI0C/d
3nNrFmmbL3Py6fcXja/PrW7cANGgpw5C+/GDT9FCZ4EAMUooeDII4osTKM3tw/0lWA1Pn/+voipd
UU9TmXJqdG4Xn9PALodmDOzRFCbSiRkTuundhdfXa4/RPi66NucdaS4mM6V8bEfhJTkvu+WUrfrW
8FjgqZFCtfxOz32QBlN1Vcqy6IQdVSukjt5HNIw20zrHhzZsZiqsLKbrqsFDXieoyGk8vdeIbeho
X/OKhymetBEFZ6GIuD3CbhnSkjajqMlqstk1N31Xub33tjSCFs5v1gnjDR1oKGTlcV7IrtswzMsH
WURx1hRFmPZ29WIZm/Ne1nYzDEN1vJA2OCfh2p/0xTjnntV57MM3HcXv2+ZWan7qO5X2gToLVJfP
hAVnZTOeoBIdSbI8rInJexfuqqU41Yq88Xg49r7sRIs5ess4vSjmUkyxSxN2miBy19T0emximbq5
yeq5C9KkXpwYy0aJjvfzXgXoKmjmR8god5INZdrLVgrLlypFlp3X9XzRzKQW3UgeA81qUTVTLUjQ
k0yP5SWKykl0zOZTRHJt0U4lLckWWV2GbORaFNQ8sEptl1n1WkQD04LNNEkRSu7WZEkblpyqTkkx
tfJMR24S0gxi5h1cauScqlB1exeRfSHjdhPH7Z1UiAo5j8N5KWuJ0oDzkwWH1Sa0ZXhJbWj2oUnG
DFkU5QFhKGNVaLMgxMWOqiE66l0rFHVFPgUoVEInS/AYSTlted2ivG6pTCdq3L7zpRUJD9dGrEXd
GYG0KQQzlIpqGdvTqjRO4AgNmWUOb8KuZcdkZeHDRFR/LBfJMh1IveHhUJwFS2RftVbJo3I21Saq
6XChekNEq709roZCHaoKJ2LREqdT05V5CTtG+ZIfqap1oqfGplE9mnNKQjHYjh9WJe3vxoCAiKWN
MKQZDEwXfjVKH+2KacGitOsxC227QRUnJ7aIgt2aqPtqqC7jCQ9Z0sz6EFWxTsm4PIYNSokmPpPc
+BtIHhc84bWYIn1qGs42Y8yuKIrQ8bLgNidqNdt5DMIrJ2ucLVhe91OCDoE2vO1Cu4pZlplr2/sw
iHFqi7aDMwi8FxrHgdDreBi1/LAxyTVtE7TBZGkyVNv3XYSjVC9ot0yVTmvURHlr8Pt+bIt05vh9
rUqTRius3mahUpQmOp4Kt6m7fsmc7yrhyvldIVkjVNnKrRzdAkcwzINiOg1MsW6CpJJpvcJCVthR
4aLkaCiMUIvMx76aRFQuOZiWNzNJfG5YYkU/D5OwtAmzUOuHqQqUqAzkJSaDK9XoOi3CbhfJ9iJg
A9nW1fSmjKho/ZSXM9uEhT1CkMDQoGqhbZ2pbtoOASzDmXSC6XWjbJdW83LTxnUjtFGX7eJQqmyQ
ya7fVEGDRWDQaQG5fuPphM+K5UxjL5pGvXVVWIrVkNejXVBeDTLIuJ4TsTK/pmrub03C+oxpej41
7yc3BwKxtd+3dN4HOqlFm7R8g0xf7MdZ9huiwktbRtu1mdTGxOw8dHI+bNq4FxDhlPaRb7LJyaPB
NXlY1mm5jqcqDLeI1BmbGElNGd0zOm7aodvbZD0prXxY+nZD63LvWXhMg3EbGnTBx+WVwuSqZX1u
lv54LeYW1msotG4fFzlaESbFLFCisopUnZhwVW5G1JwEkWnFPKhHbXqZxuPaiwX7t6spceojupdJ
2aWJ1TStgqRPvSbk1ikdirpckRElbuJ0bFmYLk29nZr2xvVBNvAIZQvhG+rpBS/rNuVu7XI2s3s2
quNYD5cJq16P4btyYVlb6STr+lEJ6cPzarQwX+6MT/qy4Dojbg0yBCVCrHI5dU3zumYr3WGq1o0f
UJXSIN6rKtjRRd6Yom4FgQFPZahW4UN/VvJqG5BuSpWcTKoT0qdrN4WiKtEqiji50VPnBAuMv9Y1
mfdmxHHKgmXNaVkmYqjxAw/MZajIkeftMaHLWa1smGFdTju7lmFW8TktNaoEGetDputZ4Lp/73rl
81YvGdETE3XcbHRYPEwx9Vs8VbHo+Vidy9Zf9s77dGy6+qxjYyLMElwlsr8tSXHe00UfMWVJ1i3F
iQkGtBkTp1LTJCes5ifSylyxMRBLz9K+a249hhw7EH+/ljbHpB7EZOzOUn1VDZbnNom38UTmLSoQ
2tRMk9Nk0RBmTLqdC5xIXHVEBig/klQXdQTLppuTw7AI6TE3yTkb+lUsQa+zFfbDPMOeYoqUuXOV
yUzc0syu8+t5bu6mKKjTyPVGOEmuMVKXcFDOZw3m9oK5/lzqaWukNtcxLlHug5XsRl5BIcXAB7RH
rQgkPA7TnaBtRERi7ZzCwSt2quz8yKQ9RNLdOYvntF9moYom57QWXuMOuAzuRdElkA6GHjbqHOzj
4aRWfNpOlbdiKhTLgt6f8NmdV5O9JWUx7NkQJKJlDkon7YSj7ZXmckxX606WxTmhozbJl7q8bAsU
Z25mr6ZO7RseHBW8Vxs2rYOoA7ZkQTkhYU0RirlhbV7KV10XVVlX4is3tjuku3fKEGAVa3VTLE+0
JpQ8j6a1SesSOMtyVwRzLGos75gtyrOg5ZUIq6bI3ZrcYg8EoUUqTk1Xyqyb1FWS8GsThmwL1WYE
9KP7lsswM7J7H/upFzYqXvecNWc1pHAxB+F+gTyfwSYLTtx6slAybKYId3ee8Hg/OUtzOauzNQ59
tprhqMPBpnQ6GxldBPUyFqFnUWaLvQyicz/N8HBQeYNxVpnHwCD6CEp8NZZiKds3WJtolzStzFvr
7uNaJQKtzbuuIqdujUlKIspFnXS3UYmH1MetP4wcNZUoiNnRINgQI2MNJQ4ITTgvJpctljfVjMZT
wiabumUCThvzkxjJi2kdU26HLpNo7F6HSEGlYa3bA42NpKDAFWB7LEHzdprrJR3iQW1XOpWRQFQt
2UAmLJalOxsMdim4liFUloaJxbA2HWELb6dkKbOyiYd9FLi0L4ubgFsJ9G1yadMF79oFE6Gnmr/W
a+Fel4w2qRy7/qxC4Sr6NXwXxCrKgKB1YmyCI2dhjiXSr0NC27QuFiXYikQZFTotIDnsxoJiUY3R
LTBEKUZbHUc6KvbdkKz7pgnWfDXdzSIbc6WCKo/Kymc86IJ87iad1W0h83WShxWrUk8aKDgT3g5T
gLOeVwYSEuVp2c5q0xpAC/AuM6u5aML1VBoFOR73b2tJ2/uFgDpYQEDUtj3GU39LO022CPdJriUZ
dzaoirTycbGNkhX8f7yWwnGUJp6nk8E7H5BEyAn2XddGcmdZ12VJ7cqN4cpnEwoksA1GYDeGLh+Y
NCnraJ3zZU6ysOxI1lRRmM/jOGdr0uu8GLwYFBo3dF7aTRLQN42s5j3Q+1a42KpNE/f2RC3NWRF3
tein6XW3cJ6ZqHrdENjDkfHZ3MU2S/za5qhIeiWmBU1vphX0D+W6hTQBeQfPwRurfHXeEqYEjdAO
MXmDVNhuGJ2ulxHkACPXcYCPdTzkHVenSzuecN5cuKq1QtUlZNsmodlUzyEA1LMdIbrYzWXoG1HP
7FpKelkmSZAHiMiTcOmndCU+H6K4ZEKNTh1J7Fha8PFqWks4ehrQ60m7sMg70ABZGxV9pqsR3yUq
GhQUIR/fIm+vqhmzUx+WUToUrNkXDhhXO8LGbWRhN01vXrV925xVzE4XPK7ojfVj8jquiLscdFLU
YnC2FGADt2lIqibzZl1g83RjSpF/q9FoU13M0+UYGOAePTmpA2T3AzLtdThpyAm6xXfSuE6JAXl6
yytVZZqu9cmgFNlxzvFuqul4qsda5olbAiCKyF333eQ3le7WIQ1YtKTL2p0Wve42upP9IXNrvYEV
+DqS7NyrgmacjYMUnQvQ4TQwdWwTpQ9xEqyXc1Ky09LOoJRkOwVH3RwNOw+c3gg/FUGXDUXQZBYz
asVKuRekquIdw/1yFUZebgrehKeDb6JtXLNCNImvcwVs/YyYYs5hNbc7WlJ56P1ITj0yCMTecEIa
WBzJMHQbyB3NReDIlDOF3AnzgT1LZp/yigVb4AdLDkzFQY3t7ZS3U9juHBs4qGZUn1hURiczXg6d
qcPLqmvttiiD4hEFBdp28wSMnNEqFBytJgcmNm6mHunTuPTpxObzyq0rrDZ+HIQNgeJyCtYWTxfW
VjkeR3ddIz9unCnRY+8SqArjGOMcje2axi25Q0hmDeq7rJ1smdLKjscxoX06jzYo0yCZ1hMZeLGq
Mtp1s0T70lj1rofCv+fNhG870oEUMFVW0UlefUiwqgJFotxcAifqLnvu0CaYkxnSdzGBkpnnrPXr
dqBDmyWmKQDPur0eVnAZxIiSC5lUahDM8+lsDBcj5nAFaWvHBXJvt15UYwDhl8OQBbLbmabNltYE
lZgj57WYVwtiryravF91sqnmvjxbtOq9YLgdtzriajdLBslS24mcLsMQ5WpO1DlxQEo7ww45Lvk2
Wddii71+341G3dXzQE4mu/I9LzvjhVzQVZEstYhkWGY9Gi5V5+csmqgSyhfltjETvavhLM6OGC4b
ESwFgJVg93oYA0hNmF7LuNn7qGlxhocSKIcFpcQMmg65i+UNrOnRi9l0SYa7dth2VYD3vXrfQT0V
zvF2a5m8n9tm0wHvTqM+VmnJpgYmZipFEsVdGlfR0VrL5nDUvjmpiwGUfx0L/qTLeICOVblcDo6E
b/vIXMIMgoTh4ZIvwGq3ziRlThw2VxXtCxGWrM2aqTFvI2XM3gxVyirqXsuYFinh/nydcXlelh5m
L4hBGlLkhquxCuc3gX7a2xZtyUB4LkEARppfDDHbBq10J+E6tEe+rMrcTMNRT4DSNr2eb7rAN60w
ATChaZDyTRe0x4Ptyztcc/xKS+q2yCsuPAZpCLm0vpThjFMTTMtlrQjQM4zkOVpKUG7AMkM1Fq9r
zroMrUGZxTMHijnG822B/WQFBpMiV9TQbeVJqWB65voMt+X8BjLNa1t15nWsu2Wf2JE9DGFYZKuC
NC259qlzCRHAHG9rM7mtn9sRdp07BDsKxhka8Afm8r0N+3orwch7U/VLlHZshtU7Sp2OlSORmFg8
nial5pD+mb6eVA301sEbEHDgv9mgrjNZkRi1KX0SZsDZ+8sC03E/6MaA/piEm3mRgcNS5nOCzBHR
rYFTpuCdfrJ2vzEnH2y79FqqT2+jfPn1H9e2hn8/3PPHH59eZvnjt5PPb8H85ae2j/bprNLw/ENP
0XwZ6483NZ6s3S+hPrOLP74380+85L+8+G8azSEmDNO/Mpq/Pf/6wWX+fNMnlxkO/MNpVTgGBKZ1
DEcXvrjMcJYV3q7BSfLZSQb/97PLDNY0eI5wgDxGDN754HDps8scHcQxTyIeRRGFEyvkPzGZYzDN
v7WYwa6GI+pRFMOp2wiF0EP82mKmhgVkVrUHbVXYdCHAvzEDMmBQPQMRsQWktU6D6I3Qpi0bMIcS
qkVY8DNatm9tRZ6KENDOnsOLClGUhTjI6Sh5xlZp8gbxdRMHSywsWi8aO4yvOVish50i+0b5S9TV
ILPdtpzokNYL+CSRGXYV6J6vIPmOlw6e/F8+JSD69VM6v/S2DioPBc4X+z4sLprkyRwdp7QbZ9FN
cZl6ZaD38qXj8J1vjdGfZvfpFApnGA5XRnHCEbQRvv7eietiMb4eU6aXOzm0LYhscHJamNEoBtkM
pNkJ3tXA7byeN3MLLA9U311Ud7cKXS0tK3KF9Cvq4lfShVW6PPmus2I5H8p9wdvrODEbG+gHpVee
T2Ww6ZvqDcdgNI+disB7Xt5gP0y5jM3lVFZMrH0B5mNVCVD574YKclwV3a7xcI3HmIoGsXuqQiiX
cX2Kq0WfR2EwXVS2eI2UunFR9N4VVZTOQNm7rnlsmcJgmIcJSJu12y5hgbMxScwW2i3xLkLtJJK+
Pl68vENVdQhGaOaXZADauwLdU/0biYq7p4HqdQaroVQ8S2JQrCgAG2egHwhDd8yrRl1UkvG0Q4M+
4QnG54tG70tOx5x0CqWGrhjS5VBkKihlCr2Q5SJBdLwgOuFiaiKUJ8qsmXTuJgwHI2Lj+ryvLN8q
rrRoCLIiWEF5lAUucj/Iu0Iimq41ZRCMSdLFK3UEPsssymUM8lqFEXC9ErQytpdJ5TI1FfgwnOMC
xo5WULHl+UpGsJfByqHjVIGxMW1gl4GGtIvKSwNUtlnbKS0aawQnsjvva2PE6OR18rQk6hmUyuDG
ettMcj7mWsntADwpA6xBkY7m8EM4BAcXT/6ut+8NZ9PJ1DMi5kr3YnbhfV/HOKOsZSLgEc0L3e9h
QS738Ibfac2hOwHH5ZBI5viajzEXBFENZXQAKCgYRvGVX+VxV5c7rKBwQbXWG+gQbMNBixXHLXi+
5gKa3v1xz020d8Qt2xh28BOiFS61qBLs86Bcq/0Ay8wWGCzieDLiaeFRH/usKsDSpAYz4H4D2czB
kzzttDNZX7Nqb2pzl8DOIiLE64klxcmCgrcO3tvKpijZl8uSYaL5RkZLPqgwK8fiBPPoHFLR1WyA
OY+xBje/M29kNG3rRN3ExJyhxL3lhaYiKlYjyBqEOa/52YTpTTyBT8CS3VjOANSYPE6AHzC+gaau
HqFXwcdMViCBx6InAvkwx+VyiycVpIXqrsKma8+5gq5JP6hKdKqDZDm5K8iB4JKC5m9c2W4qhk/r
ld5V4PWIxRenQ5zs1qC4gb7K+9jgIzKO0CQpFCjqIq3bpocHhBZdmaCTqYUJ4iBA59VtYBGkUwIO
QklsLWQP6MzqrVn8oWoRzZlcTVqqhotSw44PerXrFmDJTbG2aTSgo6Vbq9Qof+J1q460hDZbF44u
neCdj7wJnDtZneLbqIUmkZXtnEs9MFHObj4rgknQwI2vbNHASmaQTZK5pHvwRuRuGtdWDKUssj62
I3TVzE2gbX8bourVWkkuuPPjzdhCKQBtBLJ3rfqttzR4q+bCQm4a0ZxTogrBadVtyOiqV0+r2bTV
8ECbBvo4noaQzelhiDw89Nyn4IeyCxeitKjvimEGlis7l9HCx9DBUucyITKbrDxtmmFO2QpdKc+L
If2Q8v8/UfpXHfkIc+ApX9XHP3Xkv3rn45ue/Oc7P7ElDGwJuugJxYxHDGEY82NPHo68gz/IEPTD
Y2itf/i2z2zp6XUTBnewkITQzAFO9IUtoYMY/p4weHWWJfCiMv9P6BIClvWcSvCnV4+eXtAEDkZp
8kQ1vurJd3Se1o6XLsWkLUWDodE9tNA90EmANWzMqDwr2roSbdsanU6+mq8xJNF95Qp7zsvofa37
Mn06w3rk1x5tTceHm2GoJaQWcE3mAL+eO2AqLKjsBsok2iBcqzvwrUEPxGvat/4urCKTY2BTaVjI
YeubdyWOBSunNnfOcrD3Zn0mobmTdnyCmmeSKw9t2jTCi9zX1oCK7mcDPj+032o0JCcyDOrrp2q4
K/HqjifoDAtPmy4BjwD192HL0P1IBq/StizWTHdNl85BXJ25ZFnJtlLxukscWdOubTAV6xKQraJ9
/zg60+ZsSvx24axMk6okOW7q+ySwfgc5w123TcRIZl3nro0pAiCALb4a58hmEcH6ZtRP/XbOvALb
pC02svRRruN4flX7ub+ug4Kn1AMhUjHTwXaSfbULJqW3oQ/gQcpouKC0p6UIY2C1Wtr6CM1NnHFT
l5VQaw96VhX8teFAVerQQQfQL7R90zYjOC62kG8UlPubbnSQ0aDcQATFQirhTf++gxUMxwdmaIvV
KCtjknHbrFC9zHQyNuAP+BLc2KgKz8HRXaD6ECbYBHab5gs6icvuHI0abPq+As4QYujZ9f390M/n
bJnbvGk0+Bmtf9MkPehintgqb5dBpxiOh6SqpOcoiN5Y4xgYtpTJLfM1+AGe3XIj1X4ofA9pvxs3
fclM3taDPPYzhu6lD98x5pdDBj0GeOx9YIITvaLDBWOdsrFxadk1aZSAvjb9OB9Z3Ni8h9HcTOXJ
6ouzjsZpQGskJjWExxZ6ikcEPNA3VTdexe1wm1TTZTk1R6jwYPy1+ijo7carSuXVEs3QqynzugLe
XQVg2s0ULGx71hT0PAYnRrTWHgKAzcZE0T2sa6jccbd1QXe0MOzANS8Y9GK1g8Ia0yqdCZ3OW2jO
P1TSNHscTXZrGDTlCDgXPTSANobKez/6WUSNWbfRwC/+L3tn1iQp7mX5LzSMCUmAeAUc38LDw2PP
fMEiMzJZBUhCLPr0fbxmprv/PWM2Nu/zlmUVleEOWu4953dueVBkHxxMOmhq9XEUFPdUKf8Wo7eh
zphlNmkHeemHjNZ9WA9Pul3FvtSVKxNRxI9Lsx7rhiSupgdey5ce3hwx8BPg9a2d3Xe6/onS4byU
84tYzI5AEoRpPO4BLDzD+NmXpWqz2Vsf6Fhix9codoLx5jMGTZiOGYdc3MXeMy2q3RBU51B4B+aq
xMU/xopZ+LEsceyXXGPIPHP9tEbXuRJQLSPyHdKmh8m3hlnpzENdVNnsxN86Zjc6xQbybJONVbOb
vU2npuwPvozPnot2U6nWZJTFkZB1SYLJ/1N7K2gSltPN/qWWX8Egyb0IxBeFgPDkay+EcQeOpyMQ
EEW+xtBNxTZ8udi92phB8JcC5EFI7G5d+RMcF5G01L/40/i9RGZfOZIpv3oZmOUopCCLEFAJbTXu
ycY/q5nvbfnXDOEDOs5vO+r7jp4zxyaZmXvvtBSkuNhNZGRzL5DpXuaGXF3XurT23NO4hLeu0Syv
KnVeZXxCkOfodwBsKMyTcXwQ1XaGX/Np4N5R6XY2DHahrMcs7Ns2jdfuNMKmq7vpwVMb7N94PUI5
udaaPhMuYKtLGf/lIe8BYQ1mX8zzuYlqgoN+GOPrYGv7GLUGdmYt63NfWyi+MjqL2QEnGdTHtLIh
VXxUiaAjFDalM1vKPl3jMh/8BfhP05/abrhJV362UV0k3TTkxfhQLmzXyobv2pK9FU2Y91HxRG0s
nyOmaYpD/zXs4v0/vgZH3/C5lM2x5cBKENf0z65bGJZyCO/O22xaTfZpYxDFuyDsjnNb9HiZrXho
wzqCR6/UwdTBcd0aBdNWVVklHTRw+dbMsE2MITtSd/aHj19R9NL/tnCxUb3Z5nFeo+bg1PgV1+3A
4GtVcY47qIJHGUXN33qZU93x+TVmHgwPdKZ77VEcklsUGGxC45pb3QXF3uMeefe6unhZw8rPa1ZN
rwwuy4DPX7kj7gXopEIX3wUJxLe2mztqh/bLIxrGKvCthCnGHoZuaSlaoDas0miSZbKZARdgHSw5
IXoC9+bfptmD2a1lCpkyTlTjH5ZJ1rtGFNhbOAq+eSRZrrGqodsHHVaWxX0druLbxwSYIJnbcM1Y
5f0aSsiLXjlA7YzH4qdkZZtKdUcxmoC8+MvSHgeOptNYqJMwsWh41bQxX3oFvVJO9XxUvIpvPmla
HIkt+SjCgqBPB/KQ2LF/Rav4Non5Z6zDPYWQf5b4DnDrcRTmI42aXVuvbTrc4T/DCV6yEd5uWKXY
wa+EjOk4ScLIG7JFwzSFguqionrYcI7nS2O6x8H65jSvSoHMEFveI6i420II8A2gpXRVgYeyPM77
yZ/3Ub2YvbbjxwZDdI+rps/HCIBhW0po3Lp7Gnzo8ISVIgWXIHFC6DUxpH/iTVh8BbQI05Fr36I7
np+o6KH3xmg04+EsNlHscI2atA2U2k2QNDzTul1dwykObTcfeSnTkLm9kj3euATct3bL32BoIbPE
MFSretlpIz9GOnkPvQxoOjUia13/CktO5zMdHtsg+tRQyg3V0KBrL878uRGJP3Q6QTny2Ucmm4Ot
OcP9n1MAIzxh1r96zeiyOFwrUDLhu2jlN/EVBNkpVw3ZBX7pUFoEU9IpzbKB4FYrCxh+KzQeNTiV
AIWUe6UN/MctyluqvTNpGn72hz68OrpAEy5QWFoHt8EWIxpJHpL9EGs/8Sv5t6T9gnPZlDussQNW
uZd0VoTpus0vm1mC3Gkp00ANkLa8OTq0EuDIYEBSsoVixVmR1XabUmAPdY6+86GbCByNbgcxSyek
G1TWLmbeS2iDF+KjgxMCdmQZqS7dZoCXhFTdLRrDICswmOgFdz9dkn60AOP09lBoeuW1z1Jia5b7
G0+VnmgK+knfRKdFVtgOss085jRWU5mBQBny2Hr92xRFr6A4DZpigJftys4Q/d2+LfEElyAI96JZ
2LEIVjxMIAyfshP4RLQyGbhQlRFcBQnvx6HcA9bqX6ImOG3x1h5ks7yUMnZni130jVMOLwjg7SOp
ZV5qp86E6/WX7yK1G/qCph28UyhT/oOU5qPwXfu0xERcVG/oR8+7q2FV/ehpKO5zKOMn2QbJRqch
7ZuqOfoMfBTkuPqhi8OHyRV6N6j+Ny2GJuMFvPbC42/lhv3U+p3ZLRqkgxTuaIWT59ZbzmuApnxm
7CkY/WvYmijtjXWnxgc7C6uAmZSzeQH723ygyqTnYDTjoxewR4+Dc0RvQdjF+j1LJrLl1A5ZOHdD
HgYyyLE3wl3dQ3TFXTv1MVCaZnz1Ag0xSWz0FK6zn1nRwuSqh4exVfbc2B7SgcNN1QESDJVDfYrC
bkccTjTt2T8ujP7Wc7QXrT+hF7IevtfqkhAL7mOro/vlPrzzyldRos3Z6ik6F3r7yVShsiKUBnhR
uW35UszBQaMuvL/Q9YgbQD92YaTeJ2VRIfSqnhVKoOhcOSoPqGRlecDuny8El+MWkfaljK15FaVY
j7pc1nzWQ/0otZlVGgYquBZV9RnMhqe87VS6aU/JlDB5tEVQZwzFU15XYr4uIUz+oNwurNSAgiTU
zoqqGc+gQQexBA6U1ELLx7KK/kYrw524GQ3FZIxT4hx5qPuivKGu9w7WydqH8h2XN5ja8OXs5DdJ
oaP+oEoKcgaWYvF7XcvyPDChP8ZS+U8DmGFQP+GpW+oordux+wYC8kTiewsWSpJtFcS3pvXq4xLj
A8a6V3m8rPMbKDOB5zyxY1tFHRouuzzTdVBAnC1vT361dtlmxtPslcFh63G06FkALhqC+egaF/6M
QshKtC0fbQTD38c2LAK/PXldX+abHQDwADMB21HjYIu2LvOq4NkbAcjFBTd5QFqABEEx3aAQB+gf
AISgo+x2hRcFx41Gz3wt2meNVj3RY/TDW+vlh79t/jFwffTU8rUFEYdO2hp/gTYjwESEkM/zhQX6
0eoWxXkJ2/PVk8GEasQ8zhwsURCZ+rkcu+JvqwBvQ6HsE1HNYu+8eL7UbbyAgFTBrlRmTfSwkVxR
Xf1oWnz1MF6Cyyxod6vE9qqjlu8Xu8xw6Wu1h7fR7CpgyDD6uAO1GC57InqYz9DqMzpB9h1iPr+7
KCrwtGJY/LMxe8lHL22Xqsx56f0gsP7Og+PRgdDSBwRcyZzAr5RwrUF7B0RqICgziE9S/Kob1OCi
m59YaWQqcUwlY9DPOSWgbcC2xYfNb8l1iaTJSePYqYFdD+GBL/so4h0ouxh3MZNAq21zCYSyDzx0
95Nu2D7Gdg5PTTSOdQLwudBJLA2Ijq2Hyuh3wn+hMO+Bn1s0erCjoNP28VMhXHmCK+vnAuGA3u9I
HkU0OENREH/9hslL32tW5ljDc0KnYsv6yZJDqcc2jwId5sPU+MlqwY2PKG72kM6rjy6ohq8u9IGy
VZ0+sVHMKd7fs6EtWggU7yiCWNvvpwIYn9f207FBDuEXN+iHm9GqE/wlm3JwCF8wh3FXuHpJWGvV
oQiH5qBR+j4GS1Sg6sUem6DTXroGZ8cUtB86hGhS1pbkfjxPJi07hsJpst6vZdnemrCZjqK0LFEG
iGwotZ/TGvVURKuDQYFz8tAZnowqXpWWNzCrNjd9AEM3+sIdOGfgzdosFExmvWlM0gR0SZdmgt3g
/L9Vy1bI7WhkSOQfyrmj+wlkWF6tDqzTuowJILU4GVpn95WKl/3oUdQWFnBWuGw7Vq6T2zdyK70E
aM2y65uBZXE7vzdLWeE3RNGBheGwa3Xz6iKz5MXsXBq7iaJM6JoEE1s+KCisxOrYfoFx0+msozgt
lKN5UbUaFbk3fnSKi1dA94gFcACAuMi/t402hxLW0++aQzWxhtjzaKsNS7yT2eoX3tFWJeDQot6L
zrPPAR8BINdf0cDjBIBDPq1VsIcd5qeCzx3o41pNubeJA28csiw6jO+MCS/yuDG/R9WueSQI5AIG
IaSg1kCXaMCCwcJI2oqGqdgc268k1pkckOFwU8RSTsqPjq1bMuPQ3mF/PYZC1Gk/yin3Zwg2aTyy
L581JfBeMe1AOW8H00Hw56rTb2sU6cSqxiUlgcAc1AMOHBB04jEae5OjYkOI5Q60e5Z2B6IQVSEd
cWdkiOgHhq6IV4yMNAknwZJhXS/Jf/sP+8/Fc7zvG4+mQpYPS1iU2TarcAfaasoUgZZQUT2+jsLX
WJ3Cu1Zgcn6DhvwC3NC+hcEQg+Mj7IxFC3l8vivl8yTBCTpnJ5BSUNMjCPo7rGf1iZu5zqa7+s4p
msva88297WL48dgy/e6xer1yOUTJeNf04UG2uRfCChvuin9txnLLmmr41YjqzvDDFwaDjotrilQ6
Ra2/r+/mQlVNp6oovrp+vTsTXoJGE8QQCs8NzgQBo5m28Cvg91aXtsA3to6BP64A1XfiA73OdphD
oPfx3UTb/Nq+EgEL0UTej6UfbALaYXoeRxdc69mC3PBGCnqP8xPiUuh+zbT16T/Okg5InY7e2DcJ
Gpcgj0rGElYP9bOIyXZwd78pGCNcppvakn9sJSPuBYwva2gpokq5a4ENbYtvjqyk/Kl23EeVhgiH
DhVFFwfXTDIKfU+w9UpHc9zu/trQeUBAVUkuE2JTiKNEWedbKMNwF3Yd94c/26J2wVyVP1D7vuoq
jH/QEaC0vNt+fTnDNhlGljlukakQXR4Wa5eMG81joJliwHVGwH1DT+qDk1cJaBb3RyXjKSsZXja7
u5EK1N2ZLuymAv3u0MunIYo2HnUs1cGHWPnypHxKk1nMD+iwxT4aer2LxWSuWNa3sh/DQ6g5u/Xo
y//o2FePtquGtBq7YIdK/k8Nc/tpvPuuFTjtSNX1u6LDA76o92BY2DwtHfjAro5QZ+h2RMkcIADG
w8yjQJ8ltmjQiktR0ytxW3S+H76v3UxqtLuopyA5MbQ4KLKmoh/3/t1tZnffOYQBjVAFipQ6+AqV
Pvak8RIDFmzk7mOCf9hYuwv48qgme8JBsd6bG5ISQ84jEz9WeOH13RSvArxr41XHDSqxMsCb5DiL
RLnK26H3+WZA4x6qTZnUmKrOxN2Sb/yx2FcztivuRGmKMu39+fP/W0X/aezsv+RW/8Xw8XkQ3G2T
f0cp/jer6H/MBPg//kf/0yUKMDUC4xXjmJMIGc37X/fvLhE8opDHEfJjNISm9R9Mjf/fQxEiRXkf
TRYjMw8a438xNQRDRSgl8JdEGAKDif9fXKK7BfSfY5vUB7MTxJG4D3+EU/RfaBOk1EDUzAOOp0fA
mhD1GNyabAjt/4VqwUe84zn/9VdhdAMe6H1wDdLJ/+pGxYCZm3ipoBuGd16CPTo6pL4muwiQ3kzU
swi9Vw99OcTFbHQbRLuS/gWR1KUKvXmvgi5piXop/XjnRokuu3wJihb4x/K1RAoKv0P9Xp9d/4kq
I8QpRQ8gJI9mXJ88vt4gQhCcuu1ltWCr189xPdIQt30+B/Q3zs4EWbDLUHbvfuRF9wMzB7IXHIo4
WNLZeNdWFl0KQ/ilqqADllqjV3XpED/C+btJ7TSkhu6OQjTHLoaOIOYTHxdUQWpPF++EEp0gzaV3
m1ce7VAl/sxSnE47fLY9ndS+q0ok+0AGjy+yqlK0CMlISYH6Ycr89lGW45PX1h24aZy8TRgdu8Hu
e1n94UuY9R7+PH5yMuwZ0TvW4ZDV1bPj4e/IR9Sy/PLocKWsvgJ/yoY1uEKuVnkYB7fZbunUo2rn
3zGBmBiTtJ6395B1Vz31YA/LBxFWTy0ualmWR7X1/iEw8eNWju9j80VnMH/4QZxzLPWb5pn73S0u
iiGptTgN4XzgKz1Dg2vpF9+m746/G2C2ahu/dQdzXPKjd79e/AWhROKqFYWNJQ+eP6E5CLffxRDf
uqLckCypH9yKzquG6jG2ZEzmxaHDaCQCU9uHmxDtXcGNAOs6FwhTErvuun6gFxd5WVcPjwYUDWSk
RG0S5lZMv9jYQ+kTT2PfN6nCaU699i+gxSxewpemnnRKaHxF/OREkKo+Qd7lzyGswXaExNxX26Ho
awcZ5G4BCA/xSkTC4kMh/4Ys3+Ix2eQ7jNQGGay++PI3MDRxi3a42TEPwSvpOpk0MEXubGW/HBUJ
r1Ftqh214szHeje1s4Hh4ZUpXLLrqMsnFcuTGbYpp345pK4iaKmiHxq3w9ZB+ZB91q2fFZbX+NvM
0/tUTLuGZy3LOX0186GFh9tu+xaXTK0f5sbd5uCd9AhGcp/fq8HrKk2m+ncz/FmnbGM8CdRnTHca
9257XBfyrooOTp9Yu3RGps+O334DOP8zCuKU++JayFMfdikudCIoogz7yJym+KbG87h8l/TqrSbB
7tlbf/OSaZMc2S6wtrHZuQoaw8BTtwVZFH3LBmFuh/CbLb77Zb4ah3Byz45sgLTFglM00zyoqxlq
fTBdpJ2Pcp2e4yHemab/RHzqIvRyGgTSshiHt+dV94i8K2puoFR1CNl0DGaVAwTHMm0A2zL8E2kL
+CZdOsohATb/xnjvnvGeaRp23j6WkUl6sRR7mNljtq5033oO5xKv3xBMfTEre4jgfHHfZr79jLuL
V1yQRp/MDlL6lgyLPPZRmccB1ExFx4cVp9FWnrScExbWPxkCokH0VnhQu/gvvpza4VttX3b0TnFr
ntei+zXDfwx5mwcOphak4aGL3sf1sPhvxHJ+xONUCaF9ztu3IB6mbG3PrrJpU5o3Mvxti/hiJjDs
8O+niYLop/YYkRCKX4uIyHCr+MHVzeMWmud2aV5qhMCEXFLi1SfK+4TMah+iP8Rbceh7i2Y8Sp/l
c+snHvOxKcg3mk8cYZ/j9jQYejIeIidqvJTdi38PQN5tvzsl3iMi3k2IWOHTmmdC15Qt7KSRMWDs
Nw9EEvdgqwlN4gL5KTRxFKtT9egYrMYCn1Kx+ofCXRYDg5Y3a4Kx731SWP/WrjIfN5jjuswi+8rb
4RIjuCTs+DdYkNnb6Fku6gQ571QuIsyCaN2tBTk3niJJPL8wg4U4mHeq7X4K4BFCH/FAvMHHRRIW
zsCx9vDRxrQsf8T192zYsvMqemzifl8sLvVDSMGBj0YTGbMEjQ5QptT3hp9CM5Hz1Yx7o9iuX3G2
hX21H1f/0jgYCfOWb3yDOJWu0NLJFPjXOmqOMLF/E/hIScF/twHZzcPwUqxoala8+ADutE/re4j1
YgBBONOfAQ0lHAJlM0MagReP5tV/rMxwWkP6pKDt0SJZADwwyPkMdtRg468o7hXyUnWC8OtuKM3J
RybZfSqiL6CnMJ1gRQ7GumNdMf6whvqEFHTCIPoj27kkwvHhOImefbnwzzroLyaA7w+Pm0WUorNw
6SueIGgIs/jU418NcsqKxdu7yuygPH4jZRPsnHDBDzYqdmx8nhb0NjUxQptkz+vvwQ/AJN7V5M5L
dOdg/Rr7GLLZnLg10x7GJQwDERgDyWy0LxLO4A2i+Fds4pOEpNtYcUC6pr3BhfVOrAr5MRTDs2Z4
NdrethktoEXrts0aZjoOO6HRwk+ndtuey/bQRBvWfkWil7ETECM39dcGSIatCwOn1mO+Q65W5rJl
U/KlKxv/prwInXeLhgdRNIeZFNMJ4dcdHeA8IxU6BRhUMUdfELJXnRtnYAjZQsinVZPouqgOmAUb
N2wDvg7HZrqnjVoswr5YURr9YdHVugsTKverC8P5FUKrCrc02k6bC58p8gjPGAExJxDmEgVTvexo
wiRUZNyYCMuhhx+g+yO7uDn0bEsKJinBxIVZk7To5DEYdFJhvMFqk7Gq09aZxxh9HkzkEYHK5or8
7bqrY0SCq/ZBNDDZwu3XAnFMTU06GrZjtYDlZ/MCFl9bkMsC7bqBULz267o3kJ6B4GJgRiifFqQf
PDoeF3+7Fc486xVQK/c+vCLMu619Wek9MruCSmrbDF4brm7jtTcxIscwwrPArTteJGYJJB4vEATF
HoCTSlX4Gte4xJl6gMw6JMVAewQK8YfZvkQdeFb+DrS4x6CKQkM0Gx6JJjcMA7n3s/WVxrtxogmS
iRk6vCXvvAzsB+jLLKT9G9s6KPHImITeh7Jj81bTzTus0g9+Rw7Rj8aT24f0P0D+HXkt9v4Y8NcJ
kO/ZN6X8CgLMSZjmj5HZT6urj2km+whZtB6DUpIevs8xIM89dryyXZei295yZ2eYuMnq/0EAgx+d
Hm+YUhLhmfqZw0CSJN70j9ZQDO2oJ76X9+p1MTif/eijpFMiIU224jBV7a2VyGi+rPYwdSc3Xczc
4cwFXsPQP3f+jJTnSvJGlJBShuXA1iihrjz4VZS0XDyzId7HsbpGgMgSItvUcxFCVeAaxRYdkeuB
kQKKYFj3wOxfRuG9xiU08kXNT8UMV4xRNl6iuClB7AzemrW8r05Mb3tVRA8wLDiYJ2x/jw9vpIar
pXC3gd14HMWIwd78g4aY3QIu3VPlB8NMkEjhdC1QCDT2lxj1Lx+aLgNMiS4jAjM7xycDbxE+tP86
FfQFPT7IXcahlM3QSUPyMdSdOM9+a49lFHdnjNA3OzjCUwY/QyFWDgoekev4o+0YfiJ8laNN/To6
GRtMxwJSunCN/M0aMXz6dkHOsz8FvtqeABjjPsIB2fA34hSIqZo+hCzaRTKG7PW49sE+cjgMvVIk
UbupbKbzlrnS/4X1/W7LDZKX2Kn2NYK4Hq7jc4QQ5CPiPCnAG4aMadFl0wKntlI9uiTsluDM55tq
QPEZcwQdBzWbPscBNvFmxXq5A3a/zIolNZd95swL3oKXur4N4TrPMu/DLZHmH+otJskyIZQ7F8OA
KCI0/UZHChMvcOZZiE9nILtzboj4verAARkHOl25KoeplHke/q6ASptL5CYrexZLBEt/vWh967or
sO0D0q9ngQEZfd0ka/gAy2+PAOPBQTEjy3gNsaNW7Oo6eJoJyQbGsgL9C8E0lRUwCYUDKzCywZU/
GjGlHYGnMSNqoBebglkDyxJmqwOehrlA/rmZsdTnuniw9NP8s5gR6MMju2kN0rbuVnmUElevk2gN
qtLvz6uTDUCEdjwwTeA81xvsCohujV2TzYcH11UVgCSsk55PxT6AnDhD5w28a434dd6U6hy7j3jm
f+sy2he8vgam6y5TCCMFFy9U9FjuZg7GT/DqgGpyuM4bkuYzDOkEEiCuDGO6fTgSVDoR7CEHDqYs
oqyZ9ACMsUXQXPQYXdNHu7up2Jb9jxDjfMAwP/f1hzEFqBp6Nyrm180NOakManLztilSJ5OKjhWl
r+tcJyEOZX7/TRZ4zYB6XfVDeyDx2CJB778HLgR6NMhiVwKqSYdhLD7YnXFc7rQjMjrdzptNfy/+
4lTqJXpi6DxdMfv7pSrosfWVhgpbz/Or6G2fcoF4WduB8DTMXoJJwiu255IUP0io4oOnuU5BNSIP
7pV2P3LMMqgBVyJVXBFIrHo8eOME5bllP0ZeI95dFPwc9gD/sjhArocOQJQ0g7saBMpgxoQpM14N
gO967f+uBALvFeZN3IBGFgkfwYlSRtpr4/mlxOwBVE/oJdHMe2OTVaMqdwtlbwAk5Wsx1zGEYaMw
80htp2GCBjk2kKctV+VxvqOqFZs9MGMdB9mwRb8J8wRC/QBcMQUH6b7fppiCm7tzsHCcPycVYmH1
CM0yXsYI96J/xVMVx45BiCfwEsHjo0SXd9hWxpu/x/+fBQ20gUgoonYROBfvuG48gtwVjWmuqp+B
8xqDXwv+cUbXjEWMwSlLwgukUgqI08AnGvsS3OV/GGPuTKKFZeUMcwAY2YJJNzAMxN060HcTARzh
3U9ofLs3FDYTl7Q+Y25StTcEWGK74XxBDrw8S0XEm+279qexOOnbyeLiAnGMdiLCkJy7wcHH4p3c
LQ8QVSrZ7jaIiENwXdL0J3F3ShZbNY+8mz5R8I2XrYcVuHgSJQKv1HDWjXT7epi7D6XQF5cjuhJ7
d2gmzLw5+kKuP0o50jec2DJTd6MHrKE9dwNmNVT/2EBt0RwCOEPxNPwMh2E4yLtrZO7+kYV0k2Li
1lfoAswRuztM1jSgDSfXXPhULhinBOG3uPtSMIlRL929qnbtXkvmY5xVF0rU0HdvK7q7XO0/hpdP
lg6PAYj0E9EeZr5opHG3HoFVAC1i17VhhI4ETwRYk9hhnXgfoGqr53bQSxbAK0hG3B3Inswid0U8
PlSd97NpWYvauSphxo3tfmj8x3LBFZIOmnpQClb/GK8keJLdHQxF48N3JRUxZh7g1VU+blvU4V6K
cCe+D2mb9brE4tvViAzBz9yOQ9NvJ2GxelQVrr+hGT5XggvcN1t02cCrI56FsqAVdNnVlfVSGaog
ranFhBXYprpE0Qxe48FONk6Nrx9ob351Go8H5xXf1RjbdcBRMz+RMUaCI1q+Op9c0VZhiMxQucc+
Ch5IYPib9KV9MNtEckyFe8NwHBqgfbjbxphwgt8/gX8dMZJLDiE5DTBfr5g5gPO+lzfpw1xtEVbP
O+6eN5iGWKA6fhmJge8J4OLGB/qt+RzmZCbdQSMcg9/SXOMeuIHPMOzMuBpzdAwWEQpH4GNLeWRa
/ww0e4X99Qp/qEdrJ9DNtxzmWxz9MHE/p2jsTmQDEs9bD6hk7Gfz2tssbrzXAaRVgnkQL6g8xr3s
5vmjc8vjVFV9bstmfFTmIoxFpHAN/mAeBSzoO+qGL17vPQ9myyxpijJgxgy3tTwUvPsRTxQTLRxA
FQLsNhFIwWRACWzCSuZOmnhRVnoxzwo5kO+438S5UTUBfBRJuF/RiLSQLQdgkG37b+yd2XLkSJJl
vwglhs0AvPruTue+BfkCiYWBHTDDZgC+fg4iq6SreqZkut47JR8yM5JBhrvDTFXvvUdfKxxt2aZN
O+5NIDQecbimVvNJGLFDv5N7Yl7eeVw5LLjBuoPE4DXSLd/Okyb6NjjnKuYw5Hmv73EYfPAWY76x
EKLAhM07Pb32wyoxLy+0btZxIqalgMOEA0SSdnTrvUuGEKkkel9WlkzQ4FeXK1+m9JJvVsVbDjHn
GOr87K4oGquub5D478NJ59u45U5UbrHPnHrfl7jFBBQbBMgTRLPnMiQxmfAccFcqboQUgInPMKC0
oOFIAxcnWgk57ZRe40ycSQC99ZxTO9mUT5LiEYet7jczoJ00hLiTOvXzKLHDBbB4rCFAK175PDmg
noJxDMX2ne3F1m5cWT7lSvUJstvGa6xzPaiHKuNLR9+QA5JFthlj9+RVpFadYPoGae+C5vtVrxyh
PHXdbc5RQ+UNNWSxi3dZMQo3K4HIrCwiGp/0jEkg3KVElF6GKb/F3OdRbECdqFeckbdYj8p3XuKW
rtHDA7dNVz6Vy8i7KnifqTF3XsC0tTVpw0xBbHUMl2Wx2xRKTnkaK//BXuFKLZSlwXR8LLzs0YG7
tEd+vVEdnhr0yZNuGQH28N7u0nq0D8z1iE6ASyN/G+wbJyHV1pwsHB3brMOOhTuY3GJcvDdw9IZ0
vHWYKGdzy6Usb8MeRzX7JU6AFAU12rSzupIOJON8WHFTQ1o/RNr/LMX0mA3mMsTt5xKK6t61KMqb
qnuqw6J4SCQ2gMIR936WjCciFeil6j4WI3RHZWMZzciDivhuCOuzFU0j8rQKN1aTHTxrpWdJbU4o
ius/zfdOBbOvd29ElD8JY/+U1XqxrwwuuCbuNl25XHIldHU5A+UoXO7zld7lOugMM5ECbKxf1Ae0
cZox2ijyo+N2914az2QCZHrnW9gBvLx7HeLllMbJJa7xwvorQgzyizwNvGtuae6Moo5IpsnwUhie
tQgHUl0frV48yAG2Cpn6cOfOkpP492Sib1ShT660bqzY+x6thLNoZZ0FQM8W4Gd9CAVtahHco+qt
9vIj2QWuVDqk7eQNWG5cF124X4lqQmcd4CIoaxY0ie1Q4u03C0lTmom8guGUr3S2SMS/WoPHGt7H
4yBSZ1+uLDcFhZJsCGwm2TJk1dWXi79nXglwNHTXyNf7xPOfZRp9ES+4tzk9R9Bx2k8xw3BmKsq6
fBbXMm7OZGcPk1m+18hL2zQqdxk0ugIqXceHuxuaPa7jC+PgarcsFtizRYKyK9V0qdzgAX8IKCF4
dzyMjxDLeMGsYXzGihQeAqgTm1ItZ2cF5pUUKxtKQJSkGvBmb0MLUe+j0guhaNI2fm7Hu2Fl8Fm2
8zGsVD6/r587rv6quV/Gpn9JZOHsooUSyFLtIWcswbje3tYFky9/EVhchheH+KzbMP3sdPIZCFxV
FfMV8jL04eIWg1NDxGaOTrnsobdp1HNr0N4vFyrDZmHQDeDkrtIK/l9n7SiF7oOA0dgwFEw4IriH
8UpATEAhUpn8ROwuHhubRmXqhl/papCsV4wiEJrXyNiXxcF3zjA55dACuri6A+a+Y0gTx1/1CmZc
VkQjyYmTTgW6S1/+9leMYzaTsq8gOw6uvMiUFKeHtTcPa00LU79VimMyM2AuaeV/2z6OsxUXCcrq
B7TOAT2mKDe43V+DsiouUfrlNxnNZA9GLm85IW0Z9gegETmnZlMy4m7cay4mEuV/nGvlQBEdMgfe
EA2wGE61ZnmXLXlPKCdlBVyTHjDEytY44aEV3cG2OqJA47fAWDtQBh91HN1kxoXYmP9gGdttVAZ7
O/HPbWDsbcU1uKli7dEKrgZAivYqVFvZC4AtqDlNL+8V8+59XbX5Q4kQmHsfsds9OM3EPCVn1jVR
lEXWubPM56C65xShnvzd1jDxm6xxs4hDqMgHucWxH8jbJRSsLUmGabwb6+bnrNJiq8ZlIwIMrNRo
ERmd14AfaFpus159WKJ9LxuP4WVo3WH+aE5ZPfOpCTdtUIH0cqzs5M6x9ZqNtf2/gI2/cM3/n9yo
E0gfGf7fWwH+XxDzfzYG/P03+MsWwI5UG8k98tfFPPi3/ys8Kv9m23/29ACxgTzgrqhl+pC/U5sj
z/cEhgB+7S8+x99tAeuOH2DOTsRXRKHnBv8Ra0P+X2q97REbJYciAxKkESaBf1XrhbUkqN8wInt7
mW+aqIp/o6pQJi/uqgeSNcgM6SwmEZ44GRWG505HkmI0HG5H8tNXUHqE3xhjEjIg1PjWpyK5Ssek
q1vTv0kq7Vxb1wfJNrm1Q9MjWvviD0Gx4yAbd1Ha+wcwr1RoNRmnRnsnHJ59tXXrjFZhMvG5pHPZ
tK6Iz3zm3Z9h6XNNzpmCT0ojv+szk18JM73VBGIOXsa0R42Di+HPtp44AtM3crv5exM1ye92Bn9b
JfdTWKiHNME4u9SXeoEBRtHoRskG7HX80AceX0nopd069eTBOPY55XRQOY8MnL1NmuXZly4tC+/B
gKKVq+wclYlg9t41KE3EdSltPCahobUOtnP7jSSue6bsd+4yWzX3jb1SWMNWQV61JuhOgat4nn0h
v9lOP7yzxin5mCIUDlTp4UfcePGFQQxA2H6MbZC7fmdnG8/EfrO3dTpdbSqVAyZnUkFFY87zMmQV
zWj4e8i1vaudHFkjrBBveWGGeMQdLHN/SwLkMmO1mJX63cXNUy/0WeXpBxbJaauwJW7jXnQ3bmTU
Z+UaeVVkxDayzcSdPw816IbY3jl6ts5xRosgskn/lAl9xxgmLUNi+Rqk0v6MneWnn/b1BhIlMNIE
wceeumhnCvk1RCkAUWYuL75LEY/76ewzsfueu17zUC2IZg5edRw0CXHFEtvCMu8zXCQb0ZKu0Hnc
X51irG9qE4d3IkV+swkuHXo6oWuD6ZKhZTi8wW90Nz4xsks8DMFn1ITJY1oF5iaRdvluB428b4oy
vRUjJ3uLfH82sxL3A8Sqba99oBGuxuDvJyHm2kDf2XNp78uJUhleeB8eeSTM1ordfj+LCeUK/sF5
6SfvqkfQCKqciTpm+qNVzqmASrFvTJy8IjQu1ChW+ebmafJkRGyfa9v67lVwJQJHyWNXut0VG6u5
7aL5q5d0RFYx/jDYY668usUd8ezsKnsayVm1HYRF1//ZszAcwx89CJa+9ElFbfTaYaf7SmKrRWIY
OvkIfKQ/jKq2L47JkTCBJgd3UsnpV2EzCBKOJMii2uZnt8TdvmzIFXbJ0PwyjJW/N7G13I9Gz6Rk
XOtDldFAseE6uDzSuvlya1EdR5NGBFESjP9ZDazCS+TO7s0Vjc6NhLVrpaOfJbw4b5PkldznotE3
cUFOKEwSsMWBCzzTi8MQ0c2O3xlrc8d76yxGKAMzDNXG30HoYUxdLv39bPftFzMtsTVkgwBqiHSn
UOWQlDVBZSKsDN8Nc5gjxDd5XoloZwG7jZBGZj0JS1AtMl/HeNyODli9xvvVNQ4JMgRW3vw5m5/x
QXf7pgiY3bTu8uV3UzpDfA3M0eMzfIGMVD07xq7uWzOWV2eMrEtjtAvQGt89jSpWZkwFO6uGSO7N
pjxm1KjHyaR6U+dtuUsaTWInTaynoZjdp7Cd+WMmrk5+zWPjfXOsjui6nPM7bTUQjYehe/JJrD+X
XRtup6Bo9wYm5G6wTXW7GB/cmugMrszRUveGR0TuwSeJlxQA3q22sL3KlskOvLdkHzoL1u1ZNrdl
Z7CBu115hQUSIg9rxEOnDeibB9jyG2cK+vdhzJZHXDftlXfV+hhctzvRd0dI26K7q+xFfSyazyyn
C0xCKcZd5hfVOyyCbufSh++C2Ms5sYBfi3l8SzO//I4L7qcFmHAPlCnfyXLlOnum2eUBqi9MpGk7
xxUI8h6mYS7THiFhKHHo9Pg4QKF/d+fZ+hmk4W9o7RMW+kHdLt5Y70YythsuGpqjgghgnrbNXWsx
Q2FCjIsGeZUYuv0wO3W1lw48X8EPgMTQYk1LxXcr58JzrOiSToUkur7kW3aMLTuydj8sa+rxrhiC
XhUdSToI/9RrLPZFR263nzM4SWMcPWVh+T3Gy7ytXETtsMNKFM4klP0hdG6Fj/nTc/L4gDwdIokz
DBBaFvnGdvCIh2E5vwz2hNuAPNK2d2H6ZaaeH4AVvDnhOjdaIw/Ur7K4iVl8tgNR7Rk8vPl0WSaE
PDGE3YWwYvSpKlUeEzm2/I+5POFdnTDKQ4/EEtTTxmYqbjHFjJ19GdsJPH+WAu1tE9xjCfZZjzL6
WEZ4TOyYpM/GTVe2KPEiQFyB3I6+Nfr0YXK+5rpHb1SZSbkBIdbf5goBb6icYQ+eO3i0lip6tyk3
mNGQSo28gCCXJV11Gy/TfGg7D6s+hvfVAQ4aL0P1/mijunzyIFnciNIT+Nan+aRWlb0KwMZCWqKF
cogsrw6n/idWS2JfPBQT3pJ5huQaS2Kl+Zz86jum2CG7CQhk2hGkV/B4286rxSkuJOu6mcXtrIF8
QTxeGg32HaECE3fbr9sLdPJNpvVnXNRfQapxRSQ6A/MOuNPi7Gtaf7Wy+c0rVws2srCOMGvXBZ5h
3V5LSYR+SLsnTO4Ipb2g/Yu9tN4XTYChtzbBfWUt0WbUU7edJXTlSDDQtyKn3eVtdWOYkcnGPGjJ
xDKJI+9EcOzH0NrWLQ/bzVQVy8mRVnxI+/AhXcBPLn6nIIY2N3GkX70VOOkIGhEtPXKlM+ngRvmQ
hd0E95htu8e0NONlIjh/My9Bv3UHI1DLFqxpuOZo7xgB1IgYU8ZZo2F+7oR2zXtJf7wvCCRv/ICp
hZu235oKprIzkr8q5SrD+LChoWhg3tx2WfCQ9cihWU0kln74krXeUzMk25yDyCvbm2E0v2wt7X3v
OeV9ZfjVAHJvO1vLhdyKvWta4nxWhTuxn7L80MXGO4lkLLg5zHCsNN+kYqqPGqpr5pNuXC27tu0f
KQA/c7B3rzizZhpDci2p14orxht718bBeeiXuzGaZ39fi+Se2z2BKuIxE1DMRzNvJklg+fIquklt
qV/tA5ElycUrh0tO5HF2U+c9IiHHzNqtPwoLRwdJauhjuUMX5/X6nHAr5kxTEvs45hHJjLHKIwo7
JhCUWNn7jI1yb7ey2MUCzsO0PouBoelP4wZTKclGPtUw8/kg1N3VdSb7WpRdd4nALxxTJLyHdp4x
YxYriWJImOLI4lHGeberGRjtdBqkTNh0We6qoo6eW2oeXnhVTbvWKVrC1C5MAAinSNIpY0ja3L0O
+h8yEeUOX453/F+7+f/Mbo4ZPKLd+/c95t3aCP7bvaN/LQ76+2/yV58Z/c2TLgtthBf6jsOWIGzX
f9nP/b8BbZTQiwLWfHm2L2hu/9FnstgcVZH/jD/cwxeBbfy/7OcuZVIUAhSSAriR8x/Zzz2Ikv/i
CrfZPxYAn3Ein8X3nvvfDOiinLMxVix7GYlZPeMRdB9ad1a3pRtn7yR7gNr7loQONJdf2C3Kawd1
A8a/fbJq57aaFHBnF5ax0/aAcvPRpyBgp0eyljOcD/M5zxGwS/rCZW9KOAGxE77XWPKk50REr4sf
YRvF7w6UwFt4LPWuL1txSI1Pg9ZSqDuB8z4twW50QXZo5F9MflTLk8Qal1OoRZbVf+hGdB+mmEN+
wYBOnxpEYuFi5U1j90mnnfWUrmVchA7Xg73dIvB/0n+X7OIAjGpPWNuh6hPdaNRPxq9IGkwvN3ZY
ly8xCIibbq0d4zKp78nHVM9k5LJLv9aYZc8onuQKCglH7OoOt7L1B6Mwnf7UqLxmBE/XwpXsvYPm
RTFbjCW8Bw35+UlkOfQAVN5ztxbA41oKF/6y6J0TCyJVokGPrCzlbRMnU29kzFALCPd/BcYHR0TE
eKMnSP2O6v0dfQW1qeeVKylorcyzPLfecTtEB29oEeeCtYZv+66mA84c3PwU957q5N7/U/FbhJee
wVBleycBJpWvHUKhuuWMPdCCxUT/oCr9S1cdXoCoHtagM1PHjxae7I6FBOohDKT87NeOZMIc8Lub
in4/aNn8XNbOJV97GG7H6Fe62POd/afFgVJhX6q170EhpAMKq5753NC5XyI34mA5WPWaOAXznJYM
xjEf/5z+9FRFrJtXbScaKnakrzENWGz3w2OQQgV2cjt9IXQJhjvt7IQC2TEYtGxKc6oqN622zRxw
5y+aMjiGLYxASwJzH7aj+pEUNbSgxrbMzkmT4GBcEV3nMjdA0/NuOPnavCllvFtnLBju98mxddi8
Q2uQ8jbhnRi4EmB0OeNjBWSJ7+5im2uSIXrT5fRKi1Dvu1rAFGzXjyepuIMzYqWe+VT5g42lL1wI
Vvhr/ygIWoOz7pLmO728tSXZmWKWQKgQ9ujcSvS3J+2HxbYeh/jUwJkCLAZiynMBZLEWJ9x3Msxt
fvDR/kB494mV4mngSGhOtiF43rJupxhV+IRye3WsRZ/InBZHrnreixIrWNdZN05AkmqTLFlNMkQI
ttbYxKSntcvo6cdnxbwGi+nikeIKfKK+0MG59wl6sNlBv88J1P8icucPZQftDfAlI/d1nxArLUgc
Bhv2GcGxUSPBUsdj+lQNdbTroCjtJxmTCAHAtPGwW2+LQtPg56H/APobsE9Z6HLvCgu3tdHh77x3
nW274JsJWh7B0MpyGC/tdDVu3H1arU0h6FGnmo7Juhli74VustmOc4VPc+j7rcNOg63RPio93Cjn
RTAwTvy6Oc9BHdx7pAoAKhjaMF7zmw7v7avMwvHsWmN466vYz/bM7APYMLkGL9G7XAUNxq06TbJL
WDTzc+G3+Te5TMlhNGrWLJzxmq0w0r8aIwmRNZ547IuKQ2EE0TgRYr84PDwYAonSTGEN+0El30q/
VNjMkSl1kHS/4MqOZxZ53XBWMaQeynl61r3bXirC5Yradxy2PHVjm3ofnds7wZaVJf1PkxsOBcNV
896wgOGtmYr5bFiT9ewUXYfxrWE5VKjePat4DwwOJpaYPMkI/R73Nolej987LRsMq6hRvyenfGmz
5dIoz796AfoCFu/maDQ8S5QG7yiLlCc9kMWtHQYJGk7F6pcizp5qKtWJW/IoFqv8rNghcDsJ8Qtd
iIyJbq64eJftMCADFTSaG5O15glxTx90HbZvXZ8HW/YwljdlhFMSfLlPxBthd4mS+gWbPNW+5UQb
NidxNTTLfAConmwzt0VJAJj9ZDdd/RDQmm6qviFU4iRyP9rG2+GXtm+G4qwr7sfaifObjuU4O2gJ
GWiZIO9PlfS/OW2Eod5J1QNyE45vZGGqsyjYS+kzegEwZp3T2lo9dnb2NaaDfc35qB2seIqe7EJa
ZyNJiDpBy+BOTPW2AWz1bPfkgKzJLn6OqkvP7sCFmGXY29etONh1fD4ilUUGxjJedmxse32rouZs
qnFdytSmP8hWXDwUQNCXi6nhlABRifAlvDiT271VTSdemT4Dm8+soENO9RSti+Vb67YVlgloN9hW
xsf7MBX7ckUKeoPGFGnRl2Z5Me3jGqIUnP/+JAOS7gkDuHPbivzdkqOzT2rbe63lmumw4gVVGBDg
FJKksasv34rVow9//0YbxVaHohy+J+nYQsbq9b4alvxVW7q9sQweh6jDmuL1zvDQE6GJ57G742P4
OKkkOrRFe5aqN2xqEsnwXisH43AM93YT2SpcRbI5ecmrcNT0rUWC9ySEnh4ndIWRp8ItKIvvoQXV
APsnUatMjclbEtvBji08GBTKZHE3OdS5F9xy/JEmkXx6nYm2FqsJzv24YCosfINzqcAENADnPUrN
FHc/h0V8nH0ZzkdfZ8POV/5PhVBPqMkKL5AaU5dzNMWXE9QzufSCNLT2YlRs3Q223nla2K9RLYLf
i69repLGvYUZmD8gFYO8JX4LZiev6RLhSzDTVgNCgAdM1ZGjT/MLuMC1oR94YIpP/kyv1LVufFW5
h/xlkgwR3B33g+10P2i83N+hzd4bHSVJC0kxn27sMSrxNYd1+600LLyBUBwAI568TD83eYQj28nE
wuSE7XDpRfJKjOQ91vHAYGHK78Tk3+DGBY5jCRQMH9RrDPKAzDrSalpWV1HRw4rB2NPFS6gVKWJ6
nks7ouNeAA2xpsv6gH/NdRXbwDRM2+TfSWxMN5Xyi1/sUYIP5ejQ6fazbYS3qbBrnVAD8FOAFXkj
3QvlFd/ck2NNIVgSObypRKRnNhNE59oN659TME97EIvXBB/Oj2n29CPgsfixCkosqawp0bfDmp/o
m+XFFP4ECkNkEB0Dm+ppjn+xAGLN0ayOTx11B8YRziWc3DHYkAucAsyis3XEn/VVJgxLfFnB3Xck
bJ3WJhNRquAbJrfmEnAfXVVdOQ9AitILCY7PSCXmGddu/8mM1kAOiNbxEeplGfglXq8Uhm5Ewj7Y
DQ7o64qSsZ5N/LK0ggRR52aX2o6nh8Aizx3gf92y5OE9st15O8xEktJSqadqwH+chMX8oioY2467
hEc7Kc4qyV3Q1ZFzBmVnv3mJB+qC13azcLw/jaYZ3yelsKXawUgpbeFbT3lIEy4NZt2YUzdZl01P
RRB+FuH8YGG/x7osh4/CxpjWNn14P89lfKuEep19wmQO8UeSpArCWNmAciYVyQCmikV5hOcb/TBD
2R8V3/hqm7q7c2Ni3vGAraEfs1tc/85GplbMZyF9s0Xs3gRq+NGuXs98ZkNNQgKOdTRX3FJyNwi3
v8MslJ+jdngBlKEZ77Tqe5AVWbyzNVxonXkQqZH4Vuo42xJclR09MoLg9NhwtccxsoQbUXHC+6x2
/tEEq9nJsA0TiShRFVaGsQNNg2J1r0s5HlvJyeiwfvVi10uxsStw4r2MGcGPNrpThOUqjy3n0vd5
9mBFiX8nnYrtValW3wwOqiNJ3keLb32LJjcxdV3fdNot9InUsS8KilNEyn8pMKkAJWIv1fjLw7Lw
WJPvASXKBMRmUrt158JcZ97cTY8jpWQFly2/MezEepD7HmHXZnE/Us0frp8ZvRYty1+W0I+OnZeI
U9vE/nOTZYgAdHDLNqSJAZkU6b3p7JB7fZkvgujoJ/UWJCk/qhnJjvjufRh6nLRp9CCciWNRj8O7
F66UEkUgxaSkI9i6ck1TzzvakXSg8VRgUJI+GO66qSEWDc6c/FijUrL5en52Rc0KwTAms2AlxmYg
7b3y/i/H2R0qbllKlySrcFTnQE6XQlFOLkt+sR3vlFhj+4NMgY1O4GTMX7sA8ILUd1bkYxCT1XfW
+6JTQD3ZDuwFa7bdKG9wbjaEfJvpjA2q3VgmHm768d7OeLPjRZAjMHmzKhE2Vqwl9h4nJzAfsYiW
D7v2mjscPf6RfqV9WnAbooDrcV9W0ynCRMmwroeebgXLbphiaCVNfBr95ZTES4bBH/FGiekpzF3r
pa4JtrLnC5nWL/t9POZgy7PmgNpabvGt5wds3v4PTgV1aHST3w0zRCjR+BWkOcaYxKLcF63kfRJg
hWrBF6ERqhoIbV6eq5DAN2t68XZMcXAKRaw+dazu2iatL16emq0dRHx6c8SjA5E9cUvcp9sFKg25
HunM6kHmT87MbZHYyXdbWbDYNG6ssPJ3+SoxQF3kp6mmCxam34kXjTdZtWaPCRTeRSDUd662XoKp
/HRXucLpre6ECyXesjAlPeZEwbdtWhCJHX4Vyjr877DrfzTscrg9Q8Y9/37Ydfrquq9/dlCE//ia
v6MVWGLtSsFfkrV3PsOof8y2gr8FgQzsyA8YUTFSc/7JQwFagZAVuwJCH8OE6zOR+oeHgqXqqAps
FvFEEOCA8P6T2RbI7v8+2/KFHQQOf4NE9uBM/quHwgXOWYwzpT9ggBUGVNdAIgPdkfu1oie90MwN
o/0FDb7c2yGnO87ULG5RK6o1ZzWxdOLCgqkzkjeTon6gUcyK7jA3atrNdTru6yhbbrlYWUk8rqA4
Jj7eFuC3eyE6+AZt2b7ojBa/q0vrOSmyHwPwTVaERd/nQtZfHczUoISyp0QOuqtySpKsYgJTlbMY
kZZsFzkkhKSYh5+9Y/nnArIMMGAy7zg2jt1AI9oshcAkoZ2vxVE/EbkfB3/VBpsBy5sienAWmoZh
yoj5MhhozkVrYJx2Nkk/kJ231Mbs1U1L/m/0HjiSdK6EJ52eDGtAY55DIHWifMToVjzrYHphP+eM
HJs3Jz8J2KuYBf2pG4X5ciCo4nFe5DEh3XzjLewuzBJB7Zml4j1JBbgrw8A6bEkpEPMad+x+olBl
5/IGr++lbKPx3qVr3Ycu5tcox+jpCHv+LelFtmX3AU37pyHaxc4sqq6Fa5gUS27tseyYN9bWTL8D
4mn7JVOnxM6jEwj4Au/pUvyeI7x5gUZ7nYqWoy8vAXT2+oBXX39f3Cx6LLxCnDIupHvpU2vkY9+z
bWVRgvk6OEs/8ZsHHc7uwawFFWHB+BQrd/lW0dSQy4zIupzA207HWUKNTPxW7XUsi0taemCVZQCW
kyDTQ8JrDp6oQAVPV59MmGLbiPycYRMQ3I3o5haZF08uGLfgQOJJUTlK+6PGnQAaZFI0xf703dSS
4C1GSVmFD32kAcWFwtpm69iCGCijpFjMhN8rh8RdCxfZqfybcRWoGEDbT2Ep9TNa73JHlCI6JCkJ
RnyX8oGtOyCFK1c/B53jHmWzZNc6rOVDaHk+75Srb7KFPeOxcd9jix3gozbBic/ne6ECantkeTrZ
0HHT+0iBN6O00QcM/K+i9BnbFL64z808sue1gt/Ibq0bfB3Jfi7SRm2adZsXqhAtQodgjkF1fgsa
TUwyZVCchY+stFA7hW6+YTPWMYEztMVxMX0GXKPPkbVuE7Mq1rKlTlA95IY0GvBJul/Wj7GMm7GQ
Td4MCtkPZk7sBJlqa+NZdfpcOROJmbElIKKYLs2s8D2wTeus01zvLGGVd6hB+CgJ+aiqrRmb0gKD
O6DQz2Lyz0HxAHr0ynWoYa1jqMKMUO+HnuDaTCR4Ww7NQbGDTeR1e8xTuMYFSyXPzVyNR0bi7MOp
F8ManZ5tbvTH5iK9BlXUq0hZ1DNrOZMB9r4nX6AO4zpvzEeyrEvieqNxz9a2FKfciuQ3WA1YnBfC
q0Tep11nd08QGghUxfDl09mGcbqupDNOQNhpYk8dTuf0W9KUv+N1h120brOb3fDS65mF7eumu7hs
qMamFktmT4rH/NmGlzosxpMeK/IkGfVhAzq7uQ38xduERv12kkLvib7ByMIwxeqXPxv3AEEwZS1O
ChF1x9ODwcs4y6OH4rcpCxdfrcPaaHhK5j79s9OvmP3H3B8TPDs9K//8OsdqJlkD2LAPkN5o2k1h
zsyWhOC2C+GZREX3BD033gV92lAS1+ALWHL42kYUdXJyi7fEmsnMZvjlzmJdUZiuuwrDilW3f/YX
Ousqw9mdxqs2rDdsTaV3LehUhwy8s65AJM9A6lqZRXBtuvN+wjZ+0KaGH5cXHCp/Vin6uT65fX31
QiL3Mdb4DK8zJvNhy6uY3Yl1JWM4+CxnDOMYROnyhnShiOK2LLP32AUaOll3KSeaD2V4kBMsqqcG
KrshyZ75RMWj1dulpgYSdjw+YjqA1xGWj11vXPSA5iRLQoDYMeaD3SzlU9OEiJhEBDflkq+7AHof
EMjs/MxCN/5UMzB1VY2AFZI2eQcdYw5zz+wsrs1vryx/2UbZd5YlPQSSto9/L4RSfuWMaqqhjbe6
RMMFAHObVyV24RIHclIXbI7RiimvTdM8g2f4LEg3ATwtPFxCwlDaFzgVG4yCeP0D1v14qcfm5Si6
A2eEh7k2xT6H6LhvQrT1jvkMIFMOG4SC9oJZJdsKFoTvZezp3YLOfq5mP7ydbI8OYBmHHSkLTD18
E0LNEFuIc+X3qErBWxnoeSsDSYlddkgCYUzb3kJO43bcs7psOSjfXdhsTCbBa+i6k2HUJ4k152BY
M4Bva1h+1R4eMlA0004HCiMe0MOTYP82PTQ8j7hjsAEZEJYx8ULSTX0OgdCslsS0nSF9u/eoBGR7
3Ga5xXKOZkY4fQP/0zoFrG0GMoc5kwuQWVgwYSIq/WfAR9m3MOZfmz9jZC0JV7K392v+M2X2bcPe
KYwH2T6QZXibBZjUw6BtXgem0jeNqqkSVkeBjEMaANuqz4I1pM463kYpW/N1EwC+JlUs81kH4c1Q
4mQAB/cyrWNyfx2YJ906Ore6/rNbx+ldLLNzuI7Yu3XYTkqD9ALz9yXL1km8yelu2OxabYt1VJ+v
Q3t3Hd+rxFrYpM1Iv12H+1WQQtFeB/52kbRbSklUAFEmKALNH3UgSVaDlF5Fgy5U88e0CgkDGaf3
rmzUvlllhjj+P+yd2XLcSLqkX6Vtrgc1CCwBYOxMX+SeSSb3TbqBURSFfQcCy9PPF6zqaknVp6r7
/pi1lZlaIpnMJZbf3T9XxRkvINpDMzpY43stSRgj4gSKFRNLbV4ZRVkSyApRMdBijYviQ9pA41i0
2GE15Eszy2XfRwjptSQypeHBLgXGbnyx+1oLJ34cC8bnCWrKooUVW0sslJ+JzdjTh1VpAWYGdLFO
lja7y5bcOo9aqKEGmi7LApaJ1DIOZVcoOr+aAz90HqklHzPGrCZQgWotBw0DVrP2QyKqZkoaUI1K
LR+FrZndDmkIkjnrWy0vZcYuKgmTdmQv12rKGrj7RbQviNhXWqIS0fDUddnAkLYCUhcZTXAZFqAh
qpZNNv5QumAD11+Qr4lRTKKdNqHVMdBzHMWSylQRfMSHbiY+NDS6MRkbDD1zawnnEPCudkTa2htZ
YJJU2i25DMK4DaeFoYpd3JsxLdeVN0WPmWNQ695mx5l63ZewSR5kF+LiyQ15OdlFeICmCLmXrXzb
aufmCIMUSEuGnbOwWO67uCDmgnfsMGrLJxDJ4tC5dIv1TTaDLvKj64L/HNVIY0ipjaM1t/vrzpLZ
PVxN88rXBtNAW01J5mannGMWaXuJda2GitNpc2psqHTHenlnVbG3xhDqs/0X5YWh5uqSWKyNNwtY
oVva+6HWtSBoUAfmN59CB9OwuxTq2pXm8iWqUF0LoOGZI+Vjpze5ErF9NQ5u8WgrJ98GNAITgvI3
fTj1t2XtraXTnwqnaFauNusu2rYbaAPv0FbWvnUEd3OWE2W31TZOYwuc4WQDnyzkZVUq726I5MMY
DIiII991nhk0lt34OeiSw2K5d+4A2qQz0Vs8/yJJDUgvCYu4i/W40R7ktrflPfv3wjkd0XL68Crn
2rYcOEt7bWo/87jgmINYtJCecFRBk0RLDMqcmyzawmwXp9wu1JecceQt14foU883uQybhSS4lX3u
YwWosjBlGtL3qK3WsXZde1Blrzhi2mRo8WTjn0P+6gXnGCXMDbZmTQlS4Z2Mwvah0a7uSPu7OVlo
iNWcvPtRwDnaGOI7Nejgy6B6RApGgS0OTMT/rG3Cm+TDSG6NBvAf8vGnAFaCDY/uxp2J7OZBcooD
b7hlnFzuDC+gH0ks4jrO++G0CJQuQyg+t0toKGJEjsts1xSbogUhjk+9fu9ZLDYW8kbJKL+gfYQG
JtibTPkMNd1WjZjfA/a5JWcq1DQSPTP3Ykb/4ZdgwqCYVBpRlRc3cUjhS+bG7iVYVqznPs7nGCPc
erGCUWe361ajzdNDEo36TTJ5w+cgZdhP3QmRWWV3e1y2T3XMUurn9h11Cti3SzSt2HVxBde0Vweu
5BSa1tO07RLh34vOhjviUb5RuzNtjQtFwXYgyvu8UcsL3O5mldgevepz4m/qagT7NOX2RYb2uMsp
sONYSSy1LL5Us9Pf/s985t+Zz1iQRP7UinRZje/t3/7Iv/ztC38b0TBtYT7DWIVYoaCD7PdGWfmL
tHD+0DTq4kDC7PLdiMb+hdCJdCFcYguCmPkd/VL8wv8lEJT5rzYgyf9kRGPpFMv3TEqBYx0wJ7Mj
nywOQZwfJzRG2CgryBdoCkuZcKko3KObGt7nriF0lTdWeAQ9FEWQuT3n4HWl/OQH2U2kvP5rNbpg
/MGb2WzVwEmQ0Nn/myS4hotS3g4V4Gklku7K7bP4lCgw/CpmWZKNGN++m4rd/Pp4/1YOxU2VlH33
//6X5f3x1wCa5Dm2HoMx1/oJrdlxHw97AUhQNIG1ZiqEG7KOGZbWtb0fgQicHM/pCd+KvaEa+3po
HWhDJXs5w/jlOFpuG6wAkXlIedl8A8FAPBmWZQ8rStKQeOyJKfKM+ZKRiUMnFCeUPe6U/Go2pu5c
NEp8UaCpqnhoT3/+qwle6p9eIZuyPJNpHnMGqBH6V/+uw64P5DzLAZKZGTntTUGJyMaqg4HDH0d1
Gy83yngMNAHHfNmt+zYX+8AzDPPSm9MRYzrC0jEWwVcTC9RfdOYK84+PTY/2hPB4O5Js0sTT7x5b
wTRsgeqkG3MS0pycx9YRFzKO2u5jZIxHncJnJJXOMUzhhPyQARL9r8Cq2iD341vYZsTIaZ5F0/WZ
OP74IKD3uJFlYqROquwJHc85cXjo9qoou5emC+N+vSyBfWkuNMEOrkW00uycb7IfmOj0lZVR6tq6
YOP4bb71Dbc9XofDX7yI+v3382N0pGexEnjk17yfXkR/hp+SMg1bh5Vq78vCMAGjUDGa7wqvJNxe
oZM5TQtLBjM6bpbK8t9Eb6ltmuUoxklv/sXb6g+TWZMJL2dml08Lc1lWkR9eOQ9UBNwdKJYUYqTn
2WgzBLciupp9LsOe2VTPaSeCL5Ma3e1//lzQ7ciLJVj/HJJ1P/7o2szHNJiJ2gIetrdJPTUFxy0v
ehN+YpwXanY3uImdi6FnwLiyOY154OHmem9HSI8LXMS/eC6Efof8+Oo4psDO6bAKO7yffxpT8+bi
dKDHin3vtjvZj/dtPRCTTTDdAdN7LcYk2nFRhgQVdc0mQTHZu3l7/osnxvyYh//wQAT9uEQhLUf4
BBz1sv/958lUXjLgJk61hbMjHkW9wpXLEKAY+m+N1U8voBVHHgSTgkbPDCiIpYqtLozPkRfbb/nk
u19dKl6pVWXe4AQEUwgd53ednka4ei4BGPTQ6kmFZGTRRHgWUdTUbV/XnEWZa0g2npVMSN4SkSN6
kB0oslK8Ppyes67tTobNjAQbQ3tZ6rnJzACFcGe4Uqz3K9klPq7/urD2iLL9az1a85E4kHmXN+bJ
wfh0Zg8qzp0H6zLI/PowtyQJKrht1Qq32UwYxTP2MVUpRtbU10Zk9OdowN3qmUV163dcm3FBEsFw
YJ4yK1xboYtkuyTxqbKS5gAElu/RB841Scl8O8QkMMc+sMA8BctVF4sI148938sssw9UAWpWUO/h
8sRFtenH0Gg2xDSZtcxl2B2MajQubKk7XHquLFd2YCx3ZRAnJ9V5MeUxlXUKPIUbYBJWvvMFXbUi
/jSUstxh+atPcySsQ4GUq+BnrVnBwrOcFxwiQ43JI447vHIJt42kHhgR56Z7hYdeUL1XjUyWCAJ8
cwh+7ptpKJ4qklLnlnKTCF4MmYGECEcugrPRmczRxkB2j+wF5BqU792VTkFl9AjUGKeKT9tHYjxH
JXQ0ADDjdWTU89HrLdotOGavAyOW11mwmATXq+Gql864mVRY7rvJGR+jYJke/c66K6PW3dL1YSzr
up6zaNONHL2JLLV4T0oE4kyNiBpoA7SSJZxss9JN7zrX/MYTikl5npZjX0VhsfMLCM2Z14Xc+Jwe
EyjzYs19xMHok2skWhUd/dI1GBlDoD32EyDHoZvza3vMvIOX5g8m1ortONEgNRD7pAYQuaa2nfhY
S8u4KdzkUx1YWOviqTkROe+Ju9ENY/FUmDOPgNhAEx5gZoExy9piXS5QEXECkjSFxy00jzF+TgYm
tGGN9LTHQiqePZKDK7u2p29pYftHrw0xMRnVrNZF0QM7xh0a3ld6tFgtmG1WXVI2+2Rs/LVXZDik
UGWjg7cs/h02S1a2bGR7XJmLbnkJxTx8nSdeZxpJEWY68pmUxtbxreUXBZRqlR6EOVNhpwukq2IO
N9HMeNo1oOVyI4SQSUaGaa/n8dKGVcTojCvr55nhNDc0EqMErpg+Ah/k7mu7alPpw+C6V3WPqMTF
ya3YqbnuR2T3oPICwyshEVr+Z4tmTH89SKYQ1qCMM2wuj/EIThekMuaJQ4WlZhnVgYqW6rNpFsh7
UkK2q7lMHybeUC7Gn47qrmJ4tlhpr+cooIiRA5vcWvOIc30xq5eBpg4w5y+mpPTdWG6nyFJUsdBb
RqEsK0teZbvajwF3FhAgdR0UWwYVFy4PsyAI6enWqLLtKJDCq5Rc4SuZuPkv03Ecku4hkVV233WY
EHUL1fxRSJUsdFNxqrwgslc8R1OISd3ihKh8cZ3lVMnIqr8fgsT67CjH29FVN51ZbiggA0C27Xw2
7qgd5Kc5pOl9o4oY/HVCkRESfZ0eaxGOZ3yPr1TXQbewgwbaDTrUc88d+5ajPVEUXhTrLBSbbzIR
2Pb6DLuiCtKHtJSMPiYe9c4YXJQt0Y37OBWaqDE2NZflvj/ZltMbKyU69y41F3M7E7XHDmrLa/45
D99rLbfY8ttT22Z1wQBigynn1my9U+1lJoiLyIPFOTbD0exTiDcxFT7osU9xQD6x73x5n5TwJLin
qpr4NbkkO8NDSgdPm30ZaoyjrQCLkpRxg26h8qN0GpQJe7ibR9fYz6FHB10WS/yQVPy8ytqZv1mz
yEkDQrnAXPicj93nsojUkzvRMLGaVTKQIKpQ0qo6vZnmmTo1UPEL/E+/fRxmlV8AlptWypy+lVVs
nmVDbEHGpKg437XU46ijabjM8wHihpt0yryd5/XiS4tEQPeVMnHgYMfGsOTQF9lvHVbUdO0U0q5W
i8YrN+bo3vg286tDgEGdgX1kQBmJ0hl8NcdD1KI2Gjyq+AZ72bXojpi36H18LyMm8CJ1IN2NWX3t
d4u/7pH9bpWfjY/dwug8NxbziATUn10JWBcRbVpPY08kUNABHbcQTB2BHzOosWSxkmBkokpucP1l
v2gBvaZP5lZhLX1LiP1R42GXByrI7CslQj6XbvLFNt07A9jijW1igxpbBsCLGFYwsy+zNMdpG8X5
ZUOLh5yxFYlRqjvHTwPuZDPW0MKwvsoKl+mG14Q20dkg51ZG4kp2waJW4KD6UyIozjW7NL0QqX8D
WUAla1uZ6pqArL2hojiBvJk8ub2QR5zGD0XlfB6RuLZRm2PwTPAGm0VkvswdK54ZwJOxsDld4Gp1
KazuRbBJm26aN4Pszhn+d3KXeAp9TzwIU9Y3ilvNlvvIgtYfTTOPOUxfvK7ubnt39l+rCYl0FQd+
fvAL6qsZ1GHxTlwuSYMx2XdMcKIHUpvn3sq/DX5srnuhJ7ZBCuu/rN1X7F4T7EDHc48muONgnZeA
isRc3Au2pXUjWgj2Moitr+HQVLfcTMDnedkVQjLObXeUn0xzQhcuUM+3grvJFsMpgplq7evSJNVI
LzVHBRd08nly5vnCISPbQFPwH0QIU2LuGW71s/HFNNWVZcYuxwdG+55du7fNnCF+qrSBXVwps4C2
DqCuw715OeWJxNYwEz0UBFR6P08OZmvHaPpMGcnSwvi0jSVh/+guLV+F0aVZQdVqXcMhwpdhHyS+
OAHBsTrwjcDuPbaULKh5A0W5ysd1QEnGpw4Vmn1pofxAJWRLUWLJycWZgGzu1BO9GahqTwufVQmP
zNn37hjsmtDfcX82vmSRaA9DLtsNouj4smSR9dAQgfk8Jg55jFnZp86M2dmwJn0aqeOhIRf+5VvG
Fgl+eBkxbc3kDjjFU9ua3JTxqC6TKDWB+pqxuEzmPFIb35zHeV3Z6Yp+TvcwufIha0zjbFXV9Gj5
vfXmNnl4aNwu3FIk3fNiz9AYnRb5vC3HF1UHnPqbKnqbS9khY6Tgsak38delVBQA2TXu0KchoI+R
zDZ7N8en7kBCCLMtFvbwJjPr9tBNgaa6jU+KqcWrkQu5D2vIDoNRF+spj29G4P+UD3nUQshuX7Ot
QOiQ3wJvefZdyPicztyLhiTYNbn//mIKLay3tCvvl4a6Cn/Cyl1OiU8WKaIUVo899gYB52NMe86q
7SxsnlPM3ujHffWOMdXeYc4PX2BaWoDR6zbVW3wSj7sOzCBj85RODWr7vHTfRRNrvGr7+ZJNlFbr
zqpevByMWEni7DGUfXFwO5wI3MaBzhqx8xrnMrgqSB0frASheRkCEECLi7lySqkRy3lT6UNu5Jyo
yBqekZ+YjA9+oM9fH07icKryr662F0eUYr8WQTztk6QBc52BfEQrKHD+iiRDd8WmDCWA5z0LYpss
tzYyL+NQXELsAn1cKkXi3D/UcghX/cgJm4mte2FR9oa8rR3SxOyIHOUfzmmeQnJkhdO+lx+uaqz8
zb2ULaeqKa6p3vW1BRt1ETe20Mbs+sOj7Weo3o42bvcCC3eU4K3MAxFfi4m4irmM78sA7LBzwbrw
sSN1FuOvGbHc4GxkBRxZjNCK+mpP9zQOl1+d5B+ucqEN5iUMpZtBm85nbT/3C1G9BrUyP8/5ZDab
+sOpXsRGso652bUoeCAm7WwsqESySucyN0b3QSXec+izpRW9BFqK6Obvp0hm49asAd8myOE7uw6t
XZwyRyaQZpsISthMaLKtPrvacE+ETD5MtgVvYbSXbuUnmQ+0ilasZIiAf0RDyWlPN12hCC+vIbrt
mvYw3P2dNvqPYIq/Zh/uf+mH0UP4kQkwdDwAbxVJAV+HBryP/EBHkgB/bLBLY/Elj8bxZITjvqps
6ybUAYTUUNam1qGEgtXqsZYhXVxhnR5MsQxcNPW2ufjVRd83zW3HNeVdjgmbWviRfWgFGu7RKIhE
xKDLts2kjCdqSf1DGaTiIvFwHZPhlrvYIApTt6a1cooMVikgWK4rsHXrjzhGPIk94yG5Hny6EJre
6qGYfmQ4gF6ZXMDs4IGIJPjL2asOU2vVuwEBkAKTRJFbiZuTL2T8xQlxpVhgWzklkhuBz5HsC6ee
D3DIiZX0OmEyJAShut6n4Ko00abJsb9xpMZLEWXhnaLXfR2KqdxGKkAOb4vwDeuI4mRehse+D6Hg
BItdHAqdfkn6HLcnpgCxFyRez6FpVTe8LahU6+yX+CNJM6TUf05exyKugzayndgz/QOYNOtiwaZE
VAdwT9jhgi7MaD7QJlKvLJ3cKXWGh7MmiS1JV0vF1r5TlTVwnl0KLhZAcKMqax4KBNCXSfU0YQzg
V23v1pZjdtHq+JCs6+6p1JEiDEzjnT/VDH38HB+dAxF9GMejH/btatSpJB1PAnOXfx51ZMlDxk5x
295FSUZ/jg425Rw8zq4OO8l2dPaR4c4bpaNQtg5FlTXxKE5iJ9KlD9DTvvWOJEGFWwCJSRGrcnXA
Ko2HO3uekAvN5Nkay2dXh7FCh+GK0gGtSnbzkbxL9KR84lvkseCyJPXcv7WMOTyKy5UDnOGrraNf
VkeulOMbgTDLyKd73se1wyqtLnyOrUfJFfWrrcNkmY6V9TpfthjzsdGRM8aEciUcilIyHUjrdDTN
tDvzdqT8Yr3o4Bpt1BXnaY+jjquDbRPxj/tQlPO9foLqYQJVoDpAC/ReaJ+DtNgD+Oto6znzcsZt
ZG5CjBEIcvMaQBy2LF4wuTa1gwJyh70LtKtCaH/Fop0WWB3Eodbui0rwfpiK0sMc3SfvozJioLhJ
sjN6nBsA8ztWK+3mgH7KRM9adov2erRmgV8DpNSuwvmGlRX+Y8MP77RLRNNPkw/jSKM9JLRRNeug
aYbNqB0mpFP986xdJ7NLSjfD2bx1tSeFgpT2JEF1HHvtWHEKT3BfcXwND8wgKABHCLXHJat9e+OG
M1kL7YAxa1euFu2KWT4MMjCTaOjSrhnKCHA/fThpbD86cLNi4O60/U5iuKm184Yg2rwep/pi1q4c
1+BcvPrfqODA/ehtXds1JSFAsjT7fE7wV00JXM/e7rG9LHLZtq4TbuuBXRSOvW56yP3uAA4WpFaI
1FAH1XKLT7O9EdjTnzl/vkDGYVKtwGMceb0vB+U9z0pDtKeAvaDh6OrbeXyRN/WaBU9eFGCv74Jx
5m7VuaKLN6lBABpIYDhfIkk2V2CogtPUw2zkBhk/0K0wHws5dI85ouy+YQzxPrsznxoRBS/zgkke
qPJ0F6Zhtm/zyLrpYbBWK5aM3QzNMiTkN/bndlHdp3jAwOJaaAJUABQkPbrpVVREtjPbIsvEu4nD
sC3ah2mqydhwnjLHftik9tjtpsV/NSPvnREsz0ZiN90+TWz3whiwfTgx2BpE+C7bfExg/8/b9H/R
Xm5+nbR2f/8v/vxWsUAmUdz/9Me/P1QF//sv/TW//5sfv+Lv5+StrbrqW/+n/2r/Xl29Fu/dz//o
h+/MT//t0elevR/+QPw26efb4b2d7947QjYfj4LfQ//Lf/cv//b+7yidjvAk0s5/70NfwXd5L783
ov/2Jb9qnJD30NtNtEgTsi33td8RC/4vTuB7TNfJjli+aXnoi/9ALNgIoy4KqBYgGLo76AD/QCzY
v6Ap2Y7vWfAQeIv8RzZ0W4/vf5iqM8UUDkRBvhfOD/snrSOcIsKEBjeZpDCK6yIEbhM6arhsPCax
BmPHdeVDb3Usuk6SUT6E2Ih/HRhWOcFftygoX4mx+MxQA24mb8YpBcj8RuhbcMPCiexJ5rDlNn2Q
LlSBdeVy1PfFNz82NkXh6Np7eWNMM8B/84srAPivc1k69xgMnkr8KHBiy9dIFV9AwcCt0xdik7Vj
s5Qk17574X57i38vlQrnD3oZenMgiAbYLtwLKX7SSv+5PHn2BAe5ytP7qOezHyk+W3PbW9zSmcVJ
b+r2Te+Ee2cMuhMmdrliWFYeqc++dLpy3mRJozjFYFfvFuadIRv9zvTAKUxxEz2K2NIueD7vDuIN
1qSWC9JI7V/vU3Yrh8FmkWcvcyNqoZ2IYYpipEqjh+HCVu+eC4+6m9JcTrmD8wyLUnoFsvkdRYFu
tQhTLqBFATGrgFSaRvJAkUW7KntpY+JioOantb9PGUGuyZ1uUp8j/Ir6Ve7BXl3iTF2WjZXxu0YD
xOJOM29nMkdnUy+AZlXFD4XdWdvajdV7XouUwiuH1oBppOUuZvrKIQS0ocuZp/1YV3sk6ONUUjoN
EnVjTLKklmjoV6G0xFG2FCjTxHIZGlzYkwY4sLShp1KbVOwSSNbAlvIYzofupRALrwTToBBHsGHH
9w4NIjbTI2ZeDMiizGEGLR/HIrpxHGcLPiNlYlJ8q9v+ZMXL3WwgefDybJmVjyvUlf3kGXeoamTi
MadxinO3ACqKjdfQt2wyUqRSJodFjhmF+3A845oFExjqDhwSpNyDYA3uS7BJu0nvNMPEct9VMXyf
yW3WosgPLihz4qMIq3mEExVAUx2JcN8azHoDDj53VlIvt0kXWRtkAaKTepuz8A1xf/gW2rXHS2yp
Y4thi7RGWt/piwy1W0OwmkxmzXgb4UyFhBHE0CF+6031fxb+f2fh94WDy4QF4L9f+u/f4vwddFtk
HKCk9e/JD9vA79/gd7OLLTBgsB0IYQoU5n/mkVi0PFZ7KX2HUJJ21vxjI3B/MXG6BAxCfl3s+aJ/
bgSYH1hVdDEHS7jzH20E+qf/tBHYlmV7HHqxiXB11X//nV0h8pcCpyPO+Axn1bBM9oPDJ5shiNwF
wXLBnPktbJwbjmpr39BRnAnuW5bG9CGhpqyGfnABv0f4s8x2/OYx43z1muHFrwLWB7yF575K3X0n
0vah7XxAlHS9smUCDnfkOSk8b5csUw6S1WtfSh0lwMTnbGMuFqeeG9w+B0V7lfeLhdtOpFsWJHfT
N+XnvNewTGNy60NizdEB433EzCePmkuqThLUSZ/PiieNdYhHrAmIuDhCgeqUct5VtaFbvKtxN84U
w/iygCpPRgJSTXTAtO+sUQneVCcasGHe5xbY6LHs0/I2S8m0rEeTwCGMOrv+wlXDO8dshA8mxWRi
FdsRdVB+0N35g+VsrSrnOgow09jWBuD57951/2Lfsv7Vi0dFsBSglzhT6Kjb9y9eYbQGFIqswi7p
m095FLAQBnCr2bY3IwNfPHp1shFlZR+JNgQ7Uvf+JwPHz0Vqls4GH421yZEZNl0esMxbryYpaHtg
zkkpi5wYa4TPdRSq53l2wodxYsAd5HO0//Nf42N3/fEwAmmDfZdBssVvI39yq6hxssNh4DBiRIuJ
XNyZj0s0seUV07Dph244jnWPRVtBgO9VEa4LBvsrtx2CQxLGy+bPH47+2P30kcD+hQUMjwOQY45H
Pz6rbZhVQcM0gD7ivD2Wpi8+w5yqLpsOFGRr44c38uUgg8qmSiKhelYMyAmGnI9Z2q+QuNInOn+c
J+V6A27RVh2KMW/XZUKPAAkkEHypm5zTahifREP2uo4g8OcVFHmPKJElCK/OBBZWRsnvO3jTyHC/
ybgIT336FyaxDy/bj089646DxgZ02nb+4FbKZeUZfUOI0E/BShAuyta9Q8NZQURsTf8UT3jsWkwv
a3Gf4ADZ0T8g1rYFOUZYExEfXz79+dP/L06mLEWBadseTm3OYj8++yqhU8Io4nrdlpQl+0a1oMjn
J7vFzTm7hADg8dJqMs/BZvEp/v3zny7+1Y+3AK6ZvsRrw/r6448fmlGJtpn5SOFqvjJcYEpk7Xzu
ehJLToWhA/2sozakb7znUZXfKqN8NYl8XytnoR8AGPTIDr0hbU9NMiXtLx0gnbsWT9w6D5bfgsI/
3M5+OLr+0W7mESOFxs0RmUtB8PP6PdAkwuCHpyX8rEwZnVw3adZetqTbqS4u7ZL+trB2H+BrvfUL
Y4w/f760Memn9w8OTo8dTnpYdMyf3G7LLEWUxklN6kYUBxTaTywhxiEaIC+YUbvsPSXlxZ//TOsP
p3XTE3TQepJTO6uFNol+v+xlrqiyLOBNiyfKfUpbRBFZUlZCjil5HQ17eeocSbVDqyBc59NBO96+
pr7czyWWKd3Lk4/Ge1Gk5bNNQnxfGLB16gqRBjCICU5hjdc8A9a8HHLVNIgvzZkh+ONEROsv7ILS
/OmXgW7HmUB6nsOuxyfR+ekZ7CdrIXLeNVAzfWyLnCTI1rbNhR/jQB1a8OZM9XEshDmktmwILKIC
Vk+erzP7t2qysX+TVAifAtP6OpChPzmZ4rgcA1hA8M42oy3GC4J6BaXlMPBo0sovQfSkmO2CoL5v
TTfb8XFEOY1AsDI/p8HZomVtAHy3Ul1cXcPssTdOm/rIXvhamtxSK4I5rBk4iC4Fa93ei1z3oBov
vxUx7hk3rNyVCkgEjPBEiFmU9rM0e/eMWbY7ZUEx63WyT470l1gbIKKwcpw2PmQjgVxmtJOH8FOF
q6n2H4s0qfZNQlmbJLNIT1LMbSrMmuayn5b+QVJVvc7MdnrrsnLYNs7sbfDhkwKtomnPV8xbt5mS
brVU9HmDvzU3aRFZawoai43DbfWl5HN1g/hMWGi2skvp0qLT8CG4MziGbwsMb+cojfwLxuB0TVJ/
ah/pwOAjDpSCpIdZNhE+F1hXqWFX11G/4BkhUUC3zqwubMDY3IxnpkBuE000dto+HWQN/TnIDHa6
I2E7HZFRgpOtIqElvvoKoE52JwmPkjqtreTexWVEjiau3BOxXMNbgfQy+dZqeR2k0jysPhLFdsEK
hjbfcRkU7TIfe6KVT5OvvMdWTcZ13ZTRTUNpBQkTX6h9he2m2Ys5heI5TQzfG0vSCDLGLvC6dvJw
v1l2j2d0aTdjymUc21T8OAmm/y1C/8WkbVhL0rHJmZUBvq+efQiHtjVedCKbyRKEmXNdKTf/Oka9
d2O2s/nqERCmy9ElczJEWdpynZ+ikyOW8BJPwHzOCifekh1Rl31pzC8RqfybOrTTW+WOgwN+VTPp
8s6jlzaX8/gU5hZN9GXePPam7V02pLKgwTVje7CTPr5JJt8C7mgkRGb75N6gB5wLVu6eiIWPV6E3
mGDTZXfV5q/CaVtEAbhomDyjRxCsDsGDeLxuFAz2yFdyr6wyuyM2aN8V2DDXRRZPT1zowB2mRoxD
gIiVUV4Bxws2qqu9lzQviq98Ht6aYIluJ/0WyUkCJnb6ye2KJD/yvqUHEdnYe0FQoUgZP80drvmO
67tPTadoiuYJONjdROiPE3P8zYNmnVO8fVVBf904GMifxsFuDy4awsll+6a2ZUJll21IV57JLBUi
kFyxn1LflYXi3aWhap+6PU2qsAW3vClou7VwrIxLEB8qK7Y/uXH0HtC/sBm6scBHRm9NCQF73fJr
cGWnynGVjNMelIi7K3qO2o0im2vp0u2OJ57+n3jDO+kersy1a+FFWeruOPcjqTeEvbIEHjmHH4X3
S0b3KIDFuxJND3Q25GMY0jSXhaqUr8MSX3eqJWkCs41QiqoPEg/G3ggy48jRZEbj853rrG7tvRfY
n6zR9S8Ri+Z1rparfp5Y/Q2fAbo7dCt0dnIrcFtAh+RfIhkX6LmW+zpF81Ok7OvemG6DpiquEiUT
AG1x9uwv+DW6IGPOkWxjMn70Om8N9YJXwqTBrvnC7WXP2x1fZ33HMTRjIA7FXNsb0LgqSPlB/dRM
3FzseYdmvrZtMsk8jxl/O+qUNErhExap69gLDnXAbQM+DV6ZyLI2PsbMi9otX/NxeYhpAusz9yUF
kL4KU75HaDtEcEV93eXJxvEZBnlGXq+yTFyg5aSMbyi7SrYzNL1NP41yY0DkvmDgz+pjhF3or9OU
UE0V06zuEcje4sjCC8joaMU5HUYjDvEpeYvar333zZbDOhymrwVL7xUeAdZ2p95FKmquTWk49yIe
8ocA4tVTMHn+ebSkcWhCmtmaii50teQxgezG8k6k+/RgadhhKMHlaU0s1a5/NTYSRnhON9/WIdR0
1YlenrjOFdTiVHccumhVd9z2sUhi79y1tPqGlDzfhI0hzpZX+vsiMcsNEnW082k5fCPWQHuyCMKW
pG5ZDE9l60zNGgsGvQsRHDLDD9utndRAt/Ji3xXsoX4aqsclHb8gcPHOKM2TZ07PTPhfmzq6r8kU
YlKLnfskWZKLoGCH5W1wVzGaOWF2YI6G1LRKo6LcD7TAQudw5lPZkphmM68fuXBuEA+Xe0+oxzlJ
jBNkjuS2DGeezNryhwuS17gJI5G5K6dJjklr4B5Eb7+GNYpPsFGfjS4obv2yid8sPF8PgrJJXX1s
icNMp+XG6ePwLBYoUErHOvK4p2yXeuzLQS/gieN+YgA6n00jLD61i0ftCt3qT3SpRAS7/j97Z7Ic
u5Fl2395c8jQOhyDGryIQPTBvp/AeC9JOPq+/fq3QEmZkl5WqXKeVmZpZamURPIGAfdz9l4rq89a
PeAb6Yf0NBgtORoiwbdDhyUqxpRXd73Zr0E3TF+g/5vlYTmflMkkSqnZPM6ap226uO7WGFrKNY6G
Jmd+S/Nfczr3usZYetCDkClcIPrJ10c7uEcoFXBB7iWs9Jp/EH/o3rEc9COgjvbajHvr3FuQAdxJ
R0Nquc0h6u3xrc8E+V5Lc47Mk8X7pAoR7IpEyw7U6d2rBV39yR0lCDcFlrnj5GFigjO0ZdodXqIZ
eIob6t5WawJ9E4ol4soHBEAYe6e960yfEKMA18qme3XtIXmSWpscCUsrgsAQ4ZnKMts8NE6griIN
jDgYb/tg26V1aUnJ7uk5AA4JjV47kTHT37ws13fI6oP7mDvYbUr3+1oZLax3TnOwx9iN6p/xVPAw
st3IJqvBMYwe52jfRo47BydPdUW9ZT9ty0vexe41yar+IccwsiLJPF5rWlxc5cJCeEp99a1DfVIA
Ce1UuktSjbVymDfzTmRDzKlB5BG/EJwY3h07T4j4Gi43Vzeb3ievqH0xgbmS/O7duIQYjt6QmycJ
qgvQmx6n1GB5DGRTpyTxtBIhbz6aG6XKkdYQWokfOnz0FzZvc70KMzSL8HSWzJGdnKxCoKX1sDyb
RMnD4Dlok/oeJilZVUMzNonqH424MV8NslW+HUbBScUGTJukuiH62Z+GKa62YUPSi/8Ztp8Krh4y
F/uY0yLex3Zu0Be3FshEj9qMMGZcyZOVd+kum8ez6IfkHIZS2w90zHfsD+SxN2bv1CvdpT1LB9oK
sGevrGrAYFS1vDRRky6RTqJl0gOp1/Ii3hI1QvY61hrfSjhuDD3yiyU8anznSHEekikV3/lS9Z01
DZfY6ffV5z/buL/RbHERd5iV/uGeuGz8ftvkLSvF//o/v3YOtf+bq/e0/eNa7h9/72/zWOsX6HI6
8zKLPY/Ovu33eayh/+K4nmApRo/QWcai/5zHsn3jouZSDpJcssVSh/l9Hqv/wv/a5K3IBMUw/y3D
FqeSv96n+WpZ81F5MVybf+JfZk9hXIPmNRk/pO5ApJEYMY/QFN0EpDtuGcF04tXX0Oarnjkzy5Wq
pcOBwrky5/zD5hO6Akf+HizZ/yJV5gIKeNPiKWYH7eQrEBvrcECqUrPdCBC9bIbAvrEzrmThssoj
xmpEMfnYEs855wgssMTOHkmbxodec9hT8JsFHphzHPvCRSIL2UX/CPvYwd1OO5Kh1sy+gjmZSZzn
qHtsyYVdZVdBmT0F34ravHiNNKS1skFfyxuF0xVCrbBvot000NAJWdStOtv89BYBbmVe+hAhbjnk
+VZ1Eww52T8PFkkyYer3toX1N4g1ZpOodSNpQj2IQSxOCLMn7vmSPMm6aJ3Xktj7al4kvcxxOCsk
7YM3OQ+1bN+mRehL+Ax4iTlN28YKr00L7S/izXQzlJxBFyVwEpGfbewFMxw6HwLsy22loxAOZssj
HTfUJ2WMd+kiGs6SDKp5nt2SQEW7TI/muuN5dmwWRXFC83IjF21xUGtky7lcAEftpsemBGHdsfk8
J6ZjP0JxPJeLBBmuubPJDP3a1MvxXbo1oh2l7isaY/uiNq2NCHuepc2PIilPFW/ZjcZ3t+oT/qOy
ZlTMi5RZwKhbxxKawkTpcVWZDWN0b/TupeXcwZWffkpZ9ciFMD4bnBgO4Kvh26OD1mt7IPpv8UDs
A6nRjEkmQN5aBEslWeDeHTG7aASXoagS9F5AqLCtMBoHWSeQILZLpBrSp8fGbFFVk57nkmKqd/pc
5dldKubpYF2Xc8ccQvZMWOcCqekivw7zziROnmubySJvCobedzsc2dliyx6Npt5qNq8DXoly6T9E
V3xs1U3Bh0JeAobYNKfAOnql80RsctjlydztbMBNrOmGcsUv4Ljp+lzbKv4QdkxpjL3r1TtvmXy7
rf01xm1K+oiXYgFhfUVomduQRsKibDvGIF3wnnxbUKNuW9cczWBJkJafj2052cewn6NjBcRkWzeL
DzXscNDy0ziExfAoOi34EU6oT02PigjfAX/24JH6tZPkz1kMGhiXLeMSlGYrZlHBAV56xEeBP3MA
29V+iviIjQ3nESai/Cgj2a4tPa04FPGcSPR8/AHPvD10gSQwaHgZ0caeDU7RUUsj6ntH/oiOjkqh
cTNge8gcBQNk6tUzS0tjN3WcHCBm2UiCa6qXYcPoZM70fSvJ8bl8LavOQA2yNfOUfP4Uedsu9eQX
4QXnVCCT32oKo6vbYQNt6/Aoc/dGuLh1qBN0xMrEEEMlkMb9QKdM0cxrhrtQYEiBUrVUfyoAK0dq
XtOz3aI9ExL9uz3a8aW0hnjndu2Lgal9B99h3CVASEGLudZxSCpc1H2vXzNnY4oGnnedYkZamwyL
JGG3de+FW+DeObt1PjcyGW9k6xHWLLuvKLKrg9AxbwmnczY6h234k0kBxcxrjHtThOkBJKU62YN6
00Uebju909awuvoVXjBQ0lY8+/hxtHXp2T2DiaS8MyEhEwngN2SaSO82OY6dghIuIJuAKk1XVrsi
xCwArcveeZHxMBdRdhuJzLkkibQw+3jha1NM+jYXNA4ZnFk0WJB66lRqLoye5K5G8s1fmMDklIb3
JdyGBkpS18+x1V3RMQBFM+BuN0cbngRHXfvc0oB2gynlG5iS73nnAB8fMGpsM063KXzflJ4wcGSk
ztbJ8+mCXBgh3hgkd1EU3esEkA5pQTLS8jpsYgbMuHYs4lvLYHEQBDa9JtwXmzBy7jJ34hnq8twT
GRpdkbZ4BDN+eIyzIZ1E9hsTmi334uuAT4xPYFa8ZYXTH5qeb7/SC1p8WkhinWe5qXge87RBy5eY
SKCEAvyeYJvZFS3cWq9P5BPigf4xqHNOiz3B4gT31EHA5lgNgsFfUrGdnBr3htFH8jHS0Vy3mbBX
jIXcu9KS9fM0huGpJLD/s+YSnq+02s2JrLJ5XPWKoSs/4vC2nzPO0d/r4ZiLxq0xz/qZgPhSjChq
ggnTkrSzv1i5hVcZxB28udO4a2eHFYaeYQm0Q9qcMwWTi63kQ6xkfz0T49zWsYq3giwX4kB9NauM
oho2tpQ62yJRAzTV6PYWY3hKDpOWGB0B4QutpDpmLC2yAtzLs5G4U7P12uYKeVO7n2JQe4lgBrOC
ipS/uUsvLdFUwd1l6bRNjc1FUxNgR2iyYeHjfD0s9bY5FW9EZqmSzX0IoG3URlRCNOIiaCsbVXvN
vd1GFObmjux4zlX60SU40wB0plsXtWRli1AYb2bEO0t+d/DqmDpeXyh6FF6MQHMA+M+HkuwI3a9o
XeotgLKmoNe3NPyspetXL60/PuOwHr+rgAjku4+Z9kO0IhRIWbD4Lg6KpUPIjS/c00egWKiWjmG9
tA1tuMHMq40Zts3SRky/i4m8TCgp9hbzFPiV8lC3+filJShEwAzpz953xVEtbcd+6T3qSwMSsM+8
yr5rkXGQZRSrxsanexjspdeB9DKoUhpLp7Jf2pXhWB2L78JlSvWyHWrthsuQOjjL2WwRc24AtHMm
WVqb/Ak+1LB/9+3S6GyWbqfWEXZNbIbOa3To5KojFJr90gdNTZqhcnSaO54RHjyVsqt9Zbky2zLz
mg+67uWHmoopCfr4Lide4rtSpVfpdxUVgahio+VW1GJyHYLwd221ztsAkx1zZoLw+p0d5eNjY9XD
47R0XrFsQ/zmPExOlL6n/O7GTgu8a+nLws2fDrZS43VIFox1ux48U8iSvNbp2kIO4jm09G/JeZU+
b6+G5e6CuRvD2ruYIBGgPNLeXQLJRSCrS/nd7BX059TS9o0Ler/zdwWYF4tzpZZeMDO6asVKC+Hm
0hoGLkpsLSPS/15VA+OlNOoeJJUhv0qgmTEz6K8aJwHvCIVhr8ScXdwEt7hMpXjmT51p0UTu7kUf
YL3XRlo+0OgoDnEen2pwxU8VKok7RcZ63ekxqG8bbac594B3eF9vEF6yrSTnsKojjwGamTjt3VAp
7xVOnnhK9cy+DSZNu8rq9BHQabH1lgmfJsBGB2ImIyVZJSchbWqao/et5lrPqs3gc6mkt18AjjC/
Cdlvsf/W8QRq4qGf4X9mdnuvWa27tL766y5Nx1OFSOOld3s/iQYYDjRLLpFHdwcX2d2yBUxl2pP0
smn6dmomoIzl0Ue9K9hxxePuey/hyvx2LCmERqAPIEhD4DnTlXkYe/GQ690D5KySTFv4NFX6vnC4
brMygDYZem9hOhN7Msl195zHMJgYw5uOth606tyWoLYtGuVduARa1V1iJq9ouiWd6QVOnXMJmPLr
WqjiUtLCgeGzTDUtdziUo/fmjlO5bTh4kbvuQGqShkpTksM8Tum6xBXAwWmE2ZyE5C3CNF3rnWj9
pnOdm9CGTZdI1W1GuNtbYLvVZnIwnmk9rjhTweINHZQEMyg4Yi457Uec6bW2b7Q+YFwA81mFTr9n
cOyxTIqc3SDbZ1BvZ4972a2AOpWGonwP6u7HALJ1xVHrqrDRbuvoKVmFUJ4rcRZXnUY3SSbplnKD
vYELt8uqmJFLRiyahXrA1NmnKBFtSHdryKtK1CBa4o/kaO6ntHrK6Jn7NKYw049BcOiK5OyJDlFl
bz53AS8yLyy7fT7zKM3pm6QBY/nZgXir6dGrMzikxXMNdSPpxIDB1aaa9Y8YKyPzGqO+jlx2bNPE
5EsNmXyFmsSvVKV92KDi1oFcMta2+2Ro7bqHhX0oPAuEN5yzfa8q6o+LaB3mDwsVe8Yoa48X3if8
V4L4XK+niUl0olE7RA/TGkxL/mNSMVjVvCdiuFySYAInKeKX2ate3QKkRD/3ZEGi22YMLioyBtKX
A1YaT+uvNF5DT3oFrkzNZfifGcv/KvFsWNYSE/7vY2/79+xHV4d/nK389vf8NlnRfyGxQRhhYSex
ySY68atUTv5CwIzQk7C+Q81C8ld+D7pZGMqZeMA+cZ3vCco/BysW4G1y0JJ8MmFlktT/DtVpWaP/
OajAcc6ROgkJAhOC1NyfMgOtZU2R7uhL4Lm+l3FxKTj9Rb3xN8CSf/mvYXFmevww8bf/5V8DxzrM
HJc7hzsbP8PWY2duczniwfc3wYt/lf3C0ifx9RC+gFpDYvFPIYgwIWBu29l6qi2/pTO3JrhHIs6a
znUcmWuSZzgsNPnOW1ThVB4I9kBIyvNLPsRHjTtuPZe3dexQkp2ZPHNym1bVlIMjTBfyo/XAIfum
ELHB05by5R8+OTe//uD/mFv5/3Mj/HhIWUmDDAcpnyXW8ofYYSncdoI3nK07p73u+v6KZ996kjnQ
lNh64msf/+Zf+C+ANi6vcJesOxkLHVjOn/+NeGSxNlhutm45jK8Eco9lVLZCuwakToKNDbTJz0ys
GUGorFUe5tW6nPt+9z9/48aS4f/zJ9HgI01Di+y/lJKv5s9fSFe6dp4XI87AIQUpUPU2g5E+35V4
UNalbXJ0TMdbwwqKg2XRVA5xPxdrfIHeagZToEhBjtaoIY3XDDhSgbZy5XwJEXbnvEbywW+crFvH
Sd1s7O+xdudwUZ0Iup0Hk3mi6vWXYpmBj8s0HJhpeKgNZ6R1ZH/mjMtnLvA73qiSkODE272R1vjc
lDJeIT4I7l2E3tyR+6PqwtHH9UGBNWj3VWOqU6k1+BVp3HSYjDaiMfZkTFZhGPqM0DTcF9VNtAz2
4xa9XmKkcksN3VzrTcvdpecAFYpI7dMJ8o05DvV9VpbdvV60Pc47w4AtUiczMfa+SG+8skNFlc4D
g6uACzF+ihdhBsWX1ZQWWJPcTI+RE1uOXxcG6etIJnsjKJp2w+RiPMllwyHbSNw4y9ZDMHj1JYsQ
hi3EORyT3T4tt3IuuLnn7pUGfiNcpalVw1EsK1rN/ZdI5LWjU7KyHcEROwBNIFpnYAJh6XdzxLzR
Aq6xQ2em+W3Cp6mWbnXL4h9edN1wgJxohipax/upG7JLCxn+IcmHhvuWnZ76WBdvCc1FCn4L8gEY
eXxDHkNbzwsQIp8DrtrLCxSwav+UwIzgTAiBFoqEseAkpqyYv+IFMREvsIlqmMntzguCwrW6O1mC
DuGmVF6mihQH8VwCuYNZHosc0E+PDPowLmm/go/h3mLGwblkfNIX3EU1sebQbH08DsSS2BcZ9X0N
n3SHJC7bfP+y/Gfd8TfrDjSr7v/4Kr5/fyeSkn/88V3829/067vY/WUJc0IvpNHCE5a1xG/vYvEL
RHyTXQp+JdOVctlk/PYutr1fhGUZ8BcJlZsLffEf72L+ksETi80IW4nluf1vCV6JsP/1GWjT4uf/
qJ66hgNc58/PQCQAs0aUBXyxCzlUEQJ6hKkV7Sv2+uSISFl6EpINewhOiEN3l6dMoLywBYOlRzsH
dAJL0s6EMkVsptl0mauv+2Gotklc/IQOCEs+T4xNZFn5FZgS0AaFeW6M8jUdmGyWxtRDx9eO6CkX
Q45u+/2UFncAQwlvT/V70KRIpNNqY3UCfVxzZYvlZut0983S+7Ppna+lzoizqYOLCT9sbXfLMbpn
dcFc6C2wzGdkYNi+AkQadlu/JTW3wwGaa+zsYz3WVkCi6bQr89zin6YtzC3A6nZU3gY6vlRsUQQe
BlahbDAXIyD435Dk7d6uIBzqBqBUPRFnF5q/FYSvocFILZupUPHV72XY+4Wr7zJD3mjm8EimR/JA
9EzurKriRM4MmGnsCbEC5eoabwfP55SOqnKOA0TtHNH2mJc/yW9to5J2exJ5N9nSOG1hSw+4NMYx
e0wqupYMFFdhq95G4b4VUnITaV84pi8GuojRTBZdM4FkFtQ/UaQyd2WY634EkGYzLV7wBNSC0Nhs
BNjUoGJfCpnbzLtFs8eodZVWCesskBAtjWjlDsCAYuC2sNv0PHymSfkM/xxMuWKZwkJqCWzGkZ+w
XtsNFp5yexFjEpgcmEiFx2hi5AoVKdkF9XBVKXkEUfUYTcUpNya4unpEgx8buiXQoqeNXqxReHFI
Qpeuu73tJ7yURVAcm3R4EcjUm0RbF3o/khwBvoNbl8gwxnUGO4QJspMX63fL+Ubq+gvmJeI0omAW
7EIVCFW/z8GRrxovX8YtLQqtIfRzzd6bgySl9FIKB6ILutUL0aLukFW5drA7SnlTB4rO0ssL9dRi
xYeKUR5S+TXpEX2dcFEKBdBOahXt8ZvdradA7gdnnFklpjAxYLxxMdS7kG23lpB4gFKDGHaY/IBi
3CGQ5Sd8dmoWzC5vokF9DAafcurOJ0a6g1+BHY7SVq2bbhnbw5vfczt0Tg1ngj399H49EffDfRDz
W1YsGcqOLd3K9VLrih67oDkBlEEqL3oJAtYBQZz0yyKgeWvF0O1ZAdW7Isa2FDRhBW1d4ruQUjua
1Ko3RsgPO2ZetecwQeCm74ydrWmNz48xvasSI7ll3v2TlAn30pwZagLczad9Yj9kASW30OV1xy3D
gwIzW5uqzxuSv8XI9sXaoJ9V92WST2uGDcOraNwfhFYImlYyODlypPhdd/aW+zpEHkLh64Yc5AUQ
GWLBqADMyCLvqOkeqr+2ao8qwtVLSuLGJYh330TXDLDbowyn5IyWod5aAgeZGEtSEcA8NpLuyHXS
TDYpLuNgOybhAyR9zuy8h16T7cjiHpVeHIK64SlTg4iEd1DvSraqq7TFzgkK0FlNJLOuOhNW3oQf
hvXGOmWm7MB7u410jd1K7bV+ngWF38TlsFbRbK1Zl9DEnG1oToI40TwVHBDKnAhViOWlV/fhkH01
EbFHk4nrsqfhwWwdQhzztJXJmkxlOW0Yiz9V1fQQ6MNeK6x0P09d9UgKeIBCMUHwy0d93cXpl2k6
jDjEaGy0ImX5wEBr2lhhNvml6CVHUH7jrK7OzgAOvZP0Eto9wbARnh8PHX1BVkRnTUMeEXT5fJVm
8Q1qm2eGrmTz+RmuNOnSJTcsjAKzdqhsq4U+VoUnw2BNE86TsQIqo+2z0fmsckh50EfEJumgrk9Z
Vu9nnBTr1hzU3q29dyKD9DZFW/16FfnPqeZvTjXSJCex5Nv/+xHD6r1/r6P3Px5r/vF3/SO+gYOe
o41NwM0WbJ5+P9nQuCa3IZbhg7F0q+U/TzYOyQ6ONly3TJvkPxzpf55s3F9MlwWxS/P3t5PS76Xy
366xv7bh/1mW/+O19i9hfp1bCDWapbXHvW75Ev98rqG0UDulLXFAd/VBTx979pPyp0Za+Q8/lX9x
fTbpePzlCGUaS3lQugRGdFLQ1l/u//HY1S2TVUk7lnXySgZJjhTF1DziV21p37QAc59nCaiIgTSd
1T43In/W45LXTWvdJAZbvLJLvBPdrw7UBddDxp3eFatNHHzCMgw/z1NyHbUNqa9Un7KySEYKV/vo
IpuurG4Gd3OSwZuIS0Ks6yVP/iaCcty7AGbqbVDqLCFDiC1GYrb0jgnha2YSrUh7h3CHWnXRymjc
OmMLTqjGtbFqqejdtHULZaeYwpvYhQ6yGlBTXOqk7VZ5RARgxbZ42niLlEOWFtVwveW3vwI4flc1
0j73jVfoR0B6Op3tJF6XshA13D3R/xgq7Jpu32mgG3iJ4oM056ObWO4GgGmwIFPdUwX0nkB7jr4+
mBVr6x6iWuM103PYp/m16vPlgpVrR42Q0XYo2dJrCE780shMoESm90O0vUngQ9Pr5a0CbDAsvA/U
zT3fflKKnVLTuAWmRnsyVRbosEHJHQgKVMos8VjVTY042VDBJ5TrhND55Bpru6Gzuok5jg1r2hmh
H4jYQlY/k+AP4/zimF51wPxgvjqRY17LauD/kxRjZj1M1xkUKU6NroceklBNU/LoJT8d3xrcAWmf
u/mMOqhBmrSRVoQLuemyrRrmNz2bC2yJaXOLu6u8qzBo32OVzj5twjkZObgKK4qROo2xDlnE7FRc
TBs2thCSDSDNhEj6XbPYxFc6d+GvujRqsEFsI17mBroIv+BkiQfkR1rQ2+SZZ7mQLRDVwvlIdzbI
q41DpfM6q+pPkdN/0Dk93g7DU6/b+dlK5nxvC9WdB4VlOuO3H6dybO09fGcr4gMsDCLSLlprJ59V
WBSnshmsdySrzpnxDstRRIGfmKiISC270LYbvBfdEmBrYTHgSVjuwuas+UFRdtf5yG07hej3mihO
xojV93QsgQKnwZOTc15iR9hwdzY/TMMb/QEWHELkWWNyza5x2uYhTw8Cu1p1mTIRn+IujXyNmjeo
UIt1WRDO3SfTL+ohmlN/panUNna6CEeAEFO4qeuvMjKt17mabA8fdz9FV4XqqQTApIwXeHA6qr3D
IHVbkyNXK9eMptuerrrFVj9dBKuTaPech4mwZHQDNnXbWj7rnPbejNEgxbozbliGGUg+1Gc9sO6K
acT6+OzITzE1cNOyRZjmsZkbSnk9lGxP6fwXd9Is7zo6uzvTLPGx0jAN1jxxed2aTgD0thutU6zR
smo0rT32guiAk+zkDC52o5k6COtIiyqTkl38UAJQh1zZK9ltEvZO6CjyqNmZxHhif26n9BkJ8czx
Ei7QlihBeBiLBWKrdfppxHJ8w9VS36XjoBMW8NQ5mQnrd2I8YuUThAZIW3j6VWHq9DnVQXOr7cDm
FMPiAR4lSqZhVXXWFjvME7PRJ2gJNP4CsXV19x3V1t5ZQgJ8T4PNTRX14DPZ6b0mK8ZdWpZs06oz
HKi/WXiKDO6rvUWJGh+H9xPSYPCc89aAIcgncD+RHFvNCQWGWQGYHROmVoHuvEdoCwkbVGAPomv4
HcpPjW2P8/hWVUo8SiWXoFporXtHPebOkkbW20cAhd5NEYTwVN1QbGSFBzcdu3M4pc2BqTjRro64
k8hMAlbOuyaaNS6gH9ASowMwVbFXI+2ceJ5xdjW0QoZx8bBwyjbL9twpLoGoXK/bbqp8DtPaepxN
CPfUv/L43tPtSwyzEwasrT3HwXydRcXjmL6k0KnGHCgO+I9Wxmdj/tCa4cAWb40c5cMMxbhO6vHI
q25VQICcGvlTZeR7et9tm53K5jtn2d2r4tMTVQ6TsdzY8Q/DAlBISlqPisugKp4tZNNLkhO5xaXI
4PDMXl4Tb2xoCSk+zFkFx2TnYKzRX3JMQkb0ym+35l6q8OiFP0RBuAsX8aoxvkaARIbxaujacQq2
rkAKOZNvbrlmwpykEIxCpfhs+D3TG5b49lXm/HADqJw6fEQBQcoc5XmkJejFyc8gdh74fEJLGZc2
Yartekij1mLr4753hin4Ts2/Ywzg2OemQMMyWHdeY5+pFNFuDgOfYf5KMW7sJlPbOFhSWDMnpi+7
G4GFpc6WrF6OrZhvO0DTbTGG9Zr82HvZKdc0XnCzna0GWPJKRBvS0CSiwo0SxnVdGYfenVdek5pH
UG7J3nTNZj/DJ1m1xlivKSTmu2gkBTkAQdD4+sduoqNCIR5ZMPC895kesGakj5rxY5RJD5ZivAkg
V64UxikSqSuvC67HINyaHUZO6i57PXa2Np2gTGQTEfJhEbsQ6gzTH2mO+6gbSxzhHlHVivJoS/kO
czWBtAJqK7vq2yq9oqSyad1HbjyzTxC/AqUYruOaOH/IB4/YmYXcN+hpriXMMdzsqxjpTE6ocdqB
M5mr+XTMdjg1kBPzsvLumxSRYc0XnXh9uIt1Za95ktaaHxvOR85V6ra0OoYUgp+VRnmooym3jnXU
xKnNsITH4L51WvpWSQNBIUDtg++GkkBHrbubyIQ4tnwEWn5L3n4bRzZb/yLNt3nlHoApcOUzCFRm
DBL4y1ETaxdbQ/3WxYygW5pkFAgnAzaD6rxTLBgRSGgwkndkW6u17jS73E3yVaHrOxogxwQWFwuH
+xQSVJx5G3NIN1YWXqdUzTaJVXwVFmGLPodNE9xFgipAaPjEWfam9eB5t1r0qGzG0j279KUdpZj6
8gfMr5r7DId3rdmdz6tok2Z1tRo1IMU8Ix1nxD3l5GLj8L67MqsrrSLC0ABh6c1zlFTMkF326RnA
37XXTQcCopdcVz3GAKix3OWO+GG2vdKuipjPMmu1cZU6w60C177qHa7bYpAfwA+vkrR4dkOOjpnu
Nr4b7XriH5Y40Uw+uZXzqavwqg2Dm2p4HpWr7+EY0KpwEOJK8ZJVzhYYw8oeo1sAL/E+KLAGFUH9
06QS4jGXOTq9fZB80WUjjqU5k8rguDvYmh+pUryLMVKU5Ht++6aCNnHvltegwPyAzPgq6HsyKlaG
EVqoB5WgGbsON1ZNiNK50uroOCtt1TDJKkbk4iQzrOq2zUGxIyUvstXlISocv+WKqt0X1jbsQC32
iA6A4aQHjAi+2coVz+WnJntmP+5bYbwH+Lg1TGKr3LahoHMyKfexdcZTeCAFjp8s24z8A02ckO18
o5z3Pn8bumvwFH4U58sf84+sfqyK/pCkYkVBE5ttYft2PNyznPAO+KZyLGUzSbeOXADH13sCPGwb
Kr/tyjvAZfFLNU53heHd9dkZMGRItm2+Mp1+7VG6NEsJmpHQgN6IL8sjKqOTO1L2UR+jfTM/INXm
v+tr88iE7hy5NkfTwl4Nqcu4sfKhtNbOsDOq2tc7w/e4SI3htFFtdDVrMX36qr/THchJHk3EABHD
2A0XxZPCqgjzlO6+ml/IULj1yRSvwXiM9Rs7+KTGu89tYHrt1nUInDjaKZ/2CTxpUA7kctSgH3pb
bjUCb0z1Tnl7JGW8MrGNrpUUvlvSDyzuU+azEEXW83zf2di4+plfKeulbKObkG8m7HbM8Vbz/JmZ
+Q/FnyxQVByDLBzL6WxTkVxQl66S2zrPz73Z8QHq6OAIZpma/mVmusnhTXOQNrhvHPu420kg01YO
fYhybVI0JOsy01yb6XCWTQiSrshJP2n5qR/1U9JFfk28t93OWMegVX2mBVjdrH11w77ZJPyE+4ox
S9tEh5YFo29kmru29co4DYkCRc3IhxkjVDsvzx+9NvuJNhvKJRr2J2Eo99Qm4iZ14lMJNHRuKX12
xYEcz1fCiC9iyk2JmMbVk9IBVJYEOIUNdLrzXjmTOWuD97gYNOAuledrYeCuOaX1nKDmowzuZCQ2
uncejPZUJt515uLOeTGDHAFeeM5NxVy8YvA15um6avXXit9L96eTV1+GO9Tkmd0KA2l5Np35rSkQ
FzBzZRhGF3NaSFcfLNN3sDcpMDh+AZxq8NpLQRIJqercapsq+JjraQ+T81x59lkLTmEktrBE/dD6
Cd1s1QwPkbwZys/aaU+2gFRdhXeNyDaFK4B96d7RyxKouPiBXTKSRn1IjfJgNvGlDtObpB/XdSyO
ubqxhew5BLwW2R2dU0IwO6Fu6DgcE/Ol0fD/gZlZ2Yn2UJRvRp5Qg1D3VLpXYzpvcvfUQF9P++BM
xGk9N/YPzUpvc4H0O/Vjnp8uoW8VnEwnvTYazv2FsNbAFTF1GusaLG+YJpdu7neVmKrdoLUbqdxb
4cx3Rd3ec0fDyPAaFKgHOEisCYBvPMmytWvbayBgO5my9sVBXnwOXG5WWTC/m6liO5qxpuz4dzos
aigxPo7Lx29M7nRaEJoBmz1Dq0qStqMFPAzPnPg2U1/6sTqPQ78ZMhj7e4pYsETfYoJGcpu3mMg9
/hQJnac2NzCpbilof3TaXk44Xgs0y7oJJ8a4bwPL79PqI52SH+NS00fs3dfXGnNurBecafSjVB/a
MHFnndYw5jKaLZ12IKBJRdR4qwvPzyNm1V7j8HAwww+ZUfPg7jd5+bkWxg7W247y/w7DVbxV7tcw
FCeJDtChheI9JQQrVnOl//x/7J3JcuTKmaVfpV8AZYBjcmxjDkaQERySZHIDY3LA4AAc8/RstesX
6w+pqqu+V9VVpVVt2kwmk2TKvGQMDv/Pf853fAtNNyL/EpyreVzPfvwDbiOLitVA364wd33l3Uaz
fTDM/iYc6O7FwjFHNOtqbOF6G3m4qScWtn6/mr33xaFGxdgu1O8TzRIhpubYq9aTjjYtx6VJu/nc
1rRLCN8j80vvpgI068vrNIozxmLMucOvMpRbP862vnV1Wxep1eG/5kCDboapPeWMjoAQzk6+j7xr
28B5TQ9eOB9x4p26ytiYgiRp/BAY04+Fj0bWg8RoQcuvjWXDk+8JtpOyTyxWL7iD2ynAXpxtRTSd
VcLBpMvm2nTd+8RuYj3FbkwshUdOWCSssC19l5TDyXU+cIRvOmxwZ6qWeXosKY088g+hwU2u4oZj
h7/knAHMLTaNHu50++EzWtAutpZOfJjnbD1g2wAZF2BupOg4MXZ40CrG/xarYMAvOeflnp6OcHrt
RrYthFO4X65s63GsonUVlL9CirjGepi5ZoSE3AM58vHuPHAQfdPslQn/g/6AyT4Prs4OaZGlK+HJ
dkd9e8KFvYxJbWX0MsRfUSwhDjf274wpLr4BUF6Xm4Tm9Ww+BhGsae2o5KRsGzZ2WNzHlkr2o0ju
lOeSqJD2fQxM+Ln15g5+k4VOP30h2DMigucGFZGcE1GHm1oB7EHdYSqLWwtBJCnR0zxK2hne6ywX
h6wWP8yhJ4xtUPD9zSnen0OqVVBcwoxcEZlwJ70m03JyBvG3siLr3BlsqbpMdUe8DKwbZU6UJen0
mYkQTyC323s1ZmpH6U50imahf1BCH14Y0egkTnN/46h8OmXsrr4rK2DQTgeYA6rNCJ0vESidlXcs
P1COphJOa0NRENqemxX4JFkpoA+QXNEioiSmtLZWFLEddAjbdhhoz3ig9XfkEdKU+VvLnfkUgjk4
FHGvN3UjrI2peS7VHnaHqWLCmzWbuAp60C4K5K2Kcno8ok411yHHoe7YJZ+GACS1cI+JGVdHXTBE
t8xWqDbUUQoWsiMeQ4vKP0AmwZ3JAI/A88pOKABERV9PosCqkoFNqEfWH5bfy2V2zx8SJIsNk8MB
f9W28ootnAXUhTF78AzyZSzJsLymfr6ahPiaW5ou8qy/j0v3WshJrfssj1axT/QmqqdXOqS/And+
9GZ4IUNKKwGfVhJeFHGsefLj7OQo0LnH7VO+jjl715uUSbjwnfvKkdYvATkBfbU544B+YyN+17Tm
wQyyLYQAnm0WW2Asv65vgHupzCXecwm8r4QOUVbbb72fb4NhmrdWn+tbrw/DK01Fihk217u5h3eN
rLrSyxYyo/DUQIdZSUemH05EgokFY7uCUEgMhmDOyhwcZzfVRYd8Y7N1bSrVHltSFccxri92OzVr
7YtrkzGp6CljAlmSwoPjPcaWvwtEf2KPRqd8H26bEn5bEYUDzuSCtxOhB9alL7pdIwU4q/gRfyl4
+ygN8bwO6jEe8SVjFHyNBO8nGZuVraOXogcGEtlXGZOy0UQGVdgW905YlVxRBkbl5MmI74Ng8uBI
L0+3uBX65JIhuCmmbtsoUAteUmZPU2BlSMhOuu0o8t64pLTapIDGOU4grcGWPEDwQfMKMnoY6z7b
UIRZ7PqW6XGMc2b1VKfAJxJ5giw23A2qdcUqwjOLlm1TUl8T4KROMn0rTdh43ph+KwDYrPIkDyII
IOGYMu9gctjjmnrpWsoCYoldCHutTytGH25C3fsfwIymo46d7GdnWD9dlNu3wOBDk3UMXCus597e
ncMcd1cHBGjA/wUWnk0pWmi6KbAxbay4D38S3MywMaXfnVtF11wgf+Y8Yh9goy4EvSgn/6PwwxMZ
X03e1O7xMTg/wKskr1Opz5GejJ86s+yboYCtTWytGX50c1sBM5hxGE+znYpNJGKKsvpc3KWzivcO
ZSangM4NALWFd518mj5Ycth7YUfVtZy9eAOomnR8XfH1VRZFGwE8jLsm6apHvzbMh5p/Njl2+1Sb
oXsW1mAxcgRkcbDod6vYxZcBCAp6UlDlOzeX18ZJVlEyt0hI1QgFJy4/taKFZZG9f84Wfi5cUpAQ
7Km+V3ZVH0Yr7452b38AFZS3uVyeS5VyeZuieGPYoAhL/pZr5yGrgJKgSR5byY3h1OV2RLn+RDgY
95Vt5sahKEZJ919pz695bxC3NDXnWtrYO/ATmlIecgBNQY2P6tsWWawquLvCPb2kGNEPqMkSXJSq
3ktNrXOa9bAJKbIn+I+5JkA2MsxZfSMJqMsgfHnoac+RIU1Oo5eP38TYh+fElyHalj9f2AuHa8cL
8/2gh48yfHWryl533Em/ZcrZAO+LxjZWNpgawm4VwA2+oVBBr3yr7bnQLB1ePVmAiZ3zxoi4odVJ
bL6wL5kJTS02dSo6TknfeLBlOM1qlNCvwg+rQy4y0BJ1qg9lH4zr0h+fhlg9dnmJHpcO6uhqFgmS
Dozd73OOHiMoQVVjnsM5AT2RqOGnqaN3TV8Et5TcPtNxXhyL2OnWCi3uoruAR07vowTmRUfKn8zJ
JMoPROkvjrA5X0GNzZiuBfKRMZ+wRAoEOZtnxpR2H3GF47fKk/vSGYBNdoPzXUD1umsMpT6I/8w+
MIExWUqVwnLdA8HkXhG1B89MkqvOtXdtPHxLJcXlPBzzo26GCnakz4KcY+2nlpP5yHptHRRSXeyi
kBTzWCMzuh/cmtQPYAKSb3ltFtexyEvmIG49BG3Ku9wMn4X2DlqH5i7veR7JmdTpNHT9TSOjFGZV
YF8X8L8T+TTKe6W4VvA+t+VUpefQwe8jQBUzp8wfM9rcrSwLOP5VJh8ijPpPuamfzSCuqd0xt74j
OPY7lDEcVgbfhaECkCGJYnvCULcDjzPYP4udpw3XqVMR86L9b8FmJZhcBZ8yF6xjNC1J7TAZT2nE
A7Lkg8eZ0L7OxO+5bNjjW2cN7QNcCb3D9owI3yFOOVFv83cO/r41FQXSatj0IxOgLUH7evJsONZ3
EqZ3tkjNtRhZq0GWQ8syZHICJ7V4M8L3oXAA/lAad0tSrtwmZgfqtOeAnyt9xV2FOB4EQLENBR6b
zxL3HPKhSjmEsNu+PlGC4+4Ky+AWPhTE8qk9WhJztN4Q9VfLkqZYu16Di035T0HFnTINnZNdR96e
9i3zJkjH9JcGpMqVqx1fyw71LK+teEfSRqyxW7wS8MgPMTRKkF9+8EuMOlwnpOzxMYE1YNtCqdVy
rmPzoIohKAAVKUOT9OWE3fbwVA5YOL2z3XHg8gokVM6Uo5BPxMm8N503VrEKhcWKhRDXpZkawn2a
RZub4LWBqJButOUNm6K1SChHum1QgSfOywY22a7xOWspLK7B67TQVjud3tHIadyq1kYcInZn3ERu
3lxVidBkY865KQqqZqJUTluZERopylLcKrfxjyrqY+ZXTsUyJellAwj6OS2YytjiV8q9yrsRcNe2
BP1NTFGs2AIvM3ZVVHr32WC6uzoJ1SabFhB2GSEDNu64GslPvdGLG7K0SPQmaEfuV0Wil3HF3SRe
m+44Nc88l9N8kc4l0yH/qbC19Zo4NVPqxAo3JgbJSY/QMZG8pQMdvavV3tZ1CE7XovqIIO9Qt5P7
N2Huhb/Cce758KTM4crvyQKlMZVA1uQfRpFbzzUU2dvYgQ3dt7j62rzuT7ZrTOuiV9WeC239OgNY
vOl8TFptleV3UYdHODTa+lYZOUs8sRinQ5qA937WxMTQeS8cg/fCZR6FhxU0B7yG4tYcAxrm6HA/
zA21ZMTs5i0bzrs2G/2DSBs4UpPV/YyIzzM68KIpjcrcGO2rURfmq2MR+EsBM9znqMIBymtjvo1l
6xwoihtI9Y4cNxUHKKcDr7poNVb1ynhSbVMdzDBFlqMssqDcEawXqd1ohwmtXpsOAabG5u7GBc8D
kekOLPox9czkMHfeVPc3QQGNqjGJ5o3AUKN1TwUprcEJF1oKfDiQ/eynWr6TAGpoaENrvbUSHlWF
HPSmNArjoeu0cRwD232FgCCfBvO5M0lMp3604RtUYwnn4KFYw/f5eVT2VBQlglGBc/o+k061tpuc
itiEiZc6UDvdR9MEEbHMre3kuR+Om6cbNsbmxyD9Ym+VpnjBJBK8zjXW6EA310xyo5q6kt8P0v6H
XTRSs6TqA8ZgBPhfs26yg927zi2rwA6bHrNBv+2qceScyhtWlqAJd6ml5EbSQRWuNWUMB+rFlzhd
FZ3hOVlPflTYB2emQWeFcaLcAlo4Rj4XE/asA++mwECQNEbD54Jl14gtal3nfr4rcpntWrfX+Pu9
p6EIgjWtSx7WdCrn3DySr1asXgihtpe2Fi95bl46H/KAYOLcT1NqXph/pxvDsFgz5KOuT3ICdhol
eX8ATu7Qv1HlmcWxmYDD4g8dOZmrbWjr/i4xWapA7lHANEiKm17ZvOczEwQOIJiiPieOZApfJ75h
fAyQJ/mZY+E1K953m0UuwpYXeMXemRgpY4rsVg0RpJqFfazWykmcVVNSvzPVlbfi6ybeCMHyUsT1
ZxBGFLzMjg3VYlbvyRzBZxCoW472t5kdfmSCRUUT+BfDchvG6/S+QUdZVf1EGCZQiUMxO2POXrJS
xhhqz8+cXAw3ZmNtowRJJtHp+OQCRTp28CdJOiAN8KKPe2GF9MYExgPmS36Tsph+ZJAnL9HoxbsS
SN+rCuz2ZIiQsXZkAJg1jj9LgEC2iSlfe11Ul2RwX3rlOzcVyOnXsUQOJsIrDq1vZ3vpJ/zb7HeH
sBb6sZrscWBANcpXWvCqfSn8/E6X0Xc4yOTeR/V7oLlK4qusrbWFqXTbhui7XhlNe6738t4X2iCz
KTcpu4l+Y/Tm1bSEPgOrIR6UM9odO2qa/7/7/78VxJPwiXwc9v+JT+7260NlX8USxzNevpr2f3FL
/Krfi79Y5/79L/o365xDKADrPmBrMnWO4/5hnYN85FE2gq/fNykgZ0n4RyjAdf4FOr0NucNcCPVL
kODfwUeAlKwl0MfJFkhCBfKfyedZ/wAyXkpPbMJ5oPRM8Q8V6HOGh7wf6MfI6FB1+Ojd1svTsnHp
2KiTzN+WGdCWPEWMrEGSZUl/93+9gv+Rpw5/YPmniKAPt91bOn4D0ydY95dMGhCcxs3MeMbWLSsQ
GQGjY6SujSmwE9CVtwZCl28ic6madIaC3mj6sK2uwuVfuDdl4FbfzTQ/6pHL4tA/TZ5ztVwfJhnP
pgs4EMwU4mWsraOZM+zYmeBKEs0UacsiNX4RM+beR1Yc0i+EzP/8d/uHvAXvK/4ubIQQ1pfI3Z99
if04D1FcqhnErdWtSWm/ZFTf4Xye8v/in7Twsf/yIgKMEfjnwMAIKf7yIs6CibIvl6JMyyTilkvi
6RY2PIg7bIHryln30txz7cYE+odP9D949yzT/YdfkjY+PjlgDCWMHj7Qf/4lra6m+9ex6kW9qe9m
eCFQjLj89mHvHlrhTLuAhyn8zcytNqE039q6xfDXnCK/Irw8zeUzDkBnVc1uzuszziuJQsFZb9E3
1/t7wwy/WU9/WeTYVoWl+i1C2HilN3iVyqZa9V3FPK/n7oSqeM5LhqHKMK2NLQlUpI2Z3fiwSJ6S
lloni5RZXJwBHHBzdHNAKz2oFiLfm9Kbd11TA1yhlf12hoTar2uLQveSeU5PuThNTvqiC56lHhoD
1Wva7Ha4GOcbL6AXhWXJRfW2faVwC4/PdOL7np8yOR8HxWBgTjWNBym7pFD7P5DXuE6HLapOVXy4
g8L7Y8rzBA3gLOwiX9z46dGjinJdYOmY0ym4+jjYt8QmcZ852aUsGvHSB6a8DXhdruHYvQxL2Cb2
7A1PF3tdDnG9nZ0aIlEnK2TGYgdg7c5kYYzXpEXuMOCin7qwfZx6Tx0Mi/U7WcZHuyh1tDeLBZIx
1xV5eVlvcMURY+tc+RqAI7v108E+Qk/09w0UzlVRp9DiM/c0sklg2UKDq5uEWMoa/cNYBkYrqEiv
Zb5V7gQ9tI0zyM3g1/U9Jlr7kQpAyUxHkscmwYOEVXfGr4RytRunDOIbEsyRpDiXnlYQFTWhCw8L
g0vd3E3b2faDpKxzYQbD9+hcfum49jTHAhBSlJHyiTBecpL1oCnwTCzjFIAG555TmsA5oUQG8FZ9
wiQly3kzKvwb6APDPspcKk99umPnVM37KBijz8zt75Do5I8yX16cVpneLb2lGIkqq6y3sgKTOdml
poK0rtFhp/Ja6sQ7jqXJ7hd3CDyxMIJ0aLnO3vM0H0V2jtkWgCpjELDcvWewubDDqT8ElZx8lmLW
sKt8ETxzY2Ix6bEQKCkW3zuZig+S3SImLSQXM7fUmh56BxxU2nRse7rxu9R+RY9B1rJliybzxTU7
dZ2aNrgfTKqpF+AU+820eW9s4UHzjflFSoeFmRhQdsaUBRv6VLVCS+TWX4ZvM6YM3utoESRj4xc+
3HFjCqycrJpH+RnFnWJjiTuwyungxfJEz6s/fias0elSYsW0zdG+6cMDV6YLqmeRRRF57tMOlTxB
yxhfE59OEvgz0armKkwTQgasZSUq2z5nSFOrtOm5OObejPowzUfCWsFnUPvhZ+8r+CBGDKLBKgLm
VTtun4JRW7sy8aot2x218+fJfK5AOOyhq6eAPjOS17YBgXjPhSzdz0ZJJIT78VNJZ12DL+i7jSKG
w7QnGtNHI+x27Kq/2KurQ1PNt7hJAT+HpmV9Yhhurz4E6W3HWmYJ/q0tr5/Z8j6ysAA4zQeG6GuK
E5ObN6pntRIJJVEzlCEgZb53GfOB/qNSZMbRq9niU1dZDPIVsKxYNxwJp8G3hs+kbINfPqrmj6Co
eQLaBjiNXPD/hQRzoi1A77I2iX8WTcrkDSK+PEUuLXx2FuTHSbfGxzgq3FJOO37CoB2+0joTxzou
WnMzdUZ0kxdAnlZd6eOcoTArP3ojHjtZo265IOD6xHyxwwDPH+wzbMc1QAoIX88FxkeaM9pI3IX5
KJiL65e+A7Emovah9UzJsaoiKr3YbFu9cR6a9NGihmkNhybdTyr47KbwuQj5HFuzjX8GUNiWtsIX
h51qRAsI7Y4dPG0SvMsyA2991/q7tjDVYVJJczK7lNKKCj2VkTe+0dLId5VivVLA4n8UlXxogvBK
K0O5bTyPwH07Wec2auI1LGyuN2Px3DriW2IhuMnC7uJhUyz5/q+bOkOei6etQ3R/PUFyZgui2RQJ
ax0v5oWCl+U4AJWhSboDiBYmTOvpJ7DAH7jkiexCQxvrwd0LFWQ3oRW6EagbmoNF2E8ozELjATR2
zEDE1Bhv1nzQbDzEfvZEY1q2jxvYOxmWIlo+1Z1lT++W52I469ijQApw1rqvnpa946bto9swkh18
IlUdAe49sBTI12TCunM9jdZL79bZdWZk4pjw7GON7TxbPvcBK0Fagak3y0F/TFN/4f7g4WnD/r0S
dcUnVNMEnIzWR8st7iVikbwyZlq2qMiMV50O7fu87OJ1YLZPMSvT9YhveWWZChybo3ixjXgf0mC5
x5owbhHT+J9m9lYRsXDSqqi5joFvUHIYjq3khRyIFBFFOGDDNW+S1JGb0LCHU1a7DyJNKe7UM4A1
S9G7O3Em5WWQk8NUwyHhdVyPo8nB50hy+apH/rD7/KuPGvqi+0WETSUayMQ2ccppGme1cwMj7cLO
iLV6R1iQl5cjLfL3TgzjRi+992oazoRPW1iLKti0CbIA9qx53KSTiUwnE3GrnfB3k3O2ihosdKlX
/VAZ2DMOxZxt823f9d2vMItMMvUo5A9GEQJB5gtkfcCGbm4Bc3kXCvEMG7+tC/NsBnv7029VgEOi
U+S3QmCE6OSlrOJNkogNyVW2azKI3QuVDwTbFBEEtfaTMLuk3QjfUveTuB+ICa9HxltwaFieXPb8
3Sotvd2gibEllrV3W+jklcED0BsBE2donQ5//GS4s/PsxJN4bV2jux8S+j93Duym9wpn/iat3Y5l
0VStcxn8ICi21ZCKu3H89pUPUtnwt23bx0/FxMldxPLOsPxwFfjUU+RYATd1RTJhrPSBJ0eyaYf5
AWUcs1Y322R3FdWYM65GOq8jx9xLO39th2IfQwpA5fJ4DNjJt1PaJIoLt33i6RdsE2/yXlyPex5W
G38tjDzEQxDdx032nJhYV7Az32SVySLB4+vDT9JRrmxPzWbo/B/4pBRqmNWvvBmej7OYMIGnYCQk
tedSO4Q7Do9a6+k1Svp3ZVufYs6/wnh4gsL4QgcI9r5lTo9UMmLXGW6DIrp0YYadU7mbILPeIM/j
aqZnbqOcXOwaTtu3OeDCi7sF74wz39DtJ8IV4uJ4KCKHHfTiATMG0GJTR4PI4Ebld9LN/l2XmvUl
jOv2HKaYB9ZG3MtnEozdwN621fSgWhFfDSX9+JYrRLkks+Otj3p4Ti2rPRae1R/ZIZgn0aWP3AVD
dNI0wBygeS6PojKvkWfAaGp1ZR/zxtfHvpiGh7SMsmc5ViV9tEaF28oQbfvJcyvDUIG0aRRD9tIF
ybyODVhwdj6mZHgpzIYnWJ3cIAveqNiAseB4XJRbPcw9foS8eiUXAoyxJ3mwCkJdHX2eVuch9Qj/
NKa9idpoPig1OCcD6MTPziKa6qa9cYEPSk120bXrseDi6vbUCxKoTZ8RbRNuZUmybaymXelstl8F
yYZVMA7VjV/KBmZmMl6DtE9eY63EfihD/zWyzRGNNDVuAnzZL7lS5W3i4IVYLEq0TpX9wr0oKJCo
TNfK2Ow26dEqpdqbEZxXTSR0bUsksJ4KXjrpfbVv6ZfdWS7VMpvShU61we1TXzpCcwdKKKqnFET4
xmqAxhezwEbtpmmzn2i9INnkt+dMK+q5RiAtUxvT/j4D59owavgfCnF0IzwSlaqgW0B543y2qct9
8hIds7Lnadt5JtbQRBXiOEwmleFxUT2WQaQPs+YC0srEfzba9NmOO+NH7c7PFqwPASBN+FChBgM/
hxF61dXVib9xq+4lnKrxbFhG+tACqNwrNiv3xDXsM/m1YtsZKKhVBvTYmZP+4Ii63WdzJ3/1pLFs
4iUvNebpTed4zU/VSGsfUoK+N3Ir49swP+POde50V9f4uxvxa5rG94ZiIx5DcoBX5U8U5eDAyDAX
5F1iP6Rj2F4jBSp8MLps4/Tc9eHYslPhECAEQpLYZQVfRIPYlVXGarrioMPdpPN9CTFLgTbp2s85
kvGNTcUC/QkNj9+6tPHkuuZ0rcy02eRQ4LireVqiCSUFLm+fS1ymHi1hKzTd3MxehglqfNaP2ZrR
rPrRhcFLxcMII58xU4A+W5LVokrZudZuxv0/qXjEVuEkoeir6GFCguCXaHrzGGueH7VtYwbIJ3VF
BMeaNOOK+WHqGjI/NUHQckAhp1zHyujJzxzCOCEWzoAQ1luSy+4SVzXQRHsosrvBL3IiuzGJMfwO
WYmbYRh/9lZgb/3GiIFfhukm5oH6DTfJ+Q4rm21BvgyTO3cAfgNppoA5Qg8F952OQQbh9pltfXJb
NVZ2TP2M7zoUdnGM6FXZ8CWwrUsfUCy3m+sILpoe9E0ndbpDtWRS5+zO3tIqK6/SSMeHqSmyM8jf
7odDn9bbROkOuIXYx4Fd2i6fGzDD06oxazZ7hHoWTsOQY+0I7ITuW1zNDYfTZHDdoFtuJ4xabuvl
vgE/sLyTUkNNTjpZfit3yr6I1dvA7EfDefMn26ErOxU2Ur/ljTwsx1JvqbL0403nojL40mR1DDKJ
ow4LWvY12tkSHeLTSFFq8RVHfs5j2pIZTB6KhkzLZhWdw1rAuBp2waFODYerDnSEF5H7WHwVXNm1
xWf2lMWZ9dGLVF3FWBR3ocu8vaniub9bvuJnKveKJ5e+kCNX4sW+F4zWse7y6tb0QYZSEseyGk3v
BuYbsR8Nni/Kk3nTjfTlAQvE1UEJhnc3eBZ33TLnaDB1djtSnXp2Qvh8ii9LMacNcA6uopUcQbrG
WXmmGAMLhGn4D3FLZc0uM+z+wi4BunLCjXmsRwVLY66P/uzKA7KXuceRZvNYDt2fsYz1YdQ2DVV1
Mx0owJ3v6EFaN33kHTn9urvJQzhBpal3ae3nBzLt4KxHJdcWVJ6dKzHH/n7zHEt5x3lonSfqwYOj
hkZ8nPo6XNMr1R9Zded3EyS9baVneuISp3upFh8X3YJLxmcO1004XzG52eAWS65vuZZMQ5Ud43dq
ZHseC4uAAfXkZbpzXYqnWtXyyvwuo+p1WW6SpatK2cBrkySN750ySa+0gSD49AVA4SQpXxGcGEYn
hI71yBP3yZYldsTIcq37yrXEia/a/OlGqnlOh6VeKxyoh1wlM5mNNuoCGLez9yuL1SKWRCZ299wZ
A5SwbDbXrW9i4BmKwbp1lxYw3jzovkba7FpBR1ibEDODTobvvmHbfmpcx9AbkODZWYQ2SQMcNgCs
zGR+akQ4PnIVjp+cbiGNmcDQP8K/NZnJUdyLqhcHnMLLbFXOLYoERLNkSqpTPTvctgXaHjEggRHe
GSp6LVKr3i0GlT2XSXwyY8LI2Uc42WO/VE/gJDGxsTvexCa0hiEMWIB6HqOCSzPpPZV26iXtMGQz
JnOHthvzXdPceOtAmjjGRtBjNox7YzOGTTNvjKrzftayKLH4Yo6hD6A6sfMdbm2QiLs2SMTb1PaP
DULu1nftC52/AqNwaDzM3Zi/YItnXz5Oae/w1fOr59/S5z/FE/jv9a9zVeVff21f/1Ot+//zL1p+
nA/994b4f/vx/ic72oVrA1f7QyX+h0qI1fvnV2G8/O9/Jcj6lf/6+jO78G9/+g90oWs6dKMiH3vE
DSXbl7+xC/1/4TtiWwjLEkXb8pfCyL/zknxJG1fgOxRC2P7fVyMOf4qVCSEJhHDIu/AG/gmogFx+
q/JPojrrGvQrIPnSc0id/UVU9+OJ2SDjW44uF760qKkdRtsufM6H0b2ZeSatC8gIG1Z8JDAYUeWl
KmOfzWuWm/eaVNMliKT7ObW2f3Jpj+PWkg9ooNCUfmQ5BbCFcKm6blwYGH1NwwngYbjpY1m+Ymzn
GJvy8iQLY3jsXD97qRN3JC3XkR5IkvAoAMishCGfMsy21P0hgr07ZWk9ysnJD5XbN1TO6fhMxjsD
ItSpc54lctX3SjISBUTwxji+1LYOH0JcfSuFWH+MgSrrdTQGDMJi6Xqkc/uxXmwKZdXFwIs7+WK2
2JIGHxY7OyOy9qgo8IzSgLO5QGrEoVf5d021FADzZMVZ3Gbtrgzaj6CFn9bb00mK9Kly8m+/aeGn
qhFwIjdWRI7ElVu6ZKY3ZwxLFLx6GdCi4iYyLOQjIe3XDhd6Nc/+aai1dRBR7pRAfNGFZGPUh04J
JEvMsOcutKfbTpXvnQ1lbUpGVucpAyqhOQ/bcFoa58TO/Jc8RCOoExtxzyuO3tz+DJ3iA+062dWE
MeEt91ua7qbbkWJq8hW8MF3PZDZAPeSZT7CXQTjYxVOdH0WF5EUq8yP36PkdgsHZG90S6XEIy6f8
CseAsDDjJh4os9Dpnsg5I3ytafQZePuLYJC4hLwd72z6FDvCO/mJ8Rz3Ituqqi/nDZBBihsKg+is
Hw2baQ5uVAxvNhEjlw7VlBvIA8We0LuvD6ieUHd8Xrkig3BHDUAzQOfu7A8oWe3FTXz7EZK66C8E
19udV2r0+olV/MqPamdTGMVtmHGzadFAQPfO3fvvv0xOlbManR5fy5iTrcU+a9bdLd1ZyKH0sQdb
1yaapYUNhxrHH59ROPp3Md1P7TZkR/ouwoUY4cA7OKjCI2/SpO185xvd8OUWc/8pChffTq1hkPe4
nr645dFHb4IainNmvzi7h7HcbOtSy4vCMKAwDgS/HQRYCVzaRvAUDjB6lpM/nfx5U+fRh1o8CG1s
iTcaLVluLg6FJuLmGCyuBYLATr1NFi+DI/vyjho3vW9mw0ZL5o5Id7zfEOBarBBT0kef/uKPqHxo
1moxF4YIMA90djTv5eKoEKnBz7q4LBzdi+e0xNAUYcFwhGCBxAYDY4b4bdIY3LY/wFCG307H0SmK
xJIaTdvpxms682Itbg+RcUnoUnHBcvfilaK9CKwh3uIRgXAMv3vxjQwNeIIQK0lpEEvkhIHkjpd1
FxhdtPYW78nEhnNH7wnSkeHzWsSLSwWb/tEWc7l1f1tYeko8D4bS4olgaXRmZcPFIh7wMknNvQra
k9yYpSt2/uKP6X9bZbCLMPQlvy00zuKmMbw5OxiLw2b6bbZxfhtv8sWDg+HCQy/ClwMvpLniUH9k
yxS+kk+xX5xwec1dZX2wm0s3MyYfzG74OmKsfubiALKVjRmIOgvcY4tDKF+8Qikm52xFrUT25ME+
RvjpBrBMi8PIEFzmYxswMjB5soNPw+JGEsEApWhxKMF9gqkfcrPkDDa4quBkUjmB77zSP3WYz3tR
pbiaf1ufpt82qAZbKyU1eKOmkiyRufil5qz4P8SdyXLcyLqk36XXjWuBGVh0L3KeOCQnkdrASIrC
PAWmAJ6+P1BVOhJVR7rH7qI3tSgzKskEEIjw3/3zT+m7haqf3VTcGsinEz43HOf48iZcV/g/oytz
dmKllUArT2NR7/TK1O6y2bPVczRjh4qPK/Q4uKDPAo5tM4taR1d8DkqV+8t0doGVGnS1kJ6CR68Z
HrPZK9ZznF/wFWVLmzHzUxerOXWOu8wFK0s1HRbh2XmGhmjv6FmLl4Ld8kU+O9Sc2atmkfbaMBMp
N97sZMuzjKvzbm8T3KIMrZAvQ0dwh84+uNyn4UXM3rhmdsnRAwDsf3bOMZujMmx208Wzr66ZHXbj
7LULzNrdFXq/y96NeJyqeLhz9O9rGkeDl6zuwavO7r0iKl/pTkAUmJ19HncYb0DcftNAfwFCgQKZ
gtk97trT1Bv6Y41pd5HOjkHn3TxoxslpbIv52DI7C2ePYTC7DTmslis298FpfPcizq7EPMNyr8V8
683sWcxn9+I4CefMs6ltAlXAmvB84B0whyC9t9WJuZ1YOCPAOWv2RdazQ7Kbm3+z2TWJK93dc3Qw
LgjltFT2xtO6nH2W1uy4lNJzGCwk/grbUHc0VHPRgvRZILHpt3J2a9qzb5PLOazKecjpqiQ9UX7p
U9bAFUsrvbznJNw8e44sDthD1DowCAmVmjas0IDTlTObRcVsG/W8AmaCj6jtz6ZScqvcdV4mnc+w
i8xbLEPTiWxtddvaJfq9VrnBMTdJu9llnV3kVfbo1+JiskfmAwXBEVIh+C+CoNtRhQRCyJ4BkBR7
LErTIIDhD+m9OTtii9kbK8IuOg+ciBYjkNplr41nbDc1INUIWXHKDkOLfoqke8bRIcnbT9s0EDt+
4OG9INi27Rc8hiT5cgdaDmL9ypqduo1lH4Ma765ReHcsO/TrOBzP066Kb913s28j8P1GswN4Mi1t
U4Y9dThT+pLquAZjeESbbnSalVaEcg0oYDtlwrkOMn9vsjsS0uvXwDxwm9RWBa9Any447wX7LES2
TaL8YFObi0s+1FZBhT+Q7Fm3JN91SdbgLRyDU630NecuCf6fHhS4fhBZIKyQNsBHlwwGZ1dc09Y8
DsfCa59zBsTPmqAetJ191tncKuihyIvZgx3Nbuxh9mUPFnmbdPZqwzAJqKbAv+1mUjGYS9pLZibJ
KpsN3/Vs/e5nE3ihqAPDwZ5A5U+cU1fnD6EVe5uubDqoR4VOiix2IRPjK7eG4dWcneb+7DkvZ/d5
NfvQS94y12bo6lsZTwd4GOa1nH3rgTsyZ8spB+o06nqK2d+uY3TPMLwns/M9cLWCgytueLOOxmtq
Nq57AQeZehv/wkRc20+1514Fs6PeBuur8ta6VSIZn1oMyWRuaqa1mZ/tqU1wF02WvxazT3/Uzeia
8tVmN8wu/tKfbYq8chFY323+jaYnGBUZ1Qfwffaodj2LGSYPbNg7lTrFGzPc5xYC4VpL4hdZZNpt
nI3mDZZK/RCW+YOftOYh7Ttr2aZNWi8Nc3RPJTr2xUTGbV0HiQIU4suNntUAerBGbdgH7YGyM1Lw
/frKQQqgHUdzZ8gGa0eb4fzW3xyMCaCFJ//Gbcq6QaiNoE86kbOgrqo9AyV9cTByLiqKfzM3xCaq
MhOTwqQWtDWTgZTxMBf7sKut++lRsi25HZEOliUmonVBQxhRf1NsPAlXI61oHWEhZw3OXG+6jG1b
e8Ibjo2BQu21n5k3dQTBq5XavV4PzbbvCeUgReoHeE/NUxIOPODQUZIdBzYQsfh+hpU+MUqrNRA9
FWTuhdNU0QU8KFrsiAxeRyodFxVvKqN3X9hQM5wy5rRZZpWXQWStLD0b3yy9te7Z1Aarysr7lZ7p
0DNxdJSrftDKN6LJCn5CTzGHZW9FgNNxybZ01isopoWhCQCz0+EEJSEPp4q6YkOQjNGE7eOz6MJz
JcfowcKWfFP2nXlDMVq+z3NXMQQuHmyBrUYlDoEeFdOa5GY2ySCNdgakwMa69Og83yfKsk4dTEzY
oWVt7WqMZw0j8o2HErZpU4rWso7mPh/3/iGbJoS1wi1BbAxDaJzSYLKPTiijNebr8ORLFPWqy6Cu
8qhpwGyCGqlt7C5Eb2O5dicPUWsQu1iOITLuZDSrqqeyuKsRxy2Oy1+jvh6PtjN+MguVMny1pfwU
SJ9th6RKUa6M8jEuSwxzUadDYJKaBTNBb1d91nevw5A1ZP9r9z7UO/XkRKBEPALCA1z041jFINaZ
mpsXeVHw0EFCW5EN1O6LuDMu0OflAVnxk8Go7uSlsyUoseUhD5zyRsvHHM5DmJt7BJVOrqCXaZ/g
4gaXQx/SA1L0xaoVaryoMjtb230MPVwNecmI12WTYU6JRTNewToHTTDeGJZI3xAyfU4gLl6Fsc4f
AY95j0bbq5XB9OQmp0loSTFwQJzOb7UNVa3FnpEheemsYxQjh3Bi1DEF91Hdpl/NNPCXLkUfZ9G5
Yq1b2KwXWSyhOMRZCoQvNuwn4SpJmhMdnJWq2WPTSe6MarQtZFNSs3TEa95NPPOAoPizCZEUxbR0
nm7h/4BzbdjbgYeg7AVtOXL3ukfU3ma13NDv4259P0/uyqm6hYOgyDQNvPSC4DXi7Xr9g65y/SvO
X0cf+VmhwG7nYSC1HUyUSCWzN+/1+SYuwub//C/9f3duMtHdNS/6UteuB1Jah2xodNKPgXbJGypY
aoV1Gdr+cBmxiPCH4XFROuKiZtvfEPv/kR72P1G6fhS6/u/2rZz7RZuPotn/PznsteyKVo43b6yw
xY+kTB/D478Xw7ZvMn8uxo8/8Jf+Zf+XMLm7KUX1DNuhGvVv/cv+L8+x8QQ7qFmCjMfsqvxL/7L5
IQcrjytIM+gGLuDv3mAEMIPdFBIY2wudn//PalE/3lyCGL1u8SGOa3u2+cHYOdFKXpntHH4fKZGe
Pf4Fp+PWCthaxJay5YWDG/BVV0Wz/+Er+of7+hc3q8AR7c/3s207DrWBP9/WLqi8RAvZ9zZNngcL
NxLipSZ77kIEqcZu5Q/OHBz02vStyTv4gL//+F9N0QLPG0ZtE2c2lBXzg/BHXrtqKicpl77rAkWf
kswyl57TlNsSSM895qHszTLmXmUtndje0R5UbttGWN8eKe70f+aa/mKt5e5AdwTWzC/D7TF/Tz88
3r0os7oeNVogE94vwkyjRwsw1gHoH3PQ3//RHxmqujBRO4HNW45t0Rjz4TuvhopRPJV8YPICq7+j
3cFb2Slz8AvG13znfWmrPyxfv+ir859HOM5nmddN2/1wgzVqUG0nQCm0U8aupGqUne6zFvwJCxi2
PKliUV26UyNefv+3/tP3ykEcBz3yrP8LB78p4LAbFWYzXDjSAYrADPRAuUcmwY0xVfn9p/16NzMH
o9h4btUByvfLVaQ1tMN1R6gxwyPb5M2XxOrabjOpYmH2errRRsq7E3rbij88R//wBbOC8ORSqsof
an+4f6quxQTNGAtGuWPTbaHSddjrYpWFyRcSjv4+ne+r3/+180X7STQX5txyoNPCwxXl3f3zPasm
0TmZWefLit6fFxteN5WBrFR/+JhfL6ElaCETRAf4YQ5RP39MYTa44CvG7QNefwHiNWpgm3TTF7br
ufzDFfz1PSv4+vgYm/Z0fPYfFwRkIppEDKNc9omVPLhYUEPwN6LbsonpmrWC7ZKu2iyK8KR3JpWf
A7Fwb4liRBceBiXc3lEx/EW0/g+WByIbrJKGzsOL4/DD85N6gpNkgCDRUQU2HgVoCg7hfjpcxDEw
st9f11+/cF44ZDRYi2bS8scPwzxrRSrMWBMr0PPQAiiECM2IohprqJ5+/1m/3kPzyw3CMuhYHhib
N9yP657DCpTwjCAUxJ2/NZOBeyivqrD6A8/51yfzvQbDIbvAVQXn/PPntIGuSvZSMFsGMBzJqKEK
DIO9yiZCrwsHohLmPJXf5ZxIkj989q/rratz+zLH4tXKy2b+vn9Y29uiCVtVzdla8iMvdReTDTDo
kEOsNRIDUhTW0D/VP/3D9+riKjKoW5+zSB8fmlr3QqcInHwJcFKRP8+yB1Zeb/X7q/fLqvNtU8qb
hGXPYH/681/2YVPqWUlwAc/fOrzvRxUA11u8Tt63+rh/+yy8M75/WndYW13yQ/M0cf7U+fv+4fuk
V6THrKDgEmV+5B8DE+gcM7ZqkTbR5O3oLBrDLaOvbIBy3XFDjZkTfomLvNg1op/8fSJIc+zSLtGn
P1zq92fjp9+NCw0z3TE5X0HK+LifAfTptyNS2HKyq3JLeifpAXPbYQQ2FYauW7jJEbomEkce+nAm
KKdsEuy8cTylb7Hr1zRUK7su157ZxX96rn95COYEmGDHY8xrnGN9+OJ6FU9eYuaYePTE+yTbPseT
6OnOGlU9PtN4qYmLONO4Mdknsg3UJ8lJdZwMlw7Zyvxku0OxM6CNuhiQeuPgugEducxKifk2KFX0
FEwVSzKV3hQ2Scb/6KaMxqiS4ctSq7Eq0i+l5GZa9rTuTpsR/vawQUQyqmWlwW5YWGTEGuIZSlzM
WYO3PtcLtWuAcScbQq3ZsKnohGDQNHJoXRNAyQ7h6Hcx5RM8W1IkYGurSPFL+F17QxYsvhZmUECt
iCmcEoPKAIhl43xWoxTSUxSmLy2+kwBAcq+uy3SaESXK9I5GaNXFoq/AE6zaCbzmU+IkikCtqdr1
7x+jj9eFVZ19vD+XBem+zn9/vqHx1cCmISmx1OiQhdlDdG1trfDY/uHlNr8t+Kd+uD9JvPDvg5pF
OTCZwn9s6Uu+Q+0NK3ai5284e12NJQZ+ERNRniSq2weUPaBiyGgiIEzbtNI8OSokLvWOsQ8dP7om
Sb4hp3KC2cHc1HAc3LVDYi15p/1NsMcQOCGZ5EAIpiLP4DfmBgnAGWM/tPFnzJCatsgn5mvNEDvr
shoyFJVKPA/4i0pVJ38B7KHwD7ex1cPbZ8PjYV33GFdElUGEe9RpA3Xq+jwviTHwrMDaBYFbXdeT
4fWnH2D1CTWvjBgwKpWENQLzG6MeIqpUi8AF1r4k2zWINWkR9/yOoE+p7zGodnE238Dzga/V1fYj
bl5HuvpE/mVf4Veenrnof4Pla7q1m61mmhaJad48cqPhwb8jUuj/DhmvM39wdv5ERct/SooPOizJ
flWbW5mR6viFD0/uDfD+D0T41mxM2NWu6q7fIfA6ibm9w31yKurAPmgtSBxJZFOawMb58sVlMVqS
Qj0t2cZeB8qCIHcr1/8W/C4pR7hhDg5avJuTfACY/uK9t6LW/x3rXU8onAXY5DFNnb6z3n2Z+WDH
Ldf4xnrPc9u+qXx9wL3ZhU67+BfnXY1u6S0p5HOMLUNPPb3Mgur1O9SdSeswbn+kuHum/lANVDps
mZjjJk0qcTa+89u1sDJnWtGrnPnt8JyYLffxtPgAcA/gDuF+nZntVpl4S4cbsV2xajU2o4yfcO2Y
UloE3oBICRQq6d7NlPbICNrwwKEl26f/LUg7oDYrW34AtHe6RXNh9zecfZLxU29GIAMTeRuYoOL+
EcfOt2ovpIYT/TuIfWDhAkhARdQPFPap9+0vRuJPjGfLFoc08SV1VZVNHxBqCP9irof2MK3jTGFn
TpVcv5PWe6VrV4aMUBBaRuo/0dZdP7yt6rY+w0KPv0S9k++LEjRQ29z5MZmavxHrlZqeU1fCCITP
1H9mt/PFt3i5Ka1/IW1gPYJMIu7CyWWvJuISfZ/fKD+8Ymhe/Iukbit3wFUCsXz6Iov4fuamR4MO
WNIbD6MgARkE2JH/IqbXk17P2YKCMgfrKQz9HguMcaVrtBS2drVJiokwUKuWoAiPoaMuQKdlvE0Z
6Wm6uYW38rUb7VXlGU8MNl5EFN8zTLYhxZQMyzts9M13aHlaja/s726UOd15IhUbDUjGwtA1IpEz
qZxkHRzYJjxV3GNZhN1G6jc1uaBlxIv3VOa4m/WqBURMuZL8G0yeWSNXaMKYFyXhie0ndZxZicxT
OcZqII5L8tHCepuTU9DBJPIJwj4AThDfiOJ5DhUzKrRlDc/38gNOfGixFBQp9hYzuQsHZ/szSLyL
CcNmVXhrmDxDXlFefUeHO0b85kWRtWf3ZnskRgyrAXJrf2FGb8LbyDX1pc3s9tFu9eIQuDhYLYTX
5Yz91mltWA1K83ffkd+9ZmCGnFHfjB/uZ8z3RAh1Lf35kBEyzzNw46hq2rObuJianlhxjV1t0jFN
D761zoz82OvNY5EGB4JhAaR28KPQ2tag5+hINl1/+U7mDiFsraveay4hU967KIqQgHXBhcndO8xL
jLqb7j5p9Y1mh+eM/de/CNxp4r2Gztgz74vDk1bb7brSolfSATSRG6yIReGOZFfC2VrekCuBqHeR
VNU7UbuOUu/gt9Teqqz46mmA9PnsmLDKGC2tLBDrd4w2yIriSB4733iWn91adpvdT0EN3d2Y05kV
DGxRYbts4RGuZuT1lIotu+ZtNRgMexzjzciJrRg6okbHiP6CMjRvL6uRtnZrN0Or86I6tX8Dq5Wi
CiuMbUIqLrkrENX6mIXrMsrMPb43WNTRmEDyC9KFDnk6yFDX/xk5TXaP/L+6eMdN25V1X6YcLjz8
Dx4ovCSNDrVmnybVn42oFquu6y8NK71M3eoumHp2nKgWu3Tov5YTZafYLk8RE5LFdyA0cf0SYor4
6jA/B1qL9ef4JwI0uwx3z2TzbIJGMjf0x9WkfX9AP7sKGxgLTk2oLUov/w3o2ZLNoMFCKbuVRPjj
XpwsWv7c8bJuxkMrfbBB3V805yqePgd9TLOPTsR5YTqJu5pRzXpsiAtLkWg0spnUN5HayrkpkS7A
XaYZtQYxDWIF0XxqiGdeEtVfyyJI3mnLtUi3eLiXpoWBCCP8TWr4vMntQSxllT8Pmu+SbC++iFhr
F6gB/oY2IfBvQDFzi5Ej4dyrgn30chiCO6eoTw5pZMBWDm2pfvUM0fHIjEhdpUHa7ezQ0mGbUDiu
jdqnvnLii28k4yq4LMscVAsCw4wuFtld4Ia7YBjfscVWrR8Bhl64UbIWnuRtXBQdRmP69Ugrk4L8
i0gc99Gr48b79wBV5Ex3NnZNYAOWux9syWwPbtuizpHhpJHpqzSqgMz8yBq2pXHtfQMN17YVbFRN
QNvUHqgpxvBGYaVhUXHvboTPTNSiIgNF44uRAXiLy+MktK2ceeIaVU+LHwHBqMr3Ig++JIW1+ZsK
bIEOL0v3drDzqwkYBsjc9MmV06o2h/sS9m/UzbW+pb62ekLerSFnwFt2jX6abVTXl2sjxy/0L76v
3nE5ZrJvWSTNZZIMdE9B76GOCDdbMOx8xV0QF/j27X5k6C5v6xo7Hd0VGw89DaYlDh1PAzLXklIh
h3vKIDgaoXtp5chNjtKOetkm60yk7cEZiYMWvcVYPguPmhUXhC8mvqBWg/WuOf7nGLVnHYBrRRYz
7ZXyx2sARkfGytQuqf6yL8pXd7Q15nZJcio9uBXUOH0if3oNU7sAROdEOxtktEmQmOAAHRyGFu/M
MdDuY04ld6FH/1NXIRe5+17UN56jEZ/QmNkhECrH+hq7Xs8xlPBH77qfhZ9gUnIYQlI7DGjfnC5i
zyiY+YfMxt3+CXn9uWs9dxFIEsMOjhNn0I0F3sFNWWTTVk0qOWCDuEtD7zaKcL8rqz4zvzm7oSov
Ya1ICG7TZwviumwrA3g03tnMdG9UBuPebYJgnYfVtZbG1DYGKkMhdfcz1mhMaMDC9moz9LDpkbDd
qzjogYiWTr1h3HIu6+QllfgXCb5elUxZ17DgM+owm/oro/YzMDkWf3SkhXCqByAqEBJHyJnmcNYr
39pX2JPuNR3EnzG0NtSXEOeW3qhDP0xXrWu3eOZwzthhQsciLaDuwovq5yTvTkZGEI4X2KGetGBl
cupZ0RgRC3oqRXoBV3o6qrh/aovMWRb5yDrHdmRiCT25PhP2Va47JK+weGltqg5tSzmnG8VXdRtc
AfE9DD3Z0ypPKFEoW946I7UhmjUQCJfVsNC9iG71FIw5UXoJbh0HbSJTYlhJ/lBPzQ4/JssZK8tC
1O56zLUCBlsygeo2VlNX3Je59jbZtXctSH1fCK8eDwASjE0ec5lVqWvrzBlCkgX1RqTBPhqMLYMh
7YniMWOJJWzr5xhAYZsFW8wj14lXbLxmfAj79gGXSLMcxnDvunLLarYSRBNIZpgn3ItnMqbQWqv6
ZE4BEQb4Z+lYkMOtMEpTQnnT+e4dyCpraU/ymkjh41j4Vz4uTMDVhH48viYNGBfug2GdhA0xKbwb
cS2OtVeeBy+8qfXyJu/GGCdc/CT6egupksAY5TawTdSybIwDBuXDNCnSkFSYYoKBM2CQ4rA2UUvZ
BtbWjdXJ7YB5BB1jDxNQ58XSFJeeXRpAsL1iPBmSSo+69/dxHpx1q4AH5yqoE0Ow9yuspvnwkGe5
twozfa10DrUq9Tgp619psJ6f3UpfRDj9127mAp/OdAZrCxkYgnazsje9hZ4Zabli+D44G22QEkKo
Pfj32PNbmo6CiOYBoaU5Fo6KCbyWJEGVLQgQTJc2gcf0xnkf8Y+tnzU70luEXqGAnlVYQgcqQX+S
t2nYMtZmbF4amSxRs+LW0kD3ovlAgLeNLyg59oPW5wpIfDRctqZDk5QO/O6hgjRxRZe5CJZCj7UM
qlhnXNMpFvCy1vvA2dO+ma2hBmOP5ZHyauyqBKKrTr8rexwap44Y4p1TtdG1gaq86sLxajKCO98b
zzoK/4uCObeqvWfWO3B/44sppysIKSZoWSM5OHOf1EKP4HhvhBDtk+IL4g5rMC/jPObEG/Vn2tNn
IA3Xs6HhKIkuAi28Uxa1YpgnCMVnN4HeLAhjXhuhf0YIptdWDt0yp29ERfjPsMwmF4aCiLQMyZ69
2FGSXkVJtS4TN10mpVgGU+KtcH+/1JSqr7FwDnv6oyvW9nIgcIQJZik07t2lLXnL4Mw4wBLGfU4I
4Kos5JEQ/CeMJ+WiqUV3J13jqfCqB9eNEeGyAimc9MRLomyNMwfla4yppmPsU2qbuNGnKAV3vNCl
6Hc5a8kia+yHbPQy6urDRyPngeXemCkv/E3kocyVm7V4hfukhg1fFnS59CQxl2EIug3GAE5Lsno7
t+n3mlnf4Iq/aifi/5EyqJ417ZeSUuttGI/qNqq0vD91qiueOZeFL4TSveusSuuNir3sJpy5S1Os
yE21GvzRYbhBoFyNoXeIqKO7Vj2caQ0Iy7bs6KfVE52TFICfE33K9i0P+HMj1XXMbv6qmGm7ZPrL
dE1bjHbPQRjFNWCwczu2ctrzWpQLInLFDNfBnj1NybXrduPBnfxPk6AfEcrZdWgmnyyuwxE3aLmO
XH960Ag5LiY2bfT2Np64p3SGoFZEJHyI2vzen2h5A55u34J950+gcGQieOHtFSFfioacAcazH716
nuu82r3dP3TvJqrWeqh14R2jOAc6EGqzO1QlF5lHGxTrY4VZNxG0Byu18Efj6Mm+Aw5hAw0mjiAi
cuhdo14Tt7ngsjBBG+Qzk+1sJe3qPFB9/FxFqE88MZtc+ZjyUis6Mh4p1pJU455sQLf3MAHv4j6o
dmVl9zhRKZxeSt95NHQKLWs20Uu2Ujr0I1qoF67RrVPaQtaYatYx0hCJjtHYmYXjLamcdHpKv3C4
wxNzepqHyDCkBH2afsMDSPjb9ukPwRi7kF7zOIzD18QsNqNnBuuMvSIQdsOgt8g0V1k5NoBNaJ0o
b0MJUnoFtEBetNWEYmWavbi3bEoyDOp9CdX5yRMiyVgtBkcoWM+2fjRiBZzIM9DPtLFbRm13PYJ3
WWS2k+37NMBmZcORX9RS9ZteVM1urGx39QNGphyd5FLCPDvEIXXRoILGckMnCQEGLwxviRjaF0XS
nd75MY5pZ08/oGNI+I2M3FzxTNRAbnyE4zfPFzpDAlP1iw7U4rPvJ5F1SprAIvX/nWZRzUoz0n4N
tTbo2Kjw7ITWUhlRwg052j5QcvaCbBfVWDnmppq6HgHJc9vZi60szT2XIi4Kf9FZ3JC7UUqUCg3V
mud7sLtl2Cb+8yT6kWBsBSXjHalcBQedVnIgBUGLwXISaLsHvdVj661th56nt+0o8XLyqZBw+KUc
HkmH8y7QweSGLwRHY3USU+vE+yHvGhC3jBUeGohF81TCYbXrGh4vigm8Six5STCLHNn1twu9I1Vf
1wFQat4VTskRyAnjW4hyzgutB851zYE/3Lnv4wRZp9AC2J6OsA7yotl1AmfyOcMnB+3K711zE7RQ
lHclNPhPJTERIEipw/9QvTKTdjEqpvwIIa6WHCJDjRQkjUCwAMYaylKHQY5Y9LEwq+ts7BKqQDth
7qK+pzRB2hG1Px26I3o2RQviJa9zsQQs6pVvraE11hUkMCtfJ3aOC7NPbRGu6nDQ1EaqkmAEsjyA
GBU5EIEYXuaAjz2hURxHACE9mHHQeusEVXUlNQACZHkpgz6PFtxOXogvuetuTWPYUk9xA2ljeCwT
5Gdff4UAhFDYXMm02vSycbAYVSw3vl7viCXZ5wm5deU1kX7kaj9F7GojShm8llwDEPHpqclA6Hpe
RRE3eNd0QrvjxIXesB6x+K1aNTirMUFw4aYcoo1VVi5Hzc+SxFW4FI7G2ChsdMBk+J0Ip00pxQ9f
Yh8quzZ8pkzSuSydHqCzDxaiD+srfsS6lbhH7ky/sx8EJIpdZ6sXGFC8uqOJEix222uOUIBWstpw
DyW/6yJJXY9LTBPkupFmgV6X9r5P26og7HAeIKy5q8TvWQ2UdEb87j3lAgBxFY+IU8NOx85YvITW
ENZLIuU9CNJmyE20htkDuNEHIxl25PQ40AOokh5pChDDmPfNuWaqtzrM30bmbzGNjtYprpOxXNeV
Z/vLSFZxsTaHmkY3un7p0CsLo8g33DBeszH7XokjcR/NvgrIVTk7o4xhuwAD8zl8T3Z6ofehcI5D
Jcxyz+WNp53eE3RaBarl93bdGtsYnhGmsLg5wmFT1q2Rntkxq/CuzcbMPKVKsBSQ3uG/IwArDyRj
6bcrs2qo35mK4CRxv7cbVfhNtIlsC3xbGXhw4UqZluYp16fRvCUcJPWjDzoiI9OcTcOONqG0qhff
loneS7r8c+84dXxtkSbKL9Kasc5KDDjXk4VZhdS8wyoU2gXmZyOG34xjnTNglB311rMXMPbrq9CS
nLAMF/auDQLv1bPS5op7eKInvTdbYuUYFYaHzodAYUpFfTuIvGaXg3paZllXBdepqOQOH9kwz3we
iAxSHR9Ujb+SA9PLkH3n5RQW8Z5Z3FffnT7xSuWQxQb8WEtzvGLxbo+x5RyL3st2tM45W+wKs/Nj
QMsx7XabG+W0jiZw5UQiraVe++yNCmvYRwAfFnIevo+KuRZU9M780nmJtmFmHjwGhYF3FFkteiT+
GA2bZsCUxClfymSHBM3esoeDfCro3GFTF3Mv2I1ZHzPXRAiKMse/pHEDzHbsNRy6/AR0oV0EYIHT
EdRhNbJzz5uiuZvLcTcdFvNHJVOf29z0itdaS8d1J+0TOUbapEJ9PGtAHc59Ew/xdvCwAbvaFO4n
IW47o8DzY4t4gz2DOtw6AwFiZE1A+Yzf0EvZGYeYJaI+KA5kW6PL3jLy86vUD+pbQxqcahDkLP6S
caJoppSffS7abUTH7ec0LoaVoLpo1RYW9VmuTVhPlBrf6QhvYw0FJ7ibpLAAepvA1HVglC4n1WuX
+27pG+TYwLjESya1xkuGisDgzG0NWHfWeJ/SHv4Q0Qp5TnX30RwQdgZoW+scGt6ZiE1Fba83XlNw
I1gZKJ1wjaK68KR0Eetb0o5+N8CBocFyQc4wXUVFk/Z76beAh53UfxkA/m2rfihP+lA0l2ZABMVF
oeT0DdHYiebVro4edBGYR7fqXmRKtBSr3x5slDqNqnZWvDHaSzrwzAP2omqVc7Wf3TilglKviX6l
kpjWgul4D4KrC801ad8gXoFBs146LQq7peYXtQ5jIucOSwdnfMbUngyLJNAMjv1JDHEn9h4ja2wf
h8zjNWGKMyFF88LUJ+eqM5kMscEoJjoL6VVfjYzMLge2IptGK/ovll0352KKmmtNdocEFq/GKGVw
dwgKqFa2JJS00BPbipZpOZlPUT15i3YEv2KW5OEaKxQ76eIDIBLFq3mpd0m6zRMBiBGjDukHInKf
o8AB9RSVgvArc+1F11YV66rXYeSqFKmcyGjxnBnHKUIz1Am3I5PkBqXRlS1Q9weSn730vJVBXv0W
ogrHARyVWwaSPkO9KDC2UWZwZne1jKjDUMA0s0R9EWq9fHFHOsaTtH/rROFTcVhPe8401DJRoBiv
zFwTe0Ixak+PHAEqcodHPUbLCiZhb616iEFMTYF1VoY7PFVNZfh0s9KzYvjCvoGEw85DVtl6mgrv
EgHHAzgf7Hp72nF+izcNmMhFJdQNnhANmG7RnqHHztvXuNxw/2OPoMV1U2ex+anR7fnkRtZpH9rc
iQulSvcmiCmyh/eS7X3Z+7uKwPyuS4iGObG/SjxRHnhk9+RgpifcdKjaIdqjSBx51qygWUVs+znR
NnD7OnPQHwfbCC/tNCZtahoROo5jXBmQMlJn1lf1PE+2na3HMDLwFmDHA0PHBp+zXUMHbTyZEIbS
7noijcE2Iwu4/yP/zRyC5kueFm8ZzZ1Lgl7dMygY97IurbpZVB0OVLfp+Jy5NtGwcPEzEl96A3FS
zsDZYXSbjZeBCmO4vbFqbaeoiNvbcz2wCxrAMAbo9W5cQc4bnxqYdWuMJPd5nr7aLTaTEtydPlbW
wi7EiRALiat+wi8YGBp7oprmb4xBebvR8nl/o2nAWsaiWqKrqBOlAghRk4pukMKL4//j7tya01ay
KPxXUnkXpUb3h5yqAeNgsBPHdiY5eaGIzUgC3dBd+vXnk7gYbMfHOZqqoUZ5C7hFt1q7u9fea61S
9m5yds45bmH6WZhwnJAy0pEKZbeTEHdgoKaKI7PtS5UzTeK1e27lOTbZupPyIIiJFpzYy5UPhuXl
9W0tQ8pZEURHOZN4CJuAUioZRbVMvTMgK/nUi6HUIjDCU4sRey/xNRWrMVD7cuJb1Y8Isa2Rydgs
pJD1yFUKNA11pcKOLyrEIHILSgaRA0YB2S1RXZJq3/o282c+gKVRIabiCtyH1NxP0KDHVPIsK1jJ
BmstkKYeOlFnIYyhuzKJ0kk/K6qpzfI8iJ1sNbZA0wDhy+RzsjYBlGDJ4fniO1NzZQQ4WLjZJyhh
YOjAzpWKGjKYIocQjl1YFqDeXluwjpZrH6lgGY2fFUEV3jwawSGr4Lla95ejSsJlLQJ7ubKFDhYs
oyAYuCIZisSwpmkQswpqtnYjw5O7rKts/VWbcYj1QSq/S7p0UVXSJKwyuX+WL1HqAcUeymn8w800
/zrLNGuqL5F4RShDjNexlHyFJi+m8Rpp4NBerx8Aj+Wpi5j9VAgUIWeKm1GvvJQ/U+ElYczmrck6
4MxK0seGXpUu/XFUUUSIzg57xrB2eUGV1ajyAuu835c07CJXWnqd6YEECYq0hc3BH/54ZF7PqDjF
AR0srG/XZT3MKy+8kfvR3IQoepl4LIfnSZWHYyOCquuq1XKYllX600rJ8nsUVQ843BGe0U3WS45e
VxUw941dOBhN13iiiWEO1DuRcqDGZstIBijMR7O1gFsNO+cjmImYGIWH+MyMHgQxBVjLAmTzfOUl
yUQvMY/DCqQyJ+EKdRmS3OGPikhTjnmrrVukAzwsqiO/PHOMBB5ZmkEErEpBDIBNNqooV8NwtEox
RHmRXoVHAJx7kLstt8oGU8H2uKFUqXZf/k9Lp0pj9mR55ajy10jTky+F+oxEtVyb/hUCYeaXV0hU
FAvU+GSTHHuZQJUD44cXG9qUntsC/NqOc/UMvdV4iLqOnMEGjIL7SgmcbPQSF6o0TTINaSozbRIr
XzLl3VDGBfOR+URVHDLMLenJ0kUyPeA7eVpNDRjnxoKSX1hOSVob4An1luG0QjbzWoLBb961wih6
RWUcVil7ORS1FrH4t0pNBZunpW5PWnETTuS6Mm5FTOTId3FodkJSHmqZa7iZ55GohgKXkoWcLnPy
ogZaXJGzmqCPLX4qSbGepFZNfNCUkiyGUl9GFjlA28uDK9j6s2/9uv7plIFJRp7cNyYR0xmqKZer
lVF+UkoZPeBIKiJEP5pTsho+qGZxkcrRbLCGFxsa2Z/YTCAE+kSbZF2qKw42UeRj5OklwWeNiil7
9ChAImbSGjUOF2SpFR6BdR5+FHZj0atXfkifoIgOHMlEIFA3HnVGEk0rRhAbkytUK2LE0lfIQCWN
Hq6CXclLOiNKad5bhk2RA8WUH/21SL8tHyVGvBRHNOAoCIIzCiFaeRGU+2wkF3bSIqtyiWltUIT5
eQ0R57wVEpFqHpLkpAiJkMVALluu/bs85Ox5pvuFKfgwuKpVUV+bVoTkwLrCYnlCXCVHi7cy9HZU
IXTyo1h+5wMfIp45Kt10eZEgrs2LutblUUKQJoHsr1vbwtmAA4k9znVFic80ucAol8KSc+A/KRui
B3hTkGY8h0JBfshQKcIqtR+5ArOVxZ/8BgYrxpgTFlZVgVuMhRJ5bBxMbL6R5Ym+K5lGQhXrI+N7
rEl2TOVE5V+1RhuFXPI72PTNyHlxXt6abCRfHAVIM/EqMNAsCOsLFwD2b4sun5VcUqWjyzJcLZSM
qAHn88Ny5TBL1TxG2Lgtp69NFHqHha/rywHAPEU9jSIuMas5dabG7KKCUDwnWW+QCE6TGIKMxSl4
DK/QY8aWAQWuRMPy2iIjyW5sWQarQZ0qWf8MwS9HWvg4gJlnqyz0i0398P8N7e9AMKtR70urL9mi
ofElnISSnTxUo2F1Tal/etdK/P3+l15v6N2ivfNdFS0+vJ8/+G6A5U8au/fpIS+wb8KBPagR3v+o
9he/1oY3p2PZA42rVk+hflcmo25trvfvPLxTtx/rPezaoFwRNDYXRcdwFw/G6Fej8HoHN8P5+nde
68BmfC4ePrw3obpBVuo4DFq/p8mCikT4R+2Fs8rBMAgFS5a+IhAe34/SiQ2DgBFiwZw4Ypa2D+c3
ZgPDALEOOz+SipvreBhEj+FBXc2wNqMEieoUh2EzSTdUkH/yUmiiBxFFUTVCbnsxrsezQVFNlfpv
uLbNdXLDAH9Pp2a/21zANwj7LgPS4+ailweDYPYof4fmC9dgc8EdOq25gKSf0jU8akpPU6lPlZX+
ZhCexAW5R1hAEVlhOT6t3vfp/WZedngP+j1D15qwB+W8vY6mgNXDOqDh4m5jZkMsP61BeNmi67ej
otKD9qM2y+1mEvSPhkH0e6qBmVEfdaXdKJ3WMEBKb6iK/Kh/PhfYKFhCAZRVd1uBo0Eweg3vn3i4
WzhOcC6oTFceXadh0NSeMAQcU+hl7XU8F6yeKUyV/RIEud3HpzUX0I2AJrcJVx1mg9mD92/iPPS4
ITpYHIToqYLsfqM8c5qvBETh5iTVdTawX1Koi+2jvNFezzYKzWDz8m1ny8ltFEzBdJA7vxRyj9pG
A2GEx8d9PBuws0OYQpzcKgl11tTMzqeHxpeR2kFo2UdB0WJ2CIH0ym5hYPdwWtFgI67cKSKqJlsk
3gIEBfbv+sHDZwxUA9a82AWKE1wYdFx+O++VCHkANOTEtE3kP94uozSNyCIL5P/qAP12OaJfbI+e
NPAIITSnpUbymiPHi0FQBmGQ+XcwP976ErwBZ9hDMkPH9R5axMZdJC9hNr/6wm5X9PzzLQLRwAyI
Nh19r4FmNrd+hGr+OEJqWpDk4MMdaNLeZvvn2/49v/PRvXad2v3n2MVDNr7HRKxFiba/spG/+vD+
TVrqvwaX9pHgtXuM537jaHsIRW3PWo/dfQZbvanly7BYxO9u52V4rIC1Pcx0bf7GccnQzoMH6Xre
zN9gni4Oe7HdJ3e9ze18Hjd3OWp6g9V1bXoQL/zFkZrY9qjfueFFjA7e4S/eA2tdm75zshhRlKee
x9uNR9fWb+9xUkkKtNTHmFqkiyedENtNf+fbtHNS+lfgzL30aJh2wNt/5w7Pm2bB6Nr0J/wjnXft
7G9tqCM68fRxbNfArrf6XcfrrqFokSRHr/B+Q9e1IwNsurGleBro9ueGzu3P83n85CHsjmavt/3S
orGH5J8vJTuo/aU/O14mm2/ce4t5/MdfAAAA//8=</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24268</xdr:colOff>
      <xdr:row>11</xdr:row>
      <xdr:rowOff>0</xdr:rowOff>
    </xdr:from>
    <xdr:ext cx="6422802" cy="2992994"/>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11</xdr:row>
      <xdr:rowOff>0</xdr:rowOff>
    </xdr:from>
    <xdr:ext cx="5544000" cy="2951999"/>
    <xdr:graphicFrame macro="">
      <xdr:nvGraphicFramePr>
        <xdr:cNvPr id="30" name="Chart Funnel Trend">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29</xdr:row>
      <xdr:rowOff>0</xdr:rowOff>
    </xdr:from>
    <xdr:ext cx="6435298" cy="2975970"/>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29</xdr:row>
      <xdr:rowOff>0</xdr:rowOff>
    </xdr:from>
    <xdr:ext cx="5544000" cy="2951999"/>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47</xdr:row>
      <xdr:rowOff>0</xdr:rowOff>
    </xdr:from>
    <xdr:ext cx="5544000" cy="3311999"/>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47</xdr:row>
      <xdr:rowOff>0</xdr:rowOff>
    </xdr:from>
    <xdr:ext cx="5544000" cy="3311999"/>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11</xdr:col>
      <xdr:colOff>891227</xdr:colOff>
      <xdr:row>10</xdr:row>
      <xdr:rowOff>133685</xdr:rowOff>
    </xdr:from>
    <xdr:ext cx="7205023" cy="9890244"/>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3997627" y="2356185"/>
              <a:ext cx="7205023" cy="989024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topLeftCell="A14" workbookViewId="0"/>
  </sheetViews>
  <sheetFormatPr baseColWidth="10" defaultColWidth="8.83203125" defaultRowHeight="15" x14ac:dyDescent="0.2"/>
  <cols>
    <col min="1" max="1" width="28" customWidth="1"/>
    <col min="2" max="2" width="95" customWidth="1"/>
  </cols>
  <sheetData>
    <row r="1" spans="1:2" ht="19" x14ac:dyDescent="0.25">
      <c r="A1" s="1" t="s">
        <v>10</v>
      </c>
    </row>
    <row r="2" spans="1:2" x14ac:dyDescent="0.2">
      <c r="A2" s="2" t="s">
        <v>11</v>
      </c>
    </row>
    <row r="4" spans="1:2" x14ac:dyDescent="0.2">
      <c r="A4" s="3"/>
      <c r="B4" s="4"/>
    </row>
    <row r="5" spans="1:2" ht="30" customHeight="1" x14ac:dyDescent="0.2">
      <c r="A5" s="3" t="s">
        <v>12</v>
      </c>
      <c r="B5" s="4" t="s">
        <v>13</v>
      </c>
    </row>
    <row r="6" spans="1:2" ht="32" x14ac:dyDescent="0.2">
      <c r="A6" s="3" t="s">
        <v>14</v>
      </c>
      <c r="B6" s="4" t="s">
        <v>15</v>
      </c>
    </row>
    <row r="7" spans="1:2" ht="16" x14ac:dyDescent="0.2">
      <c r="A7" s="3" t="s">
        <v>16</v>
      </c>
      <c r="B7" s="4" t="s">
        <v>17</v>
      </c>
    </row>
    <row r="8" spans="1:2" ht="16" x14ac:dyDescent="0.2">
      <c r="A8" s="3" t="s">
        <v>18</v>
      </c>
      <c r="B8" s="4" t="s">
        <v>19</v>
      </c>
    </row>
    <row r="9" spans="1:2" x14ac:dyDescent="0.2">
      <c r="A9" s="3"/>
      <c r="B9" s="4"/>
    </row>
    <row r="10" spans="1:2" x14ac:dyDescent="0.2">
      <c r="A10" s="3" t="s">
        <v>20</v>
      </c>
      <c r="B10" s="4"/>
    </row>
    <row r="11" spans="1:2" ht="30" customHeight="1" x14ac:dyDescent="0.2">
      <c r="A11" s="3" t="s">
        <v>21</v>
      </c>
      <c r="B11" s="4" t="s">
        <v>22</v>
      </c>
    </row>
    <row r="12" spans="1:2" ht="30" customHeight="1" x14ac:dyDescent="0.2">
      <c r="A12" s="3" t="s">
        <v>23</v>
      </c>
      <c r="B12" s="4" t="s">
        <v>24</v>
      </c>
    </row>
    <row r="13" spans="1:2" ht="30" customHeight="1" x14ac:dyDescent="0.2">
      <c r="A13" s="3" t="s">
        <v>25</v>
      </c>
      <c r="B13" s="4" t="s">
        <v>26</v>
      </c>
    </row>
    <row r="14" spans="1:2" ht="16" x14ac:dyDescent="0.2">
      <c r="A14" s="3" t="s">
        <v>27</v>
      </c>
      <c r="B14" s="4" t="s">
        <v>28</v>
      </c>
    </row>
    <row r="15" spans="1:2" ht="30" customHeight="1" x14ac:dyDescent="0.2">
      <c r="A15" s="3" t="s">
        <v>29</v>
      </c>
      <c r="B15" s="4" t="s">
        <v>30</v>
      </c>
    </row>
    <row r="16" spans="1:2" ht="30" customHeight="1" x14ac:dyDescent="0.2">
      <c r="A16" s="3" t="s">
        <v>31</v>
      </c>
      <c r="B16" s="4" t="s">
        <v>32</v>
      </c>
    </row>
    <row r="17" spans="1:2" ht="30" customHeight="1" x14ac:dyDescent="0.2">
      <c r="A17" s="3" t="s">
        <v>33</v>
      </c>
      <c r="B17" s="4" t="s">
        <v>34</v>
      </c>
    </row>
    <row r="18" spans="1:2" ht="30" customHeight="1" x14ac:dyDescent="0.2">
      <c r="A18" s="3" t="s">
        <v>35</v>
      </c>
      <c r="B18" s="4" t="s">
        <v>36</v>
      </c>
    </row>
    <row r="19" spans="1:2" ht="16" x14ac:dyDescent="0.2">
      <c r="A19" s="3" t="s">
        <v>37</v>
      </c>
      <c r="B19" s="4" t="s">
        <v>38</v>
      </c>
    </row>
    <row r="20" spans="1:2" ht="16" x14ac:dyDescent="0.2">
      <c r="A20" s="3" t="s">
        <v>39</v>
      </c>
      <c r="B20" s="4" t="s">
        <v>40</v>
      </c>
    </row>
    <row r="21" spans="1:2" ht="16" x14ac:dyDescent="0.2">
      <c r="A21" s="3" t="s">
        <v>41</v>
      </c>
      <c r="B21" s="4" t="s">
        <v>42</v>
      </c>
    </row>
    <row r="22" spans="1:2" ht="30" customHeight="1" x14ac:dyDescent="0.2">
      <c r="A22" s="3" t="s">
        <v>43</v>
      </c>
      <c r="B22" s="4" t="s">
        <v>44</v>
      </c>
    </row>
    <row r="23" spans="1:2" x14ac:dyDescent="0.2">
      <c r="A23" s="3"/>
      <c r="B23" s="4"/>
    </row>
    <row r="24" spans="1:2" ht="30" customHeight="1" x14ac:dyDescent="0.2">
      <c r="A24" s="3" t="s">
        <v>45</v>
      </c>
      <c r="B24" s="4" t="s">
        <v>46</v>
      </c>
    </row>
    <row r="25" spans="1:2" ht="30" customHeight="1" x14ac:dyDescent="0.2">
      <c r="A25" s="3" t="s">
        <v>47</v>
      </c>
      <c r="B25" s="4" t="s">
        <v>48</v>
      </c>
    </row>
    <row r="26" spans="1:2" x14ac:dyDescent="0.2">
      <c r="A26" s="3"/>
      <c r="B26" s="4"/>
    </row>
    <row r="27" spans="1:2" ht="30" customHeight="1" x14ac:dyDescent="0.2">
      <c r="A27" s="3" t="s">
        <v>49</v>
      </c>
      <c r="B27" s="4" t="s">
        <v>50</v>
      </c>
    </row>
    <row r="28" spans="1:2" x14ac:dyDescent="0.2">
      <c r="A28" s="3"/>
      <c r="B28" s="4"/>
    </row>
    <row r="29" spans="1:2" x14ac:dyDescent="0.2">
      <c r="A29" s="3" t="s">
        <v>51</v>
      </c>
      <c r="B29" s="4"/>
    </row>
    <row r="30" spans="1:2" ht="16" x14ac:dyDescent="0.2">
      <c r="A30" s="3" t="s">
        <v>52</v>
      </c>
      <c r="B30" s="4" t="s">
        <v>53</v>
      </c>
    </row>
    <row r="31" spans="1:2" ht="16" x14ac:dyDescent="0.2">
      <c r="A31" s="3" t="s">
        <v>54</v>
      </c>
      <c r="B31" s="4" t="s">
        <v>55</v>
      </c>
    </row>
    <row r="32" spans="1:2" ht="16" x14ac:dyDescent="0.2">
      <c r="A32" s="3" t="s">
        <v>56</v>
      </c>
      <c r="B32" s="4" t="s">
        <v>57</v>
      </c>
    </row>
    <row r="33" spans="1:2" ht="16" x14ac:dyDescent="0.2">
      <c r="A33" s="3" t="s">
        <v>58</v>
      </c>
      <c r="B33" s="4" t="s">
        <v>59</v>
      </c>
    </row>
    <row r="34" spans="1:2" ht="16" x14ac:dyDescent="0.2">
      <c r="A34" s="3" t="s">
        <v>60</v>
      </c>
      <c r="B34" s="4" t="s">
        <v>61</v>
      </c>
    </row>
    <row r="35" spans="1:2" ht="16" x14ac:dyDescent="0.2">
      <c r="A35" s="3" t="s">
        <v>62</v>
      </c>
      <c r="B35" s="4" t="s">
        <v>63</v>
      </c>
    </row>
    <row r="36" spans="1:2" ht="16" x14ac:dyDescent="0.2">
      <c r="A36" s="3" t="s">
        <v>64</v>
      </c>
      <c r="B36" s="4" t="s">
        <v>65</v>
      </c>
    </row>
    <row r="37" spans="1:2" ht="16" x14ac:dyDescent="0.2">
      <c r="A37" s="3" t="s">
        <v>66</v>
      </c>
      <c r="B37" s="4" t="s">
        <v>67</v>
      </c>
    </row>
    <row r="38" spans="1:2" ht="16" x14ac:dyDescent="0.2">
      <c r="A38" s="3" t="s">
        <v>68</v>
      </c>
      <c r="B38" s="4" t="s">
        <v>69</v>
      </c>
    </row>
    <row r="39" spans="1:2" ht="16" x14ac:dyDescent="0.2">
      <c r="A39" s="3" t="s">
        <v>70</v>
      </c>
      <c r="B39" s="4" t="s">
        <v>71</v>
      </c>
    </row>
    <row r="40" spans="1:2" ht="16" x14ac:dyDescent="0.2">
      <c r="A40" s="3" t="s">
        <v>72</v>
      </c>
      <c r="B40" s="4" t="s">
        <v>73</v>
      </c>
    </row>
    <row r="41" spans="1:2" ht="16" x14ac:dyDescent="0.2">
      <c r="A41" s="3" t="s">
        <v>74</v>
      </c>
      <c r="B41" s="4" t="s">
        <v>75</v>
      </c>
    </row>
    <row r="42" spans="1:2" ht="16" x14ac:dyDescent="0.2">
      <c r="A42" s="3" t="s">
        <v>76</v>
      </c>
      <c r="B42" s="4" t="s">
        <v>77</v>
      </c>
    </row>
    <row r="43" spans="1:2" ht="16" x14ac:dyDescent="0.2">
      <c r="A43" s="3" t="s">
        <v>78</v>
      </c>
      <c r="B43" s="4" t="s">
        <v>79</v>
      </c>
    </row>
    <row r="44" spans="1:2" x14ac:dyDescent="0.2">
      <c r="A44" s="3"/>
      <c r="B44" s="4"/>
    </row>
    <row r="45" spans="1:2" ht="30" customHeight="1" x14ac:dyDescent="0.2">
      <c r="A45" s="3" t="s">
        <v>80</v>
      </c>
      <c r="B45" s="4" t="s">
        <v>81</v>
      </c>
    </row>
    <row r="46" spans="1:2" ht="30" customHeight="1" x14ac:dyDescent="0.2">
      <c r="A46" s="3" t="s">
        <v>82</v>
      </c>
      <c r="B46" s="4" t="s">
        <v>83</v>
      </c>
    </row>
    <row r="47" spans="1:2" ht="16" x14ac:dyDescent="0.2">
      <c r="A47" s="3" t="s">
        <v>84</v>
      </c>
      <c r="B47" s="4" t="s">
        <v>85</v>
      </c>
    </row>
    <row r="48" spans="1:2" ht="30" customHeight="1" x14ac:dyDescent="0.2">
      <c r="A48" s="3" t="s">
        <v>86</v>
      </c>
      <c r="B48" s="4" t="s">
        <v>87</v>
      </c>
    </row>
    <row r="49" spans="1:2" ht="30" customHeight="1" x14ac:dyDescent="0.2">
      <c r="A49" s="3" t="s">
        <v>88</v>
      </c>
      <c r="B49" s="4" t="s">
        <v>89</v>
      </c>
    </row>
    <row r="50" spans="1:2" ht="16" x14ac:dyDescent="0.2">
      <c r="A50" s="3" t="s">
        <v>90</v>
      </c>
      <c r="B50" s="4" t="s">
        <v>91</v>
      </c>
    </row>
    <row r="52" spans="1:2" ht="48" x14ac:dyDescent="0.2">
      <c r="A52" s="3" t="s">
        <v>240</v>
      </c>
      <c r="B52" s="4" t="s">
        <v>241</v>
      </c>
    </row>
    <row r="53" spans="1:2" ht="48" x14ac:dyDescent="0.2">
      <c r="B53" s="4" t="s">
        <v>242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92</v>
      </c>
    </row>
    <row r="2" spans="1:11" x14ac:dyDescent="0.2">
      <c r="A2" s="2" t="s">
        <v>93</v>
      </c>
    </row>
    <row r="4" spans="1:11" ht="30" customHeight="1" x14ac:dyDescent="0.2">
      <c r="A4" s="5" t="s">
        <v>94</v>
      </c>
      <c r="B4" s="5" t="s">
        <v>95</v>
      </c>
      <c r="C4" s="5" t="s">
        <v>96</v>
      </c>
      <c r="D4" s="5" t="s">
        <v>97</v>
      </c>
      <c r="E4" s="5" t="s">
        <v>98</v>
      </c>
      <c r="F4" s="5" t="s">
        <v>99</v>
      </c>
      <c r="G4" s="5" t="s">
        <v>100</v>
      </c>
      <c r="H4" s="5" t="s">
        <v>101</v>
      </c>
      <c r="I4" s="5" t="s">
        <v>102</v>
      </c>
      <c r="J4" s="5" t="s">
        <v>103</v>
      </c>
      <c r="K4" s="5" t="s">
        <v>104</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C22" sqref="C22"/>
    </sheetView>
  </sheetViews>
  <sheetFormatPr baseColWidth="10" defaultColWidth="8.83203125" defaultRowHeight="15" x14ac:dyDescent="0.2"/>
  <cols>
    <col min="1" max="1" width="16" customWidth="1"/>
    <col min="2" max="31" width="10" customWidth="1"/>
  </cols>
  <sheetData>
    <row r="1" spans="1:31" ht="19" x14ac:dyDescent="0.25">
      <c r="A1" s="1" t="s">
        <v>105</v>
      </c>
    </row>
    <row r="2" spans="1:31" x14ac:dyDescent="0.2">
      <c r="A2" s="2" t="s">
        <v>106</v>
      </c>
    </row>
    <row r="4" spans="1:31" x14ac:dyDescent="0.2">
      <c r="A4" s="11" t="s">
        <v>107</v>
      </c>
      <c r="B4" s="48">
        <v>2016</v>
      </c>
      <c r="C4" s="38"/>
      <c r="D4" s="38"/>
      <c r="E4" s="48">
        <v>2017</v>
      </c>
      <c r="F4" s="38"/>
      <c r="G4" s="38"/>
      <c r="H4" s="48">
        <v>2018</v>
      </c>
      <c r="I4" s="38"/>
      <c r="J4" s="38"/>
      <c r="K4" s="48">
        <v>2019</v>
      </c>
      <c r="L4" s="38"/>
      <c r="M4" s="38"/>
      <c r="N4" s="48">
        <v>2020</v>
      </c>
      <c r="O4" s="38"/>
      <c r="P4" s="38"/>
      <c r="Q4" s="48">
        <v>2021</v>
      </c>
      <c r="R4" s="38"/>
      <c r="S4" s="38"/>
      <c r="T4" s="48">
        <v>2022</v>
      </c>
      <c r="U4" s="38"/>
      <c r="V4" s="38"/>
      <c r="W4" s="48">
        <v>2023</v>
      </c>
      <c r="X4" s="38"/>
      <c r="Y4" s="38"/>
      <c r="Z4" s="48">
        <v>2024</v>
      </c>
      <c r="AA4" s="38"/>
      <c r="AB4" s="38"/>
      <c r="AC4" s="48">
        <v>2025</v>
      </c>
      <c r="AD4" s="38"/>
      <c r="AE4" s="38"/>
    </row>
    <row r="5" spans="1:31" ht="30" customHeight="1" x14ac:dyDescent="0.2">
      <c r="A5" s="5" t="s">
        <v>107</v>
      </c>
      <c r="B5" s="5" t="s">
        <v>96</v>
      </c>
      <c r="C5" s="5" t="s">
        <v>97</v>
      </c>
      <c r="D5" s="5" t="s">
        <v>108</v>
      </c>
      <c r="E5" s="5" t="s">
        <v>96</v>
      </c>
      <c r="F5" s="5" t="s">
        <v>97</v>
      </c>
      <c r="G5" s="5" t="s">
        <v>108</v>
      </c>
      <c r="H5" s="5" t="s">
        <v>96</v>
      </c>
      <c r="I5" s="5" t="s">
        <v>97</v>
      </c>
      <c r="J5" s="5" t="s">
        <v>108</v>
      </c>
      <c r="K5" s="5" t="s">
        <v>96</v>
      </c>
      <c r="L5" s="5" t="s">
        <v>97</v>
      </c>
      <c r="M5" s="5" t="s">
        <v>108</v>
      </c>
      <c r="N5" s="5" t="s">
        <v>96</v>
      </c>
      <c r="O5" s="5" t="s">
        <v>97</v>
      </c>
      <c r="P5" s="5" t="s">
        <v>108</v>
      </c>
      <c r="Q5" s="5" t="s">
        <v>96</v>
      </c>
      <c r="R5" s="5" t="s">
        <v>97</v>
      </c>
      <c r="S5" s="5" t="s">
        <v>108</v>
      </c>
      <c r="T5" s="5" t="s">
        <v>96</v>
      </c>
      <c r="U5" s="5" t="s">
        <v>97</v>
      </c>
      <c r="V5" s="5" t="s">
        <v>108</v>
      </c>
      <c r="W5" s="5" t="s">
        <v>96</v>
      </c>
      <c r="X5" s="5" t="s">
        <v>97</v>
      </c>
      <c r="Y5" s="5" t="s">
        <v>108</v>
      </c>
      <c r="Z5" s="5" t="s">
        <v>96</v>
      </c>
      <c r="AA5" s="5" t="s">
        <v>97</v>
      </c>
      <c r="AB5" s="5" t="s">
        <v>108</v>
      </c>
      <c r="AC5" s="5" t="s">
        <v>96</v>
      </c>
      <c r="AD5" s="5" t="s">
        <v>97</v>
      </c>
      <c r="AE5" s="5" t="s">
        <v>108</v>
      </c>
    </row>
    <row r="6" spans="1:31" x14ac:dyDescent="0.2">
      <c r="A6" s="12" t="s">
        <v>109</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110</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111</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112</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113</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114</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115</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116</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117</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118</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119</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108</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9"/>
  <sheetViews>
    <sheetView topLeftCell="B1" zoomScale="111" workbookViewId="0">
      <selection activeCell="L16" sqref="L16"/>
    </sheetView>
  </sheetViews>
  <sheetFormatPr baseColWidth="10" defaultColWidth="8.83203125" defaultRowHeight="15" x14ac:dyDescent="0.2"/>
  <cols>
    <col min="1" max="1" width="26"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120</v>
      </c>
    </row>
    <row r="2" spans="1:14" x14ac:dyDescent="0.2">
      <c r="A2" s="2" t="s">
        <v>121</v>
      </c>
    </row>
    <row r="4" spans="1:14" ht="30" customHeight="1" x14ac:dyDescent="0.2">
      <c r="A4" s="5" t="s">
        <v>122</v>
      </c>
      <c r="B4" s="5" t="s">
        <v>123</v>
      </c>
      <c r="C4" s="5" t="s">
        <v>124</v>
      </c>
      <c r="D4" s="5" t="s">
        <v>99</v>
      </c>
      <c r="E4" s="5" t="s">
        <v>100</v>
      </c>
      <c r="F4" s="5" t="s">
        <v>125</v>
      </c>
      <c r="G4" s="5" t="s">
        <v>126</v>
      </c>
      <c r="H4" s="5" t="s">
        <v>98</v>
      </c>
      <c r="I4" s="5" t="s">
        <v>127</v>
      </c>
      <c r="J4" s="5" t="s">
        <v>128</v>
      </c>
      <c r="K4" s="5" t="s">
        <v>129</v>
      </c>
      <c r="L4" s="5" t="s">
        <v>130</v>
      </c>
      <c r="M4" s="5" t="s">
        <v>103</v>
      </c>
      <c r="N4" s="5" t="s">
        <v>131</v>
      </c>
    </row>
    <row r="5" spans="1:14" x14ac:dyDescent="0.2">
      <c r="A5" s="6" t="s">
        <v>132</v>
      </c>
      <c r="B5" s="7">
        <v>76079</v>
      </c>
      <c r="C5" s="7">
        <v>73638</v>
      </c>
      <c r="D5" s="7">
        <f t="shared" ref="D5:D17" si="0">B5-C5</f>
        <v>2441</v>
      </c>
      <c r="E5" s="9">
        <f t="shared" ref="E5:E17" si="1">IFERROR(D5/C5,"")</f>
        <v>3.3148646079469837E-2</v>
      </c>
      <c r="F5" s="7">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7">
        <v>89</v>
      </c>
    </row>
    <row r="6" spans="1:14" x14ac:dyDescent="0.2">
      <c r="A6" s="6" t="s">
        <v>251</v>
      </c>
      <c r="B6" s="7">
        <v>144501</v>
      </c>
      <c r="C6" s="7">
        <v>138837</v>
      </c>
      <c r="D6" s="7">
        <f t="shared" si="0"/>
        <v>5664</v>
      </c>
      <c r="E6" s="9">
        <f t="shared" si="1"/>
        <v>4.0796041401067441E-2</v>
      </c>
      <c r="F6" s="7">
        <v>92486</v>
      </c>
      <c r="G6" s="7">
        <v>52015</v>
      </c>
      <c r="H6" s="8">
        <f t="shared" si="2"/>
        <v>0.35996290683109461</v>
      </c>
      <c r="I6" s="7">
        <v>9557</v>
      </c>
      <c r="J6" s="7">
        <v>63445</v>
      </c>
      <c r="K6" s="7">
        <v>13248928</v>
      </c>
      <c r="L6" s="10">
        <f t="shared" si="3"/>
        <v>10.906618256209105</v>
      </c>
      <c r="M6" s="10">
        <f t="shared" si="4"/>
        <v>845.03508771929819</v>
      </c>
      <c r="N6" s="7">
        <v>171</v>
      </c>
    </row>
    <row r="7" spans="1:14" x14ac:dyDescent="0.2">
      <c r="A7" s="6" t="s">
        <v>260</v>
      </c>
      <c r="B7" s="7">
        <v>27777</v>
      </c>
      <c r="C7" s="7">
        <v>24022</v>
      </c>
      <c r="D7" s="7">
        <f t="shared" si="0"/>
        <v>3755</v>
      </c>
      <c r="E7" s="9">
        <f t="shared" si="1"/>
        <v>0.1563150445425027</v>
      </c>
      <c r="F7" s="7">
        <v>18775</v>
      </c>
      <c r="G7" s="7">
        <v>9002</v>
      </c>
      <c r="H7" s="8">
        <f t="shared" si="2"/>
        <v>0.32408107427007954</v>
      </c>
      <c r="I7" s="7">
        <v>1774</v>
      </c>
      <c r="J7" s="7">
        <v>11155</v>
      </c>
      <c r="K7" s="7">
        <v>6242012</v>
      </c>
      <c r="L7" s="10">
        <f t="shared" si="3"/>
        <v>4.4500074655415593</v>
      </c>
      <c r="M7" s="10">
        <f t="shared" si="4"/>
        <v>1461.9473684210527</v>
      </c>
      <c r="N7" s="7">
        <v>19</v>
      </c>
    </row>
    <row r="8" spans="1:14" x14ac:dyDescent="0.2">
      <c r="A8" s="6" t="s">
        <v>135</v>
      </c>
      <c r="B8" s="7">
        <v>22099</v>
      </c>
      <c r="C8" s="7">
        <v>21615</v>
      </c>
      <c r="D8" s="7">
        <f t="shared" si="0"/>
        <v>484</v>
      </c>
      <c r="E8" s="9">
        <f t="shared" si="1"/>
        <v>2.2391857506361322E-2</v>
      </c>
      <c r="F8" s="7">
        <v>13936</v>
      </c>
      <c r="G8" s="7">
        <v>8163</v>
      </c>
      <c r="H8" s="8">
        <f t="shared" si="2"/>
        <v>0.36938323001040774</v>
      </c>
      <c r="I8" s="7">
        <v>2351</v>
      </c>
      <c r="J8" s="7">
        <v>9527</v>
      </c>
      <c r="K8" s="7">
        <v>1862565</v>
      </c>
      <c r="L8" s="10">
        <f t="shared" si="3"/>
        <v>11.864820825045031</v>
      </c>
      <c r="M8" s="10">
        <f t="shared" si="4"/>
        <v>1163.1052631578948</v>
      </c>
      <c r="N8" s="7">
        <v>19</v>
      </c>
    </row>
    <row r="9" spans="1:14" x14ac:dyDescent="0.2">
      <c r="A9" s="6" t="s">
        <v>252</v>
      </c>
      <c r="B9" s="7">
        <v>49741</v>
      </c>
      <c r="C9" s="7">
        <v>48284</v>
      </c>
      <c r="D9" s="7">
        <f t="shared" si="0"/>
        <v>1457</v>
      </c>
      <c r="E9" s="9">
        <f t="shared" si="1"/>
        <v>3.0175627537072321E-2</v>
      </c>
      <c r="F9" s="7">
        <v>32266</v>
      </c>
      <c r="G9" s="7">
        <v>17475</v>
      </c>
      <c r="H9" s="8">
        <f t="shared" si="2"/>
        <v>0.35131983675438772</v>
      </c>
      <c r="I9" s="7">
        <v>3830</v>
      </c>
      <c r="J9" s="7">
        <v>22652</v>
      </c>
      <c r="K9" s="7">
        <v>6280793</v>
      </c>
      <c r="L9" s="10">
        <f t="shared" si="3"/>
        <v>7.9195413700149011</v>
      </c>
      <c r="M9" s="10">
        <f t="shared" si="4"/>
        <v>938.5094339622641</v>
      </c>
      <c r="N9" s="7">
        <v>53</v>
      </c>
    </row>
    <row r="10" spans="1:14" x14ac:dyDescent="0.2">
      <c r="A10" s="6" t="s">
        <v>137</v>
      </c>
      <c r="B10" s="7">
        <v>18752</v>
      </c>
      <c r="C10" s="7">
        <v>17152</v>
      </c>
      <c r="D10" s="7">
        <f t="shared" si="0"/>
        <v>1600</v>
      </c>
      <c r="E10" s="9">
        <f t="shared" si="1"/>
        <v>9.3283582089552244E-2</v>
      </c>
      <c r="F10" s="7">
        <v>12251</v>
      </c>
      <c r="G10" s="7">
        <v>6501</v>
      </c>
      <c r="H10" s="8">
        <f t="shared" si="2"/>
        <v>0.34668302047781568</v>
      </c>
      <c r="I10" s="7">
        <v>557</v>
      </c>
      <c r="J10" s="7">
        <v>7183</v>
      </c>
      <c r="K10" s="7">
        <v>1573597</v>
      </c>
      <c r="L10" s="10">
        <f t="shared" si="3"/>
        <v>11.916647019535498</v>
      </c>
      <c r="M10" s="10">
        <f t="shared" si="4"/>
        <v>1103.0588235294117</v>
      </c>
      <c r="N10" s="7">
        <v>17</v>
      </c>
    </row>
    <row r="11" spans="1:14" x14ac:dyDescent="0.2">
      <c r="A11" s="6" t="s">
        <v>253</v>
      </c>
      <c r="B11" s="7">
        <v>78772</v>
      </c>
      <c r="C11" s="7">
        <v>72383</v>
      </c>
      <c r="D11" s="7">
        <f t="shared" si="0"/>
        <v>6389</v>
      </c>
      <c r="E11" s="9">
        <f t="shared" si="1"/>
        <v>8.8266581932221658E-2</v>
      </c>
      <c r="F11" s="7">
        <v>52184</v>
      </c>
      <c r="G11" s="7">
        <v>26588</v>
      </c>
      <c r="H11" s="8">
        <f t="shared" si="2"/>
        <v>0.33753110242218048</v>
      </c>
      <c r="I11" s="7">
        <v>4131</v>
      </c>
      <c r="J11" s="7">
        <v>35353</v>
      </c>
      <c r="K11" s="7">
        <v>8709370</v>
      </c>
      <c r="L11" s="10">
        <f t="shared" si="3"/>
        <v>9.044511830362012</v>
      </c>
      <c r="M11" s="10">
        <f t="shared" si="4"/>
        <v>1009.8974358974359</v>
      </c>
      <c r="N11" s="7">
        <v>78</v>
      </c>
    </row>
    <row r="12" spans="1:14" x14ac:dyDescent="0.2">
      <c r="A12" s="6" t="s">
        <v>254</v>
      </c>
      <c r="B12" s="7">
        <v>144750</v>
      </c>
      <c r="C12" s="7">
        <v>134637</v>
      </c>
      <c r="D12" s="7">
        <f t="shared" si="0"/>
        <v>10113</v>
      </c>
      <c r="E12" s="9">
        <f t="shared" si="1"/>
        <v>7.5113081842287044E-2</v>
      </c>
      <c r="F12" s="7">
        <v>94837</v>
      </c>
      <c r="G12" s="7">
        <v>49913</v>
      </c>
      <c r="H12" s="8">
        <f t="shared" si="2"/>
        <v>0.34482210708117444</v>
      </c>
      <c r="I12" s="7">
        <v>8113</v>
      </c>
      <c r="J12" s="7">
        <v>67040</v>
      </c>
      <c r="K12" s="7">
        <v>18034454</v>
      </c>
      <c r="L12" s="10">
        <f t="shared" si="3"/>
        <v>8.0263034300899836</v>
      </c>
      <c r="M12" s="10">
        <f>IFERROR(B12/N12,"")</f>
        <v>921.97452229299358</v>
      </c>
      <c r="N12" s="7">
        <v>157</v>
      </c>
    </row>
    <row r="13" spans="1:14" x14ac:dyDescent="0.2">
      <c r="A13" s="6" t="s">
        <v>255</v>
      </c>
      <c r="B13" s="7">
        <v>30113</v>
      </c>
      <c r="C13" s="7">
        <v>28298</v>
      </c>
      <c r="D13" s="7">
        <f t="shared" si="0"/>
        <v>1815</v>
      </c>
      <c r="E13" s="9">
        <f t="shared" si="1"/>
        <v>6.4138808396353095E-2</v>
      </c>
      <c r="F13" s="7">
        <v>19803</v>
      </c>
      <c r="G13" s="7">
        <v>10310</v>
      </c>
      <c r="H13" s="8">
        <f t="shared" si="2"/>
        <v>0.34237704645834027</v>
      </c>
      <c r="I13" s="7">
        <v>1877</v>
      </c>
      <c r="J13" s="7">
        <v>14337</v>
      </c>
      <c r="K13" s="7">
        <v>5141710</v>
      </c>
      <c r="L13" s="10">
        <f t="shared" si="3"/>
        <v>5.8566119053777825</v>
      </c>
      <c r="M13" s="10">
        <f t="shared" si="4"/>
        <v>772.12820512820508</v>
      </c>
      <c r="N13" s="7">
        <v>39</v>
      </c>
    </row>
    <row r="14" spans="1:14" x14ac:dyDescent="0.2">
      <c r="A14" s="6" t="s">
        <v>257</v>
      </c>
      <c r="B14" s="7">
        <v>2168</v>
      </c>
      <c r="C14" s="7">
        <v>1601</v>
      </c>
      <c r="D14" s="7">
        <f t="shared" si="0"/>
        <v>567</v>
      </c>
      <c r="E14" s="9">
        <f>IFERROR(D14/C14,"")</f>
        <v>0.35415365396627108</v>
      </c>
      <c r="F14" s="7">
        <v>1113</v>
      </c>
      <c r="G14" s="7">
        <v>1055</v>
      </c>
      <c r="H14" s="8">
        <f t="shared" si="2"/>
        <v>0.48662361623616235</v>
      </c>
      <c r="I14" s="7">
        <v>172</v>
      </c>
      <c r="J14" s="7">
        <v>679</v>
      </c>
      <c r="K14" s="7">
        <v>2135597</v>
      </c>
      <c r="L14" s="10">
        <f t="shared" si="3"/>
        <v>1.0151728064798742</v>
      </c>
      <c r="M14" s="10">
        <f t="shared" si="4"/>
        <v>433.6</v>
      </c>
      <c r="N14" s="7">
        <v>5</v>
      </c>
    </row>
    <row r="15" spans="1:14" x14ac:dyDescent="0.2">
      <c r="A15" s="6" t="s">
        <v>256</v>
      </c>
      <c r="B15" s="7">
        <v>13696</v>
      </c>
      <c r="C15" s="7">
        <v>11727</v>
      </c>
      <c r="D15" s="7">
        <f t="shared" si="0"/>
        <v>1969</v>
      </c>
      <c r="E15" s="9">
        <f t="shared" si="1"/>
        <v>0.16790312953014411</v>
      </c>
      <c r="F15" s="7">
        <v>9222</v>
      </c>
      <c r="G15" s="7">
        <v>4474</v>
      </c>
      <c r="H15" s="8">
        <f t="shared" si="2"/>
        <v>0.32666471962616822</v>
      </c>
      <c r="I15" s="7">
        <v>835</v>
      </c>
      <c r="J15" s="7">
        <v>4784</v>
      </c>
      <c r="K15" s="7">
        <v>6142699</v>
      </c>
      <c r="L15" s="10">
        <f t="shared" si="3"/>
        <v>2.2296387955848074</v>
      </c>
      <c r="M15" s="10">
        <f t="shared" si="4"/>
        <v>652.19047619047615</v>
      </c>
      <c r="N15" s="7">
        <v>21</v>
      </c>
    </row>
    <row r="16" spans="1:14" x14ac:dyDescent="0.2">
      <c r="A16" s="6" t="s">
        <v>143</v>
      </c>
      <c r="B16" s="7">
        <v>54471</v>
      </c>
      <c r="C16" s="7">
        <v>48255</v>
      </c>
      <c r="D16" s="7">
        <f t="shared" si="0"/>
        <v>6216</v>
      </c>
      <c r="E16" s="9">
        <f t="shared" si="1"/>
        <v>0.12881566677028286</v>
      </c>
      <c r="F16" s="7">
        <v>35144</v>
      </c>
      <c r="G16" s="7">
        <v>19327</v>
      </c>
      <c r="H16" s="8">
        <f t="shared" si="2"/>
        <v>0.35481265260413797</v>
      </c>
      <c r="I16" s="7">
        <v>3399</v>
      </c>
      <c r="J16" s="7">
        <v>24189</v>
      </c>
      <c r="K16" s="7">
        <v>2959517</v>
      </c>
      <c r="L16" s="10">
        <f t="shared" si="3"/>
        <v>18.405368173252594</v>
      </c>
      <c r="M16" s="10">
        <f t="shared" si="4"/>
        <v>1027.7547169811321</v>
      </c>
      <c r="N16" s="7">
        <v>53</v>
      </c>
    </row>
    <row r="17" spans="1:14" x14ac:dyDescent="0.2">
      <c r="A17" s="6" t="s">
        <v>144</v>
      </c>
      <c r="B17" s="7">
        <v>32698</v>
      </c>
      <c r="C17" s="7">
        <v>22709</v>
      </c>
      <c r="D17" s="7">
        <f t="shared" si="0"/>
        <v>9989</v>
      </c>
      <c r="E17" s="9">
        <f t="shared" si="1"/>
        <v>0.43986965520278304</v>
      </c>
      <c r="F17" s="7">
        <v>23337</v>
      </c>
      <c r="G17" s="7">
        <v>9361</v>
      </c>
      <c r="H17" s="8">
        <f t="shared" si="2"/>
        <v>0.28628662303504804</v>
      </c>
      <c r="I17" s="7">
        <v>310</v>
      </c>
      <c r="J17" s="7">
        <v>8930</v>
      </c>
      <c r="K17" s="7" t="s">
        <v>145</v>
      </c>
      <c r="L17" s="10" t="s">
        <v>145</v>
      </c>
      <c r="M17" s="10" t="s">
        <v>145</v>
      </c>
      <c r="N17" s="10" t="s">
        <v>145</v>
      </c>
    </row>
    <row r="18" spans="1:14" x14ac:dyDescent="0.2">
      <c r="A18" s="13" t="s">
        <v>108</v>
      </c>
      <c r="B18" s="14">
        <f>SUM(B5:B17)</f>
        <v>695617</v>
      </c>
      <c r="C18" s="14">
        <f>SUM(C5:C17)</f>
        <v>643158</v>
      </c>
      <c r="D18" s="14">
        <f>SUM(D5:D17)</f>
        <v>52459</v>
      </c>
      <c r="E18" s="15">
        <f>D18/C18</f>
        <v>8.1564716601519371E-2</v>
      </c>
      <c r="F18" s="14">
        <f>SUM(F5:F17)</f>
        <v>454062</v>
      </c>
      <c r="G18" s="14">
        <f>SUM(G5:G17)</f>
        <v>241555</v>
      </c>
      <c r="H18" s="16">
        <f t="shared" si="2"/>
        <v>0.34725287047326331</v>
      </c>
      <c r="I18" s="14">
        <f>SUM(I5:I17)</f>
        <v>42798</v>
      </c>
      <c r="J18" s="14">
        <f>SUM(J5:J17)</f>
        <v>306153</v>
      </c>
      <c r="K18" s="7"/>
      <c r="L18" s="10"/>
      <c r="M18" s="10"/>
      <c r="N18" s="10"/>
    </row>
    <row r="20" spans="1:14" x14ac:dyDescent="0.2">
      <c r="A20" s="2" t="s">
        <v>146</v>
      </c>
    </row>
    <row r="22" spans="1:14" x14ac:dyDescent="0.2">
      <c r="A22" s="2" t="s">
        <v>243</v>
      </c>
    </row>
    <row r="23" spans="1:14" x14ac:dyDescent="0.2">
      <c r="A23" s="2" t="s">
        <v>244</v>
      </c>
    </row>
    <row r="24" spans="1:14" x14ac:dyDescent="0.2">
      <c r="A24" s="2" t="s">
        <v>245</v>
      </c>
    </row>
    <row r="25" spans="1:14" x14ac:dyDescent="0.2">
      <c r="A25" s="2" t="s">
        <v>246</v>
      </c>
    </row>
    <row r="28" spans="1:14" x14ac:dyDescent="0.2">
      <c r="A28" s="16" t="s">
        <v>247</v>
      </c>
    </row>
    <row r="29" spans="1:14" x14ac:dyDescent="0.2">
      <c r="A29" s="2" t="s">
        <v>248</v>
      </c>
    </row>
    <row r="30" spans="1:14" ht="60" x14ac:dyDescent="0.2">
      <c r="A30" s="5" t="s">
        <v>249</v>
      </c>
      <c r="B30" s="5" t="s">
        <v>250</v>
      </c>
      <c r="C30" s="5" t="s">
        <v>123</v>
      </c>
      <c r="D30" s="5" t="s">
        <v>129</v>
      </c>
      <c r="E30" s="5" t="s">
        <v>130</v>
      </c>
      <c r="F30" s="5" t="s">
        <v>283</v>
      </c>
      <c r="G30" s="5" t="s">
        <v>228</v>
      </c>
    </row>
    <row r="31" spans="1:14" x14ac:dyDescent="0.2">
      <c r="A31" t="s">
        <v>132</v>
      </c>
      <c r="B31" t="s">
        <v>132</v>
      </c>
      <c r="C31" s="7">
        <f>B5</f>
        <v>76079</v>
      </c>
      <c r="D31" s="7">
        <f t="shared" ref="D31:E33" si="5">K5</f>
        <v>11245898</v>
      </c>
      <c r="E31" s="9">
        <f t="shared" si="5"/>
        <v>6.7650444633234272</v>
      </c>
      <c r="F31" s="7">
        <f>MAX(0,('01_Timeseries'!$B$14/83577140*1000-E31)*D31/1000)</f>
        <v>17521.209687314018</v>
      </c>
      <c r="G31" s="16">
        <f>E5</f>
        <v>3.3148646079469837E-2</v>
      </c>
    </row>
    <row r="32" spans="1:14" x14ac:dyDescent="0.2">
      <c r="A32" t="s">
        <v>251</v>
      </c>
      <c r="B32" t="s">
        <v>133</v>
      </c>
      <c r="C32" s="7">
        <f>B6</f>
        <v>144501</v>
      </c>
      <c r="D32" s="7">
        <f t="shared" si="5"/>
        <v>13248928</v>
      </c>
      <c r="E32" s="9">
        <f t="shared" si="5"/>
        <v>10.906618256209105</v>
      </c>
      <c r="F32" s="7">
        <f>MAX(0,('01_Timeseries'!$B$14/83577140*1000-E32)*D32/1000)</f>
        <v>0</v>
      </c>
      <c r="G32" s="16">
        <f>E6</f>
        <v>4.0796041401067441E-2</v>
      </c>
    </row>
    <row r="33" spans="1:7" x14ac:dyDescent="0.2">
      <c r="A33" t="s">
        <v>288</v>
      </c>
      <c r="B33" t="s">
        <v>134</v>
      </c>
      <c r="C33" s="7">
        <f>B7</f>
        <v>27777</v>
      </c>
      <c r="D33" s="7">
        <f t="shared" si="5"/>
        <v>6242012</v>
      </c>
      <c r="E33" s="9">
        <f t="shared" si="5"/>
        <v>4.4500074655415593</v>
      </c>
      <c r="F33" s="7">
        <f>MAX(0,('01_Timeseries'!$B$14/83577140*1000-E33)*D33/1000)</f>
        <v>24175.599256255959</v>
      </c>
      <c r="G33" s="16">
        <f>E7</f>
        <v>0.1563150445425027</v>
      </c>
    </row>
    <row r="34" spans="1:7" x14ac:dyDescent="0.2">
      <c r="A34" t="s">
        <v>289</v>
      </c>
      <c r="B34" t="s">
        <v>134</v>
      </c>
      <c r="C34" s="7">
        <f>B7</f>
        <v>27777</v>
      </c>
      <c r="D34" s="7">
        <f>K7</f>
        <v>6242012</v>
      </c>
      <c r="E34" s="9">
        <f>L7</f>
        <v>4.4500074655415593</v>
      </c>
      <c r="F34" s="7">
        <f>MAX(0,('01_Timeseries'!$B$14/83577140*1000-E34)*D34/1000)</f>
        <v>24175.599256255959</v>
      </c>
      <c r="G34" s="16">
        <f>E7</f>
        <v>0.1563150445425027</v>
      </c>
    </row>
    <row r="35" spans="1:7" x14ac:dyDescent="0.2">
      <c r="A35" t="s">
        <v>290</v>
      </c>
      <c r="B35" t="s">
        <v>138</v>
      </c>
      <c r="C35" s="7">
        <f>B11</f>
        <v>78772</v>
      </c>
      <c r="D35" s="7">
        <f>K11</f>
        <v>8709370</v>
      </c>
      <c r="E35" s="9">
        <f>L11</f>
        <v>9.044511830362012</v>
      </c>
      <c r="F35" s="7">
        <f>MAX(0,('01_Timeseries'!$B$14/83577140*1000-E35)*D35/1000)</f>
        <v>0</v>
      </c>
      <c r="G35" s="16">
        <f>E11</f>
        <v>8.8266581932221658E-2</v>
      </c>
    </row>
    <row r="36" spans="1:7" x14ac:dyDescent="0.2">
      <c r="A36" t="s">
        <v>135</v>
      </c>
      <c r="B36" t="s">
        <v>135</v>
      </c>
      <c r="C36" s="7">
        <f>B8</f>
        <v>22099</v>
      </c>
      <c r="D36" s="7">
        <f>K8</f>
        <v>1862565</v>
      </c>
      <c r="E36" s="9">
        <f>L8</f>
        <v>11.864820825045031</v>
      </c>
      <c r="F36" s="7">
        <f>MAX(0,('01_Timeseries'!$B$14/83577140*1000-E36)*D36/1000)</f>
        <v>0</v>
      </c>
      <c r="G36" s="16">
        <f>E8</f>
        <v>2.2391857506361322E-2</v>
      </c>
    </row>
    <row r="37" spans="1:7" x14ac:dyDescent="0.2">
      <c r="A37" t="s">
        <v>252</v>
      </c>
      <c r="B37" t="s">
        <v>136</v>
      </c>
      <c r="C37" s="7">
        <f>B9</f>
        <v>49741</v>
      </c>
      <c r="D37" s="7">
        <f>K9</f>
        <v>6280793</v>
      </c>
      <c r="E37" s="9">
        <f>L9</f>
        <v>7.9195413700149011</v>
      </c>
      <c r="F37" s="7">
        <f>MAX(0,('01_Timeseries'!$B$14/83577140*1000-E37)*D37/1000)</f>
        <v>2534.3755905143462</v>
      </c>
      <c r="G37" s="16">
        <f>E9</f>
        <v>3.0175627537072321E-2</v>
      </c>
    </row>
    <row r="38" spans="1:7" x14ac:dyDescent="0.2">
      <c r="A38" t="s">
        <v>253</v>
      </c>
      <c r="B38" t="s">
        <v>138</v>
      </c>
      <c r="C38" s="7">
        <f>B11</f>
        <v>78772</v>
      </c>
      <c r="D38" s="7">
        <f>K11</f>
        <v>8709370</v>
      </c>
      <c r="E38" s="9">
        <f>L11</f>
        <v>9.044511830362012</v>
      </c>
      <c r="F38" s="7">
        <f>MAX(0,('01_Timeseries'!$B$14/83577140*1000-E38)*D38/1000)</f>
        <v>0</v>
      </c>
      <c r="G38" s="16">
        <f>E11</f>
        <v>8.8266581932221658E-2</v>
      </c>
    </row>
    <row r="39" spans="1:7" x14ac:dyDescent="0.2">
      <c r="A39" t="s">
        <v>137</v>
      </c>
      <c r="B39" t="s">
        <v>137</v>
      </c>
      <c r="C39" s="7">
        <f>B10</f>
        <v>18752</v>
      </c>
      <c r="D39" s="7">
        <f>K10</f>
        <v>1573597</v>
      </c>
      <c r="E39" s="9">
        <f>L10</f>
        <v>11.916647019535498</v>
      </c>
      <c r="F39" s="7">
        <f>MAX(0,('01_Timeseries'!$B$14/83577140*1000-E39)*D39/1000)</f>
        <v>0</v>
      </c>
      <c r="G39" s="16">
        <f>E10</f>
        <v>9.3283582089552244E-2</v>
      </c>
    </row>
    <row r="40" spans="1:7" x14ac:dyDescent="0.2">
      <c r="A40" t="s">
        <v>254</v>
      </c>
      <c r="B40" t="s">
        <v>139</v>
      </c>
      <c r="C40" s="7">
        <f>B12</f>
        <v>144750</v>
      </c>
      <c r="D40" s="7">
        <f>K12</f>
        <v>18034454</v>
      </c>
      <c r="E40" s="9">
        <f>L12</f>
        <v>8.0263034300899836</v>
      </c>
      <c r="F40" s="7">
        <f>MAX(0,('01_Timeseries'!$B$14/83577140*1000-E40)*D40/1000)</f>
        <v>5351.7238459942337</v>
      </c>
      <c r="G40" s="16">
        <f>E12</f>
        <v>7.5113081842287044E-2</v>
      </c>
    </row>
    <row r="41" spans="1:7" x14ac:dyDescent="0.2">
      <c r="A41" t="s">
        <v>255</v>
      </c>
      <c r="B41" t="s">
        <v>140</v>
      </c>
      <c r="C41" s="7">
        <f>B13</f>
        <v>30113</v>
      </c>
      <c r="D41" s="7">
        <f>K13</f>
        <v>5141710</v>
      </c>
      <c r="E41" s="9">
        <f>L13</f>
        <v>5.8566119053777825</v>
      </c>
      <c r="F41" s="7">
        <f>MAX(0,('01_Timeseries'!$B$14/83577140*1000-E41)*D41/1000)</f>
        <v>12681.726944114149</v>
      </c>
      <c r="G41" s="16">
        <f>E13</f>
        <v>6.4138808396353095E-2</v>
      </c>
    </row>
    <row r="42" spans="1:7" x14ac:dyDescent="0.2">
      <c r="A42" t="s">
        <v>291</v>
      </c>
      <c r="B42" t="s">
        <v>140</v>
      </c>
      <c r="C42" s="7">
        <f>B13</f>
        <v>30113</v>
      </c>
      <c r="D42" s="7">
        <f>K13</f>
        <v>5141710</v>
      </c>
      <c r="E42" s="9">
        <f>L13</f>
        <v>5.8566119053777825</v>
      </c>
      <c r="F42" s="7">
        <f>MAX(0,('01_Timeseries'!$B$14/83577140*1000-E42)*D42/1000)</f>
        <v>12681.726944114149</v>
      </c>
      <c r="G42" s="16">
        <f>E13</f>
        <v>6.4138808396353095E-2</v>
      </c>
    </row>
    <row r="43" spans="1:7" x14ac:dyDescent="0.2">
      <c r="A43" t="s">
        <v>256</v>
      </c>
      <c r="B43" t="s">
        <v>142</v>
      </c>
      <c r="C43" s="7">
        <f>B15</f>
        <v>13696</v>
      </c>
      <c r="D43" s="7">
        <f>K15</f>
        <v>6142699</v>
      </c>
      <c r="E43" s="9">
        <f>L15</f>
        <v>2.2296387955848074</v>
      </c>
      <c r="F43" s="7">
        <f>MAX(0,('01_Timeseries'!$B$14/83577140*1000-E43)*D43/1000)</f>
        <v>37430.011853037802</v>
      </c>
      <c r="G43" s="16">
        <f>E15</f>
        <v>0.16790312953014411</v>
      </c>
    </row>
    <row r="44" spans="1:7" x14ac:dyDescent="0.2">
      <c r="A44" t="s">
        <v>257</v>
      </c>
      <c r="B44" t="s">
        <v>141</v>
      </c>
      <c r="C44" s="7">
        <f>B14</f>
        <v>2168</v>
      </c>
      <c r="D44" s="7">
        <f>K14</f>
        <v>2135597</v>
      </c>
      <c r="E44" s="9">
        <f>L14</f>
        <v>1.0151728064798742</v>
      </c>
      <c r="F44" s="7">
        <f>MAX(0,('01_Timeseries'!$B$14/83577140*1000-E44)*D44/1000)</f>
        <v>15606.68789131813</v>
      </c>
      <c r="G44" s="16">
        <f>E14</f>
        <v>0.35415365396627108</v>
      </c>
    </row>
    <row r="45" spans="1:7" x14ac:dyDescent="0.2">
      <c r="A45" t="s">
        <v>143</v>
      </c>
      <c r="B45" t="s">
        <v>143</v>
      </c>
      <c r="C45" s="7">
        <f>B16</f>
        <v>54471</v>
      </c>
      <c r="D45" s="7">
        <f>K16</f>
        <v>2959517</v>
      </c>
      <c r="E45" s="9">
        <f>L16</f>
        <v>18.405368173252594</v>
      </c>
      <c r="F45" s="7">
        <f>MAX(0,('01_Timeseries'!$B$14/83577140*1000-E45)*D45/1000)</f>
        <v>0</v>
      </c>
      <c r="G45" s="16">
        <f>E16</f>
        <v>0.12881566677028286</v>
      </c>
    </row>
    <row r="46" spans="1:7" x14ac:dyDescent="0.2">
      <c r="A46" t="s">
        <v>258</v>
      </c>
      <c r="B46" t="s">
        <v>142</v>
      </c>
      <c r="C46" s="7">
        <f>B15</f>
        <v>13696</v>
      </c>
      <c r="D46" s="7">
        <f>K15</f>
        <v>6142699</v>
      </c>
      <c r="E46" s="9">
        <f>L15</f>
        <v>2.2296387955848074</v>
      </c>
      <c r="F46" s="7">
        <f>MAX(0,('01_Timeseries'!$B$14/83577140*1000-E46)*D46/1000)</f>
        <v>37430.011853037802</v>
      </c>
      <c r="G46" s="16">
        <f>E15</f>
        <v>0.16790312953014411</v>
      </c>
    </row>
    <row r="48" spans="1:7" x14ac:dyDescent="0.2">
      <c r="A48" s="2" t="s">
        <v>259</v>
      </c>
    </row>
    <row r="49" spans="1:1" x14ac:dyDescent="0.2">
      <c r="A49" s="2" t="s">
        <v>284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2"/>
  <sheetViews>
    <sheetView topLeftCell="A2" workbookViewId="0">
      <selection activeCell="B38" sqref="B38"/>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147</v>
      </c>
    </row>
    <row r="2" spans="1:9" x14ac:dyDescent="0.2">
      <c r="A2" s="2" t="s">
        <v>148</v>
      </c>
    </row>
    <row r="4" spans="1:9" ht="30" customHeight="1" x14ac:dyDescent="0.2">
      <c r="A4" s="5" t="s">
        <v>149</v>
      </c>
      <c r="B4" s="5" t="s">
        <v>150</v>
      </c>
      <c r="C4" s="5" t="s">
        <v>151</v>
      </c>
      <c r="D4" s="5" t="s">
        <v>152</v>
      </c>
      <c r="E4" s="5" t="s">
        <v>153</v>
      </c>
      <c r="F4" s="5" t="s">
        <v>154</v>
      </c>
      <c r="G4" s="5" t="s">
        <v>155</v>
      </c>
      <c r="H4" s="5" t="s">
        <v>156</v>
      </c>
      <c r="I4" s="5" t="s">
        <v>157</v>
      </c>
    </row>
    <row r="5" spans="1:9" x14ac:dyDescent="0.2">
      <c r="A5" s="6" t="s">
        <v>158</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159</v>
      </c>
      <c r="B6" s="17">
        <v>6.7</v>
      </c>
      <c r="C6" s="17">
        <v>6.56</v>
      </c>
      <c r="D6" s="17">
        <v>6.11</v>
      </c>
      <c r="E6" s="17">
        <v>6.01</v>
      </c>
      <c r="F6" s="17">
        <v>6.16</v>
      </c>
      <c r="G6" s="17">
        <v>6.45</v>
      </c>
      <c r="H6" s="17">
        <v>6.87</v>
      </c>
      <c r="I6" s="9">
        <f t="shared" si="0"/>
        <v>2.5373134328358304E-2</v>
      </c>
    </row>
    <row r="7" spans="1:9" x14ac:dyDescent="0.2">
      <c r="A7" s="6" t="s">
        <v>160</v>
      </c>
      <c r="B7" s="17">
        <v>1.47</v>
      </c>
      <c r="C7" s="17">
        <v>1.55</v>
      </c>
      <c r="D7" s="17">
        <v>1.46</v>
      </c>
      <c r="E7" s="17">
        <v>1.35</v>
      </c>
      <c r="F7" s="17">
        <v>1.32</v>
      </c>
      <c r="G7" s="17">
        <v>1.45</v>
      </c>
      <c r="H7" s="17">
        <v>1.62</v>
      </c>
      <c r="I7" s="9">
        <f t="shared" si="0"/>
        <v>0.10204081632653073</v>
      </c>
    </row>
    <row r="8" spans="1:9" x14ac:dyDescent="0.2">
      <c r="A8" s="6" t="s">
        <v>161</v>
      </c>
      <c r="B8" s="17">
        <v>2.89</v>
      </c>
      <c r="C8" s="17">
        <v>3.04</v>
      </c>
      <c r="D8" s="17">
        <v>3.14</v>
      </c>
      <c r="E8" s="17">
        <v>3.12</v>
      </c>
      <c r="F8" s="17">
        <v>3.27</v>
      </c>
      <c r="G8" s="17">
        <v>3.44</v>
      </c>
      <c r="H8" s="17">
        <v>3.38</v>
      </c>
      <c r="I8" s="9">
        <f t="shared" si="0"/>
        <v>0.16955017301038056</v>
      </c>
    </row>
    <row r="9" spans="1:9" x14ac:dyDescent="0.2">
      <c r="A9" s="6" t="s">
        <v>162</v>
      </c>
      <c r="B9" s="17">
        <v>0.75</v>
      </c>
      <c r="C9" s="17">
        <v>0.81</v>
      </c>
      <c r="D9" s="17">
        <v>0.87</v>
      </c>
      <c r="E9" s="17">
        <v>0.87</v>
      </c>
      <c r="F9" s="17">
        <v>0.9</v>
      </c>
      <c r="G9" s="17">
        <v>0.91</v>
      </c>
      <c r="H9" s="17">
        <v>0.9</v>
      </c>
      <c r="I9" s="9">
        <f t="shared" si="0"/>
        <v>0.19999999999999996</v>
      </c>
    </row>
    <row r="10" spans="1:9" x14ac:dyDescent="0.2">
      <c r="A10" s="6" t="s">
        <v>163</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3" spans="1:9" x14ac:dyDescent="0.2">
      <c r="A13" s="18" t="s">
        <v>164</v>
      </c>
    </row>
    <row r="14" spans="1:9" ht="30" customHeight="1" x14ac:dyDescent="0.2">
      <c r="A14" s="5" t="s">
        <v>165</v>
      </c>
      <c r="B14" s="5" t="s">
        <v>166</v>
      </c>
    </row>
    <row r="15" spans="1:9" x14ac:dyDescent="0.2">
      <c r="A15" s="6" t="s">
        <v>167</v>
      </c>
      <c r="B15" s="19">
        <f>H6/H10</f>
        <v>9.8706896551724146</v>
      </c>
    </row>
    <row r="16" spans="1:9" x14ac:dyDescent="0.2">
      <c r="A16" s="6" t="s">
        <v>168</v>
      </c>
      <c r="B16" s="19">
        <f>H8/H10</f>
        <v>4.8563218390804597</v>
      </c>
    </row>
    <row r="17" spans="1:2" x14ac:dyDescent="0.2">
      <c r="A17" s="6" t="s">
        <v>169</v>
      </c>
      <c r="B17" s="16">
        <f>H10/H6</f>
        <v>0.10131004366812227</v>
      </c>
    </row>
    <row r="18" spans="1:2" x14ac:dyDescent="0.2">
      <c r="A18" s="6" t="s">
        <v>170</v>
      </c>
      <c r="B18" s="16">
        <f>H10/H8</f>
        <v>0.2059171597633136</v>
      </c>
    </row>
    <row r="19" spans="1:2" x14ac:dyDescent="0.2">
      <c r="A19" s="6" t="s">
        <v>171</v>
      </c>
      <c r="B19" s="19">
        <f>H6-H8</f>
        <v>3.49</v>
      </c>
    </row>
    <row r="20" spans="1:2" x14ac:dyDescent="0.2">
      <c r="A20" s="6" t="s">
        <v>172</v>
      </c>
      <c r="B20" s="19">
        <f>H8-H10</f>
        <v>2.6840000000000002</v>
      </c>
    </row>
    <row r="22" spans="1:2" x14ac:dyDescent="0.2">
      <c r="A22" s="2" t="s">
        <v>173</v>
      </c>
    </row>
    <row r="24" spans="1:2" x14ac:dyDescent="0.2">
      <c r="A24" s="18" t="s">
        <v>174</v>
      </c>
    </row>
    <row r="25" spans="1:2" x14ac:dyDescent="0.2">
      <c r="A25" s="2" t="s">
        <v>175</v>
      </c>
    </row>
    <row r="26" spans="1:2" ht="18" customHeight="1" x14ac:dyDescent="0.2">
      <c r="A26" s="5" t="s">
        <v>176</v>
      </c>
      <c r="B26" s="5" t="s">
        <v>177</v>
      </c>
    </row>
    <row r="27" spans="1:2" x14ac:dyDescent="0.2">
      <c r="A27" s="6" t="s">
        <v>158</v>
      </c>
      <c r="B27" s="17">
        <f>H5</f>
        <v>69.13</v>
      </c>
    </row>
    <row r="28" spans="1:2" x14ac:dyDescent="0.2">
      <c r="A28" s="6" t="s">
        <v>178</v>
      </c>
      <c r="B28" s="17">
        <f>H6</f>
        <v>6.87</v>
      </c>
    </row>
    <row r="29" spans="1:2" x14ac:dyDescent="0.2">
      <c r="A29" s="6" t="s">
        <v>179</v>
      </c>
      <c r="B29" s="17">
        <f>H8</f>
        <v>3.38</v>
      </c>
    </row>
    <row r="30" spans="1:2" x14ac:dyDescent="0.2">
      <c r="A30" s="6" t="s">
        <v>180</v>
      </c>
      <c r="B30" s="17">
        <f>H9</f>
        <v>0.9</v>
      </c>
    </row>
    <row r="31" spans="1:2" x14ac:dyDescent="0.2">
      <c r="A31" s="6" t="s">
        <v>181</v>
      </c>
      <c r="B31" s="17">
        <f>H10</f>
        <v>0.69599999999999995</v>
      </c>
    </row>
    <row r="33" spans="1:8" x14ac:dyDescent="0.2">
      <c r="A33" s="18" t="s">
        <v>274</v>
      </c>
    </row>
    <row r="34" spans="1:8" x14ac:dyDescent="0.2">
      <c r="A34" s="2" t="s">
        <v>275</v>
      </c>
    </row>
    <row r="35" spans="1:8" x14ac:dyDescent="0.2">
      <c r="A35" s="5" t="s">
        <v>276</v>
      </c>
      <c r="B35" s="5">
        <v>2019</v>
      </c>
      <c r="C35" s="5">
        <v>2020</v>
      </c>
      <c r="D35" s="5">
        <v>2021</v>
      </c>
      <c r="E35" s="5">
        <v>2022</v>
      </c>
      <c r="F35" s="5">
        <v>2023</v>
      </c>
      <c r="G35" s="5">
        <v>2024</v>
      </c>
      <c r="H35" s="5">
        <v>2025</v>
      </c>
    </row>
    <row r="36" spans="1:8" x14ac:dyDescent="0.2">
      <c r="A36" s="6" t="s">
        <v>178</v>
      </c>
      <c r="B36" s="12">
        <f t="shared" ref="B36:H36" si="1">B6</f>
        <v>6.7</v>
      </c>
      <c r="C36" s="12">
        <f t="shared" si="1"/>
        <v>6.56</v>
      </c>
      <c r="D36" s="12">
        <f t="shared" si="1"/>
        <v>6.11</v>
      </c>
      <c r="E36" s="12">
        <f t="shared" si="1"/>
        <v>6.01</v>
      </c>
      <c r="F36" s="12">
        <f t="shared" si="1"/>
        <v>6.16</v>
      </c>
      <c r="G36" s="12">
        <f t="shared" si="1"/>
        <v>6.45</v>
      </c>
      <c r="H36" s="12">
        <f t="shared" si="1"/>
        <v>6.87</v>
      </c>
    </row>
    <row r="37" spans="1:8" x14ac:dyDescent="0.2">
      <c r="A37" s="6" t="s">
        <v>179</v>
      </c>
      <c r="B37" s="12">
        <f t="shared" ref="B37:H37" si="2">B8</f>
        <v>2.89</v>
      </c>
      <c r="C37" s="12">
        <f t="shared" si="2"/>
        <v>3.04</v>
      </c>
      <c r="D37" s="12">
        <f t="shared" si="2"/>
        <v>3.14</v>
      </c>
      <c r="E37" s="12">
        <f t="shared" si="2"/>
        <v>3.12</v>
      </c>
      <c r="F37" s="12">
        <f t="shared" si="2"/>
        <v>3.27</v>
      </c>
      <c r="G37" s="12">
        <f t="shared" si="2"/>
        <v>3.44</v>
      </c>
      <c r="H37" s="12">
        <f t="shared" si="2"/>
        <v>3.38</v>
      </c>
    </row>
    <row r="38" spans="1:8" x14ac:dyDescent="0.2">
      <c r="A38" s="6" t="s">
        <v>163</v>
      </c>
      <c r="B38" s="31">
        <f>B10</f>
        <v>0.64300000000000002</v>
      </c>
      <c r="C38" s="12">
        <f t="shared" ref="C38:H38" si="3">C10</f>
        <v>0.65100000000000002</v>
      </c>
      <c r="D38" s="12">
        <f t="shared" si="3"/>
        <v>0.67400000000000004</v>
      </c>
      <c r="E38" s="12">
        <f t="shared" si="3"/>
        <v>0.68300000000000005</v>
      </c>
      <c r="F38" s="12">
        <f t="shared" si="3"/>
        <v>0.68200000000000005</v>
      </c>
      <c r="G38" s="12">
        <f t="shared" si="3"/>
        <v>0.68700000000000006</v>
      </c>
      <c r="H38" s="12">
        <f t="shared" si="3"/>
        <v>0.69599999999999995</v>
      </c>
    </row>
    <row r="39" spans="1:8" x14ac:dyDescent="0.2">
      <c r="A39" s="5" t="s">
        <v>94</v>
      </c>
      <c r="B39" s="5">
        <v>2019</v>
      </c>
      <c r="C39" s="5">
        <v>2020</v>
      </c>
      <c r="D39" s="5">
        <v>2021</v>
      </c>
      <c r="E39" s="5">
        <v>2022</v>
      </c>
      <c r="F39" s="5">
        <v>2023</v>
      </c>
      <c r="G39" s="5">
        <v>2024</v>
      </c>
      <c r="H39" s="5">
        <v>2025</v>
      </c>
    </row>
    <row r="40" spans="1:8" x14ac:dyDescent="0.2">
      <c r="A40" s="6" t="s">
        <v>277</v>
      </c>
      <c r="B40" s="12">
        <f t="shared" ref="B40:H40" si="4">B8-B10</f>
        <v>2.2469999999999999</v>
      </c>
      <c r="C40" s="12">
        <f t="shared" si="4"/>
        <v>2.3890000000000002</v>
      </c>
      <c r="D40" s="12">
        <f t="shared" si="4"/>
        <v>2.4660000000000002</v>
      </c>
      <c r="E40" s="12">
        <f t="shared" si="4"/>
        <v>2.4370000000000003</v>
      </c>
      <c r="F40" s="12">
        <f t="shared" si="4"/>
        <v>2.5880000000000001</v>
      </c>
      <c r="G40" s="12">
        <f t="shared" si="4"/>
        <v>2.7530000000000001</v>
      </c>
      <c r="H40" s="12">
        <f t="shared" si="4"/>
        <v>2.6840000000000002</v>
      </c>
    </row>
    <row r="42" spans="1:8" x14ac:dyDescent="0.2">
      <c r="A42" s="2" t="s">
        <v>278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182</v>
      </c>
    </row>
    <row r="2" spans="1:11" x14ac:dyDescent="0.2">
      <c r="A2" s="2" t="s">
        <v>183</v>
      </c>
    </row>
    <row r="4" spans="1:11" ht="30" customHeight="1" x14ac:dyDescent="0.2">
      <c r="A4" s="5" t="s">
        <v>184</v>
      </c>
      <c r="B4" s="5" t="s">
        <v>129</v>
      </c>
      <c r="C4" s="5" t="s">
        <v>185</v>
      </c>
      <c r="D4" s="5" t="s">
        <v>186</v>
      </c>
      <c r="E4" s="5" t="s">
        <v>187</v>
      </c>
      <c r="F4" s="5" t="s">
        <v>188</v>
      </c>
      <c r="G4" s="5" t="s">
        <v>189</v>
      </c>
      <c r="H4" s="5" t="s">
        <v>190</v>
      </c>
      <c r="I4" s="5" t="s">
        <v>191</v>
      </c>
      <c r="J4" s="5" t="s">
        <v>192</v>
      </c>
      <c r="K4" s="5" t="s">
        <v>193</v>
      </c>
    </row>
    <row r="5" spans="1:11" x14ac:dyDescent="0.2">
      <c r="A5" s="6" t="s">
        <v>194</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195</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196</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197</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198</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199</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200</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201</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202</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203</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204</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205</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206</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207</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208</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209</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210</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211</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00"/>
  <sheetViews>
    <sheetView topLeftCell="A57" zoomScale="110" workbookViewId="0">
      <selection activeCell="B63" sqref="B63"/>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212</v>
      </c>
    </row>
    <row r="2" spans="1:7" x14ac:dyDescent="0.2">
      <c r="A2" s="2" t="s">
        <v>213</v>
      </c>
    </row>
    <row r="4" spans="1:7" x14ac:dyDescent="0.2">
      <c r="A4" s="18" t="s">
        <v>214</v>
      </c>
    </row>
    <row r="5" spans="1:7" ht="30" customHeight="1" x14ac:dyDescent="0.2">
      <c r="A5" s="5" t="s">
        <v>107</v>
      </c>
      <c r="B5" s="5" t="s">
        <v>215</v>
      </c>
      <c r="C5" s="5" t="s">
        <v>156</v>
      </c>
      <c r="D5" s="5" t="s">
        <v>99</v>
      </c>
      <c r="E5" s="5" t="s">
        <v>100</v>
      </c>
      <c r="F5" s="5" t="s">
        <v>216</v>
      </c>
      <c r="G5" s="5" t="s">
        <v>217</v>
      </c>
    </row>
    <row r="6" spans="1:7" x14ac:dyDescent="0.2">
      <c r="A6" s="6" t="s">
        <v>109</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110</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111</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112</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113</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114</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115</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116</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117</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118</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119</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218</v>
      </c>
    </row>
    <row r="20" spans="1:8" ht="30" customHeight="1" x14ac:dyDescent="0.2">
      <c r="A20" s="5" t="s">
        <v>122</v>
      </c>
      <c r="B20" s="5" t="s">
        <v>123</v>
      </c>
      <c r="C20" s="5" t="s">
        <v>129</v>
      </c>
      <c r="D20" s="5" t="s">
        <v>130</v>
      </c>
      <c r="E20" s="5" t="s">
        <v>219</v>
      </c>
      <c r="F20" s="5" t="s">
        <v>98</v>
      </c>
      <c r="G20" s="5" t="s">
        <v>220</v>
      </c>
      <c r="H20" s="5" t="s">
        <v>221</v>
      </c>
    </row>
    <row r="21" spans="1:8" x14ac:dyDescent="0.2">
      <c r="A21" s="6" t="str">
        <f>'03_States'!A16</f>
        <v>Schleswig-Holstein</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s="6" t="str">
        <f>'03_States'!A10</f>
        <v>Mecklenburg-Vorpommern</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s="6" t="str">
        <f>'03_States'!A8</f>
        <v>Hamburg</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s="6" t="str">
        <f>'03_States'!A6</f>
        <v>Bavaria</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s="6" t="str">
        <f>'03_States'!A11</f>
        <v>Lower Saxony</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s="6" t="str">
        <f>'03_States'!A12</f>
        <v>North Rhine-Westphalia</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s="6" t="str">
        <f>'03_States'!A9</f>
        <v>Hesse</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s="6" t="str">
        <f>'03_States'!A5</f>
        <v>Baden-Württemberg</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s="6" t="str">
        <f>'03_States'!A13</f>
        <v>Rhineland-Palatinate</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s="6" t="str">
        <f>'03_States'!A7</f>
        <v>Berlin/Brandenburg Metropolitan Region</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s="6" t="str">
        <f>'03_States'!A15</f>
        <v>Saxony</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s="6" t="str">
        <f>'03_States'!A14</f>
        <v>Saxony-Anhalt</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5" spans="1:2" x14ac:dyDescent="0.2">
      <c r="A35" s="18" t="s">
        <v>222</v>
      </c>
    </row>
    <row r="36" spans="1:2" x14ac:dyDescent="0.2">
      <c r="A36" s="2" t="s">
        <v>223</v>
      </c>
    </row>
    <row r="37" spans="1:2" ht="28" customHeight="1" x14ac:dyDescent="0.2">
      <c r="A37" s="5" t="s">
        <v>107</v>
      </c>
      <c r="B37" s="5" t="s">
        <v>224</v>
      </c>
    </row>
    <row r="38" spans="1:2" x14ac:dyDescent="0.2">
      <c r="A38" s="6" t="s">
        <v>109</v>
      </c>
      <c r="B38" s="26">
        <f t="shared" ref="B38:B48" si="6">D6</f>
        <v>298</v>
      </c>
    </row>
    <row r="39" spans="1:2" x14ac:dyDescent="0.2">
      <c r="A39" s="6" t="s">
        <v>110</v>
      </c>
      <c r="B39" s="26">
        <f t="shared" si="6"/>
        <v>-2576</v>
      </c>
    </row>
    <row r="40" spans="1:2" x14ac:dyDescent="0.2">
      <c r="A40" s="6" t="s">
        <v>111</v>
      </c>
      <c r="B40" s="26">
        <f t="shared" si="6"/>
        <v>1123</v>
      </c>
    </row>
    <row r="41" spans="1:2" x14ac:dyDescent="0.2">
      <c r="A41" s="6" t="s">
        <v>112</v>
      </c>
      <c r="B41" s="26">
        <f t="shared" si="6"/>
        <v>2145</v>
      </c>
    </row>
    <row r="42" spans="1:2" x14ac:dyDescent="0.2">
      <c r="A42" s="6" t="s">
        <v>113</v>
      </c>
      <c r="B42" s="26">
        <f t="shared" si="6"/>
        <v>12863</v>
      </c>
    </row>
    <row r="43" spans="1:2" x14ac:dyDescent="0.2">
      <c r="A43" s="6" t="s">
        <v>114</v>
      </c>
      <c r="B43" s="26">
        <f t="shared" si="6"/>
        <v>16524</v>
      </c>
    </row>
    <row r="44" spans="1:2" x14ac:dyDescent="0.2">
      <c r="A44" s="6" t="s">
        <v>115</v>
      </c>
      <c r="B44" s="26">
        <f t="shared" si="6"/>
        <v>-3</v>
      </c>
    </row>
    <row r="45" spans="1:2" x14ac:dyDescent="0.2">
      <c r="A45" s="6" t="s">
        <v>116</v>
      </c>
      <c r="B45" s="26">
        <f t="shared" si="6"/>
        <v>-39109</v>
      </c>
    </row>
    <row r="46" spans="1:2" x14ac:dyDescent="0.2">
      <c r="A46" s="6" t="s">
        <v>117</v>
      </c>
      <c r="B46" s="26">
        <f t="shared" si="6"/>
        <v>-18304</v>
      </c>
    </row>
    <row r="47" spans="1:2" x14ac:dyDescent="0.2">
      <c r="A47" s="6" t="s">
        <v>118</v>
      </c>
      <c r="B47" s="26">
        <f t="shared" si="6"/>
        <v>25992</v>
      </c>
    </row>
    <row r="48" spans="1:2" x14ac:dyDescent="0.2">
      <c r="A48" s="6" t="s">
        <v>119</v>
      </c>
      <c r="B48" s="26">
        <f t="shared" si="6"/>
        <v>53506</v>
      </c>
    </row>
    <row r="49" spans="1:2" x14ac:dyDescent="0.2">
      <c r="A49" s="13" t="s">
        <v>108</v>
      </c>
      <c r="B49" s="27">
        <f>SUM(B38:B48)</f>
        <v>52459</v>
      </c>
    </row>
    <row r="51" spans="1:2" x14ac:dyDescent="0.2">
      <c r="A51" s="18" t="s">
        <v>225</v>
      </c>
    </row>
    <row r="52" spans="1:2" x14ac:dyDescent="0.2">
      <c r="A52" s="12" t="s">
        <v>123</v>
      </c>
      <c r="B52" s="14">
        <f>'01_Timeseries'!B14</f>
        <v>695617</v>
      </c>
    </row>
    <row r="53" spans="1:2" x14ac:dyDescent="0.2">
      <c r="A53" s="12" t="s">
        <v>226</v>
      </c>
      <c r="B53" s="27">
        <f>'01_Timeseries'!F14</f>
        <v>8909</v>
      </c>
    </row>
    <row r="54" spans="1:2" x14ac:dyDescent="0.2">
      <c r="A54" s="12" t="s">
        <v>227</v>
      </c>
      <c r="B54" s="15">
        <f>'01_Timeseries'!G14</f>
        <v>1.297349091608078E-2</v>
      </c>
    </row>
    <row r="55" spans="1:2" x14ac:dyDescent="0.2">
      <c r="A55" s="12" t="s">
        <v>228</v>
      </c>
      <c r="B55" s="15">
        <f>'01_Timeseries'!B14/'01_Timeseries'!B5-1</f>
        <v>8.1564716601519427E-2</v>
      </c>
    </row>
    <row r="56" spans="1:2" x14ac:dyDescent="0.2">
      <c r="A56" s="12" t="s">
        <v>229</v>
      </c>
      <c r="B56" s="16">
        <f>'01_Timeseries'!E14</f>
        <v>0.34725287047326331</v>
      </c>
    </row>
    <row r="57" spans="1:2" x14ac:dyDescent="0.2">
      <c r="A57" s="12" t="s">
        <v>230</v>
      </c>
      <c r="B57" s="28">
        <f>('01_Timeseries'!E14-'01_Timeseries'!E5)*100</f>
        <v>-2.0630293539312117</v>
      </c>
    </row>
    <row r="58" spans="1:2" x14ac:dyDescent="0.2">
      <c r="A58" s="12" t="s">
        <v>231</v>
      </c>
      <c r="B58" s="16">
        <f>'02_Age_Gender'!AE16/'01_Timeseries'!B14</f>
        <v>0.4401171909254662</v>
      </c>
    </row>
    <row r="59" spans="1:2" x14ac:dyDescent="0.2">
      <c r="A59" s="12" t="s">
        <v>232</v>
      </c>
      <c r="B59" s="16">
        <f>SUM('02_Age_Gender'!AE6:AE8)/'01_Timeseries'!B14</f>
        <v>6.1525235869738661E-2</v>
      </c>
    </row>
    <row r="60" spans="1:2" x14ac:dyDescent="0.2">
      <c r="A60" s="12" t="s">
        <v>233</v>
      </c>
      <c r="B60" s="15">
        <f>SUM('02_Age_Gender'!AE6:AE8)/SUM('02_Age_Gender'!D6:D8)-1</f>
        <v>-2.6278069756330624E-2</v>
      </c>
    </row>
    <row r="61" spans="1:2" x14ac:dyDescent="0.2">
      <c r="A61" s="12" t="s">
        <v>234</v>
      </c>
      <c r="B61" s="14">
        <f>'01_Timeseries'!I14</f>
        <v>721</v>
      </c>
    </row>
    <row r="62" spans="1:2" x14ac:dyDescent="0.2">
      <c r="A62" s="12" t="s">
        <v>235</v>
      </c>
      <c r="B62" s="24">
        <f>'01_Timeseries'!B14/83577140*1000</f>
        <v>8.3230534091020587</v>
      </c>
    </row>
    <row r="63" spans="1:2" x14ac:dyDescent="0.2">
      <c r="A63" s="12" t="s">
        <v>236</v>
      </c>
      <c r="B63" s="24">
        <f>'04_Funnel'!B15</f>
        <v>9.8706896551724146</v>
      </c>
    </row>
    <row r="64" spans="1:2" x14ac:dyDescent="0.2">
      <c r="A64" s="12" t="s">
        <v>237</v>
      </c>
      <c r="B64" s="19">
        <f>'04_Funnel'!B19</f>
        <v>3.49</v>
      </c>
    </row>
    <row r="65" spans="1:3" x14ac:dyDescent="0.2">
      <c r="A65" s="12" t="s">
        <v>238</v>
      </c>
      <c r="B65" s="24">
        <f>'05_Europe'!H6</f>
        <v>53.307071937218645</v>
      </c>
    </row>
    <row r="67" spans="1:3" x14ac:dyDescent="0.2">
      <c r="A67" s="16" t="s">
        <v>263</v>
      </c>
    </row>
    <row r="68" spans="1:3" x14ac:dyDescent="0.2">
      <c r="A68" t="s">
        <v>264</v>
      </c>
      <c r="B68" s="7">
        <f>'20_Dashboard'!D5</f>
        <v>2024</v>
      </c>
    </row>
    <row r="69" spans="1:3" x14ac:dyDescent="0.2">
      <c r="A69" t="s">
        <v>265</v>
      </c>
      <c r="B69" s="7">
        <f>INDEX('01_Timeseries'!$B$5:$B$14,MATCH($B$68,'01_Timeseries'!$A$5:$A$14,0))</f>
        <v>686708</v>
      </c>
    </row>
    <row r="70" spans="1:3" x14ac:dyDescent="0.2">
      <c r="A70" t="s">
        <v>266</v>
      </c>
      <c r="B70" s="12">
        <f>INDEX('01_Timeseries'!$E$5:$E$14,MATCH($B$68,'01_Timeseries'!$A$5:$A$14,0))</f>
        <v>0.35144340826086196</v>
      </c>
    </row>
    <row r="71" spans="1:3" x14ac:dyDescent="0.2">
      <c r="A71" t="s">
        <v>267</v>
      </c>
      <c r="B71" s="7">
        <f>SUM(INDEX('02_Age_Gender'!$B$6:$AE$8,0,($B$68-2016)*3+3))</f>
        <v>42247</v>
      </c>
    </row>
    <row r="72" spans="1:3" x14ac:dyDescent="0.2">
      <c r="A72" t="s">
        <v>268</v>
      </c>
      <c r="B72" s="12">
        <f>INDEX('02_Age_Gender'!$B$16:$AE$16,($B$68-2016)*3+3)/$B$69</f>
        <v>0.4349810982251554</v>
      </c>
    </row>
    <row r="73" spans="1:3" x14ac:dyDescent="0.2">
      <c r="A73" t="s">
        <v>269</v>
      </c>
      <c r="B73" s="7">
        <f>'01_Timeseries'!B14-$B$69</f>
        <v>8909</v>
      </c>
    </row>
    <row r="74" spans="1:3" x14ac:dyDescent="0.2">
      <c r="A74" t="s">
        <v>270</v>
      </c>
      <c r="B74" s="12">
        <f>'01_Timeseries'!B14/$B$69-1</f>
        <v>1.2973490916080799E-2</v>
      </c>
    </row>
    <row r="75" spans="1:3" x14ac:dyDescent="0.2">
      <c r="A75" t="s">
        <v>271</v>
      </c>
      <c r="B75" s="12">
        <f>('01_Timeseries'!E14-$B$70)*100</f>
        <v>-0.41905377875986471</v>
      </c>
    </row>
    <row r="76" spans="1:3" x14ac:dyDescent="0.2">
      <c r="A76" t="s">
        <v>272</v>
      </c>
      <c r="B76" s="12">
        <f>($B$58-$B$72)*100</f>
        <v>0.51360927003107903</v>
      </c>
    </row>
    <row r="77" spans="1:3" x14ac:dyDescent="0.2">
      <c r="A77" t="s">
        <v>273</v>
      </c>
      <c r="B77" s="12">
        <f>SUM('02_Age_Gender'!AE6:AE8)/$B$71-1</f>
        <v>1.304234620209721E-2</v>
      </c>
    </row>
    <row r="79" spans="1:3" x14ac:dyDescent="0.2">
      <c r="A79" s="17" t="s">
        <v>279</v>
      </c>
    </row>
    <row r="80" spans="1:3" x14ac:dyDescent="0.2">
      <c r="A80" s="5" t="s">
        <v>280</v>
      </c>
      <c r="B80" s="5">
        <v>2016</v>
      </c>
      <c r="C80" s="5">
        <v>2025</v>
      </c>
    </row>
    <row r="81" spans="1:3" x14ac:dyDescent="0.2">
      <c r="A81" s="6" t="s">
        <v>127</v>
      </c>
      <c r="B81" s="7">
        <f>SUM('02_Age_Gender'!D6:D8)</f>
        <v>43953</v>
      </c>
      <c r="C81" s="7">
        <f>SUM('02_Age_Gender'!AE6:AE8)</f>
        <v>42798</v>
      </c>
    </row>
    <row r="82" spans="1:3" x14ac:dyDescent="0.2">
      <c r="A82" s="6" t="s">
        <v>281</v>
      </c>
      <c r="B82" s="7">
        <f>SUM('02_Age_Gender'!D9:D12)</f>
        <v>90282</v>
      </c>
      <c r="C82" s="7">
        <f>SUM('02_Age_Gender'!AE9:AE12)</f>
        <v>121811</v>
      </c>
    </row>
    <row r="83" spans="1:3" x14ac:dyDescent="0.2">
      <c r="A83" s="6" t="s">
        <v>282</v>
      </c>
      <c r="B83" s="7">
        <f>SUM('02_Age_Gender'!D13:D15)</f>
        <v>256276</v>
      </c>
      <c r="C83" s="7">
        <f>SUM('02_Age_Gender'!AE13:AE15)</f>
        <v>224855</v>
      </c>
    </row>
    <row r="84" spans="1:3" x14ac:dyDescent="0.2">
      <c r="A84" s="6" t="s">
        <v>119</v>
      </c>
      <c r="B84" s="7">
        <f>'02_Age_Gender'!D16</f>
        <v>252647</v>
      </c>
      <c r="C84" s="7">
        <f>'02_Age_Gender'!AE16</f>
        <v>306153</v>
      </c>
    </row>
    <row r="86" spans="1:3" x14ac:dyDescent="0.2">
      <c r="A86" s="17" t="s">
        <v>286</v>
      </c>
    </row>
    <row r="87" spans="1:3" x14ac:dyDescent="0.2">
      <c r="A87" s="5" t="s">
        <v>107</v>
      </c>
      <c r="B87" s="5" t="s">
        <v>215</v>
      </c>
      <c r="C87" s="5" t="s">
        <v>156</v>
      </c>
    </row>
    <row r="88" spans="1:3" x14ac:dyDescent="0.2">
      <c r="A88" s="6" t="s">
        <v>109</v>
      </c>
      <c r="B88" s="12">
        <f>'02_Age_Gender'!C6/'02_Age_Gender'!D6</f>
        <v>0.37533368926855315</v>
      </c>
      <c r="C88" s="12">
        <f>'02_Age_Gender'!AD6/'02_Age_Gender'!AE6</f>
        <v>0.37954859511745737</v>
      </c>
    </row>
    <row r="89" spans="1:3" x14ac:dyDescent="0.2">
      <c r="A89" s="6" t="s">
        <v>110</v>
      </c>
      <c r="B89" s="12">
        <f>'02_Age_Gender'!C7/'02_Age_Gender'!D7</f>
        <v>0.33730876788945552</v>
      </c>
      <c r="C89" s="12">
        <f>'02_Age_Gender'!AD7/'02_Age_Gender'!AE7</f>
        <v>0.34369825206991722</v>
      </c>
    </row>
    <row r="90" spans="1:3" x14ac:dyDescent="0.2">
      <c r="A90" s="6" t="s">
        <v>111</v>
      </c>
      <c r="B90" s="12">
        <f>'02_Age_Gender'!C8/'02_Age_Gender'!D8</f>
        <v>0.29193875253321322</v>
      </c>
      <c r="C90" s="12">
        <f>'02_Age_Gender'!AD8/'02_Age_Gender'!AE8</f>
        <v>0.29316461057870491</v>
      </c>
    </row>
    <row r="91" spans="1:3" x14ac:dyDescent="0.2">
      <c r="A91" s="6" t="s">
        <v>112</v>
      </c>
      <c r="B91" s="12">
        <f>'02_Age_Gender'!C9/'02_Age_Gender'!D9</f>
        <v>0.2743662735529348</v>
      </c>
      <c r="C91" s="12">
        <f>'02_Age_Gender'!AD9/'02_Age_Gender'!AE9</f>
        <v>0.26233984457046838</v>
      </c>
    </row>
    <row r="92" spans="1:3" x14ac:dyDescent="0.2">
      <c r="A92" s="6" t="s">
        <v>113</v>
      </c>
      <c r="B92" s="12">
        <f>'02_Age_Gender'!C10/'02_Age_Gender'!D10</f>
        <v>0.25738670393292074</v>
      </c>
      <c r="C92" s="12">
        <f>'02_Age_Gender'!AD10/'02_Age_Gender'!AE10</f>
        <v>0.24499224900452901</v>
      </c>
    </row>
    <row r="93" spans="1:3" x14ac:dyDescent="0.2">
      <c r="A93" s="6" t="s">
        <v>114</v>
      </c>
      <c r="B93" s="12">
        <f>'02_Age_Gender'!C11/'02_Age_Gender'!D11</f>
        <v>0.27695705803046383</v>
      </c>
      <c r="C93" s="12">
        <f>'02_Age_Gender'!AD11/'02_Age_Gender'!AE11</f>
        <v>0.23384256105867471</v>
      </c>
    </row>
    <row r="94" spans="1:3" x14ac:dyDescent="0.2">
      <c r="A94" s="6" t="s">
        <v>115</v>
      </c>
      <c r="B94" s="12">
        <f>'02_Age_Gender'!C12/'02_Age_Gender'!D12</f>
        <v>0.30759068837475007</v>
      </c>
      <c r="C94" s="12">
        <f>'02_Age_Gender'!AD12/'02_Age_Gender'!AE12</f>
        <v>0.22849491162292448</v>
      </c>
    </row>
    <row r="95" spans="1:3" x14ac:dyDescent="0.2">
      <c r="A95" s="6" t="s">
        <v>116</v>
      </c>
      <c r="B95" s="12">
        <f>'02_Age_Gender'!C13/'02_Age_Gender'!D13</f>
        <v>0.36041615511236008</v>
      </c>
      <c r="C95" s="12">
        <f>'02_Age_Gender'!AD13/'02_Age_Gender'!AE13</f>
        <v>0.31692307692307692</v>
      </c>
    </row>
    <row r="96" spans="1:3" x14ac:dyDescent="0.2">
      <c r="A96" s="6" t="s">
        <v>117</v>
      </c>
      <c r="B96" s="12">
        <f>'02_Age_Gender'!C14/'02_Age_Gender'!D14</f>
        <v>0.38484921715019776</v>
      </c>
      <c r="C96" s="12">
        <f>'02_Age_Gender'!AD14/'02_Age_Gender'!AE14</f>
        <v>0.37931663323330955</v>
      </c>
    </row>
    <row r="97" spans="1:3" x14ac:dyDescent="0.2">
      <c r="A97" s="6" t="s">
        <v>118</v>
      </c>
      <c r="B97" s="12">
        <f>'02_Age_Gender'!C15/'02_Age_Gender'!D15</f>
        <v>0.40929772210240201</v>
      </c>
      <c r="C97" s="12">
        <f>'02_Age_Gender'!AD15/'02_Age_Gender'!AE15</f>
        <v>0.38819033793736524</v>
      </c>
    </row>
    <row r="98" spans="1:3" x14ac:dyDescent="0.2">
      <c r="A98" s="6" t="s">
        <v>119</v>
      </c>
      <c r="B98" s="12">
        <f>'02_Age_Gender'!C16/'02_Age_Gender'!D16</f>
        <v>0.39370742577588491</v>
      </c>
      <c r="C98" s="12">
        <f>'02_Age_Gender'!AD16/'02_Age_Gender'!AE16</f>
        <v>0.38231537825858314</v>
      </c>
    </row>
    <row r="100" spans="1:3" x14ac:dyDescent="0.2">
      <c r="A100" s="2" t="s">
        <v>287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68"/>
  <sheetViews>
    <sheetView showGridLines="0" tabSelected="1" topLeftCell="F22" zoomScale="125" zoomScaleNormal="234" workbookViewId="0">
      <selection activeCell="L35" sqref="L35"/>
    </sheetView>
  </sheetViews>
  <sheetFormatPr baseColWidth="10" defaultColWidth="8.83203125" defaultRowHeight="15" x14ac:dyDescent="0.2"/>
  <cols>
    <col min="1" max="1" width="2" customWidth="1"/>
    <col min="2" max="12" width="17" customWidth="1"/>
    <col min="13" max="13" width="2" customWidth="1"/>
  </cols>
  <sheetData>
    <row r="2" spans="2:13" x14ac:dyDescent="0.2">
      <c r="B2" s="32" t="s">
        <v>0</v>
      </c>
      <c r="C2" s="33"/>
      <c r="D2" s="33"/>
      <c r="E2" s="33"/>
      <c r="F2" s="33"/>
      <c r="G2" s="33"/>
      <c r="H2" s="33"/>
      <c r="I2" s="33"/>
      <c r="J2" s="33"/>
      <c r="K2" s="33"/>
      <c r="L2" s="33"/>
    </row>
    <row r="3" spans="2:13" x14ac:dyDescent="0.2">
      <c r="B3" s="33"/>
      <c r="C3" s="33"/>
      <c r="D3" s="33"/>
      <c r="E3" s="33"/>
      <c r="F3" s="33"/>
      <c r="G3" s="33"/>
      <c r="H3" s="33"/>
      <c r="I3" s="33"/>
      <c r="J3" s="33"/>
      <c r="K3" s="33"/>
      <c r="L3" s="33"/>
    </row>
    <row r="4" spans="2:13" x14ac:dyDescent="0.2">
      <c r="B4" s="43" t="s">
        <v>1</v>
      </c>
      <c r="C4" s="38"/>
      <c r="D4" s="38"/>
      <c r="E4" s="38"/>
      <c r="F4" s="38"/>
      <c r="G4" s="38"/>
      <c r="H4" s="38"/>
      <c r="I4" s="38"/>
      <c r="J4" s="38"/>
      <c r="K4" s="38"/>
      <c r="L4" s="38"/>
    </row>
    <row r="5" spans="2:13" ht="25" x14ac:dyDescent="0.2">
      <c r="B5" s="16" t="s">
        <v>261</v>
      </c>
      <c r="D5" s="30">
        <v>2024</v>
      </c>
      <c r="F5" s="2" t="s">
        <v>262</v>
      </c>
    </row>
    <row r="6" spans="2:13" ht="16" customHeight="1" x14ac:dyDescent="0.2">
      <c r="B6" s="44" t="s">
        <v>2</v>
      </c>
      <c r="C6" s="33"/>
      <c r="D6" s="44" t="str">
        <f>"GROWTH vs "&amp;'06_Metrics'!B68</f>
        <v>GROWTH vs 2024</v>
      </c>
      <c r="E6" s="33"/>
      <c r="F6" s="34" t="s">
        <v>3</v>
      </c>
      <c r="G6" s="35"/>
      <c r="H6" s="34" t="s">
        <v>4</v>
      </c>
      <c r="I6" s="35"/>
      <c r="J6" s="34" t="str">
        <f>"UNDER 19 vs "&amp;'06_Metrics'!B68</f>
        <v>UNDER 19 vs 2024</v>
      </c>
      <c r="K6" s="35"/>
      <c r="L6" s="45"/>
      <c r="M6" s="46"/>
    </row>
    <row r="7" spans="2:13" ht="22" customHeight="1" x14ac:dyDescent="0.2">
      <c r="B7" s="39">
        <f>'06_Metrics'!B52</f>
        <v>695617</v>
      </c>
      <c r="C7" s="37"/>
      <c r="D7" s="36">
        <f>'06_Metrics'!B74</f>
        <v>1.2973490916080799E-2</v>
      </c>
      <c r="E7" s="37"/>
      <c r="F7" s="42">
        <f>'06_Metrics'!B56</f>
        <v>0.34725287047326331</v>
      </c>
      <c r="G7" s="37"/>
      <c r="H7" s="42">
        <f>'06_Metrics'!B58</f>
        <v>0.4401171909254662</v>
      </c>
      <c r="I7" s="37"/>
      <c r="J7" s="42">
        <f>'06_Metrics'!B77</f>
        <v>1.304234620209721E-2</v>
      </c>
      <c r="K7" s="37"/>
      <c r="L7" s="40"/>
      <c r="M7" s="37"/>
    </row>
    <row r="8" spans="2:13" ht="22" customHeight="1" x14ac:dyDescent="0.2">
      <c r="B8" s="38"/>
      <c r="C8" s="38"/>
      <c r="D8" s="38"/>
      <c r="E8" s="38"/>
      <c r="F8" s="38"/>
      <c r="G8" s="38"/>
      <c r="H8" s="38"/>
      <c r="I8" s="38"/>
      <c r="J8" s="38"/>
      <c r="K8" s="38"/>
      <c r="L8" s="38"/>
      <c r="M8" s="38"/>
    </row>
    <row r="9" spans="2:13" x14ac:dyDescent="0.2">
      <c r="B9" s="47" t="str">
        <f>"Compared with "&amp;'06_Metrics'!B68&amp;": "&amp;TEXT('06_Metrics'!B73,"+#,##0;-#,##0")&amp;" members "&amp;"("&amp;TEXT('06_Metrics'!B74,"+0.0%;-0.0%")&amp;")"&amp;"     ·     female share "&amp;TEXT('06_Metrics'!B75,"+0.0;-0.0")&amp;" pp"&amp;"     ·     aged 61+ "&amp;TEXT('06_Metrics'!B76,"+0.0;-0.0")&amp;" pp"&amp;"     ·     under 19 "&amp;TEXT('06_Metrics'!B77,"+0.0%;-0.0%")</f>
        <v>Compared with 2024: +8909,0 members (+01%)     ·     female share -00 pp     ·     aged 61+ +01 pp     ·     under 19 +01%</v>
      </c>
      <c r="C9" s="38"/>
      <c r="D9" s="38"/>
      <c r="E9" s="38"/>
      <c r="F9" s="38"/>
      <c r="G9" s="38"/>
      <c r="H9" s="38"/>
      <c r="I9" s="38"/>
      <c r="J9" s="38"/>
      <c r="K9" s="38"/>
      <c r="L9" s="38"/>
      <c r="M9" s="38"/>
    </row>
    <row r="11" spans="2:13" x14ac:dyDescent="0.2">
      <c r="B11" s="29" t="s">
        <v>239</v>
      </c>
      <c r="H11" s="29" t="s">
        <v>5</v>
      </c>
    </row>
    <row r="29" spans="2:8" x14ac:dyDescent="0.2">
      <c r="B29" s="29" t="s">
        <v>6</v>
      </c>
      <c r="H29" s="29" t="s">
        <v>7</v>
      </c>
    </row>
    <row r="47" spans="2:8" x14ac:dyDescent="0.2">
      <c r="B47" s="29" t="s">
        <v>8</v>
      </c>
      <c r="H47" s="29" t="s">
        <v>9</v>
      </c>
    </row>
    <row r="67" spans="2:12" x14ac:dyDescent="0.2">
      <c r="B67" s="41" t="s">
        <v>285</v>
      </c>
      <c r="C67" s="38"/>
      <c r="D67" s="38"/>
      <c r="E67" s="38"/>
      <c r="F67" s="38"/>
      <c r="G67" s="38"/>
      <c r="H67" s="38"/>
      <c r="I67" s="38"/>
      <c r="J67" s="38"/>
      <c r="K67" s="38"/>
      <c r="L67" s="38"/>
    </row>
    <row r="68" spans="2:12" x14ac:dyDescent="0.2">
      <c r="B68" s="38"/>
      <c r="C68" s="38"/>
      <c r="D68" s="38"/>
      <c r="E68" s="38"/>
      <c r="F68" s="38"/>
      <c r="G68" s="38"/>
      <c r="H68" s="38"/>
      <c r="I68" s="38"/>
      <c r="J68" s="38"/>
      <c r="K68" s="38"/>
      <c r="L68" s="38"/>
    </row>
  </sheetData>
  <mergeCells count="16">
    <mergeCell ref="B67:L68"/>
    <mergeCell ref="H7:I8"/>
    <mergeCell ref="F7:G8"/>
    <mergeCell ref="J7:K8"/>
    <mergeCell ref="B4:L4"/>
    <mergeCell ref="B6:C6"/>
    <mergeCell ref="D6:E6"/>
    <mergeCell ref="H6:I6"/>
    <mergeCell ref="L6:M6"/>
    <mergeCell ref="B9:M9"/>
    <mergeCell ref="B2:L3"/>
    <mergeCell ref="F6:G6"/>
    <mergeCell ref="D7:E8"/>
    <mergeCell ref="B7:C8"/>
    <mergeCell ref="J6:K6"/>
    <mergeCell ref="L7:M8"/>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D5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00_README</vt:lpstr>
      <vt:lpstr>01_Timeseries</vt:lpstr>
      <vt:lpstr>02_Age_Gender</vt:lpstr>
      <vt:lpstr>03_States</vt:lpstr>
      <vt:lpstr>04_Funnel</vt:lpstr>
      <vt:lpstr>05_Europe</vt:lpstr>
      <vt:lpstr>06_Metrics</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2026-09-24T23:35:53Z</dcterms:modified>
</cp:coreProperties>
</file>