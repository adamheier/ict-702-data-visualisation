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9BADF74E-A384-0E4A-8C57-358D2B6D6CA5}"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'03_States'!$F$30</definedName>
    <definedName name="_xlchart.v6.2" hidden="1">'03_States'!$F$31:$F$46</definedName>
    <definedName name="_xlchart.v6.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4" i="12" l="1"/>
  <c r="B84" i="12"/>
  <c r="C83" i="12"/>
  <c r="B83" i="12"/>
  <c r="C82" i="12"/>
  <c r="B82" i="12"/>
  <c r="C81" i="12"/>
  <c r="B81"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H7" i="15"/>
  <c r="F7" i="15"/>
  <c r="B7" i="15"/>
  <c r="D6" i="15" l="1"/>
  <c r="J6" i="15"/>
  <c r="B70" i="12"/>
  <c r="B75" i="12" s="1"/>
  <c r="B69" i="12"/>
  <c r="B71" i="12"/>
  <c r="B77" i="12" s="1"/>
  <c r="J7" i="15" s="1"/>
  <c r="B74" i="12" l="1"/>
  <c r="D7" i="15" s="1"/>
  <c r="B73" i="12"/>
  <c r="B72" i="12"/>
  <c r="B76" i="12" s="1"/>
  <c r="B9" i="1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<sst xmlns="http://schemas.openxmlformats.org/spreadsheetml/2006/main" count="379" uniqueCount="286">
  <si>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</si>
  <si>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</si>
  <si>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</si>
  <si>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</si>
  <si>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</si>
  <si>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</si>
  <si>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</si>
  <si>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4   The female share keeps sliding while male membership grows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</si>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</sst>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1"/>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1"/>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dLbls>
            <c:dLbl>
              <c:idx val="1"/>
              <c:delete val="1"/>
              <c:extLst>
                <c:ext xmlns:c15="http://schemas.microsoft.com/office/drawing/2012/chart" uri="{CE6537A1-D6FC-4f65-9D91-7224C49458BB}"/>
                <c:ext xmlns:c16="http://schemas.microsoft.com/office/drawing/2014/chart" uri="{C3380CC4-5D6E-409C-BE32-E72D297353CC}">
                  <c16:uniqueId val="{00000008-F5C1-854F-9BAB-987D6D93CBED}"/>
                </c:ext>
              </c:extLst>
            </c:dLbl>
            <c:dLbl>
              <c:idx val="2"/>
              <c:delete val="1"/>
              <c:extLst>
                <c:ext xmlns:c15="http://schemas.microsoft.com/office/drawing/2012/chart" uri="{CE6537A1-D6FC-4f65-9D91-7224C49458BB}"/>
                <c:ext xmlns:c16="http://schemas.microsoft.com/office/drawing/2014/chart" uri="{C3380CC4-5D6E-409C-BE32-E72D297353CC}">
                  <c16:uniqueId val="{00000009-F5C1-854F-9BAB-987D6D93CBED}"/>
                </c:ext>
              </c:extLst>
            </c:dLbl>
            <c:dLbl>
              <c:idx val="3"/>
              <c:delete val="1"/>
              <c:extLst>
                <c:ext xmlns:c15="http://schemas.microsoft.com/office/drawing/2012/chart" uri="{CE6537A1-D6FC-4f65-9D91-7224C49458BB}"/>
                <c:ext xmlns:c16="http://schemas.microsoft.com/office/drawing/2014/chart" uri="{C3380CC4-5D6E-409C-BE32-E72D297353CC}">
                  <c16:uniqueId val="{0000000A-F5C1-854F-9BAB-987D6D93CBED}"/>
                </c:ext>
              </c:extLst>
            </c:dLbl>
            <c:dLbl>
              <c:idx val="4"/>
              <c:delete val="1"/>
              <c:extLst>
                <c:ext xmlns:c15="http://schemas.microsoft.com/office/drawing/2012/chart" uri="{CE6537A1-D6FC-4f65-9D91-7224C49458BB}"/>
                <c:ext xmlns:c16="http://schemas.microsoft.com/office/drawing/2014/chart" uri="{C3380CC4-5D6E-409C-BE32-E72D297353CC}">
                  <c16:uniqueId val="{0000000B-F5C1-854F-9BAB-987D6D93CBED}"/>
                </c:ext>
              </c:extLst>
            </c:dLbl>
            <c:dLbl>
              <c:idx val="5"/>
              <c:delete val="1"/>
              <c:extLst>
                <c:ext xmlns:c15="http://schemas.microsoft.com/office/drawing/2012/chart" uri="{CE6537A1-D6FC-4f65-9D91-7224C49458BB}"/>
                <c:ext xmlns:c16="http://schemas.microsoft.com/office/drawing/2014/chart" uri="{C3380CC4-5D6E-409C-BE32-E72D297353CC}">
                  <c16:uniqueId val="{0000000C-F5C1-854F-9BAB-987D6D93CBED}"/>
                </c:ext>
              </c:extLst>
            </c:dLbl>
            <c:dLbl>
              <c:idx val="6"/>
              <c:delete val="1"/>
              <c:extLst>
                <c:ext xmlns:c15="http://schemas.microsoft.com/office/drawing/2012/chart" uri="{CE6537A1-D6FC-4f65-9D91-7224C49458BB}"/>
                <c:ext xmlns:c16="http://schemas.microsoft.com/office/drawing/2014/chart" uri="{C3380CC4-5D6E-409C-BE32-E72D297353CC}">
                  <c16:uniqueId val="{0000000D-F5C1-854F-9BAB-987D6D93CBED}"/>
                </c:ext>
              </c:extLst>
            </c:dLbl>
            <c:dLbl>
              <c:idx val="7"/>
              <c:delete val="1"/>
              <c:extLst>
                <c:ext xmlns:c15="http://schemas.microsoft.com/office/drawing/2012/chart" uri="{CE6537A1-D6FC-4f65-9D91-7224C49458BB}"/>
                <c:ext xmlns:c16="http://schemas.microsoft.com/office/drawing/2014/chart" uri="{C3380CC4-5D6E-409C-BE32-E72D297353CC}">
                  <c16:uniqueId val="{0000000E-F5C1-854F-9BAB-987D6D93CBED}"/>
                </c:ext>
              </c:extLst>
            </c:dLbl>
            <c:dLbl>
              <c:idx val="8"/>
              <c:delete val="1"/>
              <c:extLst>
                <c:ext xmlns:c15="http://schemas.microsoft.com/office/drawing/2012/chart" uri="{CE6537A1-D6FC-4f65-9D91-7224C49458BB}"/>
                <c:ext xmlns:c16="http://schemas.microsoft.com/office/drawing/2014/chart" uri="{C3380CC4-5D6E-409C-BE32-E72D297353CC}">
                  <c16:uniqueId val="{0000000F-F5C1-854F-9BAB-987D6D93CBED}"/>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dLbls>
            <c:dLbl>
              <c:idx val="1"/>
              <c:delete val="1"/>
              <c:extLst>
                <c:ext xmlns:c15="http://schemas.microsoft.com/office/drawing/2012/chart" uri="{CE6537A1-D6FC-4f65-9D91-7224C49458BB}"/>
                <c:ext xmlns:c16="http://schemas.microsoft.com/office/drawing/2014/chart" uri="{C3380CC4-5D6E-409C-BE32-E72D297353CC}">
                  <c16:uniqueId val="{00000000-F5C1-854F-9BAB-987D6D93CBED}"/>
                </c:ext>
              </c:extLst>
            </c:dLbl>
            <c:dLbl>
              <c:idx val="2"/>
              <c:delete val="1"/>
              <c:extLst>
                <c:ext xmlns:c15="http://schemas.microsoft.com/office/drawing/2012/chart" uri="{CE6537A1-D6FC-4f65-9D91-7224C49458BB}"/>
                <c:ext xmlns:c16="http://schemas.microsoft.com/office/drawing/2014/chart" uri="{C3380CC4-5D6E-409C-BE32-E72D297353CC}">
                  <c16:uniqueId val="{00000001-F5C1-854F-9BAB-987D6D93CBED}"/>
                </c:ext>
              </c:extLst>
            </c:dLbl>
            <c:dLbl>
              <c:idx val="3"/>
              <c:delete val="1"/>
              <c:extLst>
                <c:ext xmlns:c15="http://schemas.microsoft.com/office/drawing/2012/chart" uri="{CE6537A1-D6FC-4f65-9D91-7224C49458BB}"/>
                <c:ext xmlns:c16="http://schemas.microsoft.com/office/drawing/2014/chart" uri="{C3380CC4-5D6E-409C-BE32-E72D297353CC}">
                  <c16:uniqueId val="{00000002-F5C1-854F-9BAB-987D6D93CBED}"/>
                </c:ext>
              </c:extLst>
            </c:dLbl>
            <c:dLbl>
              <c:idx val="4"/>
              <c:delete val="1"/>
              <c:extLst>
                <c:ext xmlns:c15="http://schemas.microsoft.com/office/drawing/2012/chart" uri="{CE6537A1-D6FC-4f65-9D91-7224C49458BB}"/>
                <c:ext xmlns:c16="http://schemas.microsoft.com/office/drawing/2014/chart" uri="{C3380CC4-5D6E-409C-BE32-E72D297353CC}">
                  <c16:uniqueId val="{00000003-F5C1-854F-9BAB-987D6D93CBED}"/>
                </c:ext>
              </c:extLst>
            </c:dLbl>
            <c:dLbl>
              <c:idx val="5"/>
              <c:delete val="1"/>
              <c:extLst>
                <c:ext xmlns:c15="http://schemas.microsoft.com/office/drawing/2012/chart" uri="{CE6537A1-D6FC-4f65-9D91-7224C49458BB}"/>
                <c:ext xmlns:c16="http://schemas.microsoft.com/office/drawing/2014/chart" uri="{C3380CC4-5D6E-409C-BE32-E72D297353CC}">
                  <c16:uniqueId val="{00000004-F5C1-854F-9BAB-987D6D93CBED}"/>
                </c:ext>
              </c:extLst>
            </c:dLbl>
            <c:dLbl>
              <c:idx val="6"/>
              <c:delete val="1"/>
              <c:extLst>
                <c:ext xmlns:c15="http://schemas.microsoft.com/office/drawing/2012/chart" uri="{CE6537A1-D6FC-4f65-9D91-7224C49458BB}"/>
                <c:ext xmlns:c16="http://schemas.microsoft.com/office/drawing/2014/chart" uri="{C3380CC4-5D6E-409C-BE32-E72D297353CC}">
                  <c16:uniqueId val="{00000005-F5C1-854F-9BAB-987D6D93CBED}"/>
                </c:ext>
              </c:extLst>
            </c:dLbl>
            <c:dLbl>
              <c:idx val="7"/>
              <c:delete val="1"/>
              <c:extLst>
                <c:ext xmlns:c15="http://schemas.microsoft.com/office/drawing/2012/chart" uri="{CE6537A1-D6FC-4f65-9D91-7224C49458BB}"/>
                <c:ext xmlns:c16="http://schemas.microsoft.com/office/drawing/2014/chart" uri="{C3380CC4-5D6E-409C-BE32-E72D297353CC}">
                  <c16:uniqueId val="{00000006-F5C1-854F-9BAB-987D6D93CBED}"/>
                </c:ext>
              </c:extLst>
            </c:dLbl>
            <c:dLbl>
              <c:idx val="8"/>
              <c:delete val="1"/>
              <c:extLst>
                <c:ext xmlns:c15="http://schemas.microsoft.com/office/drawing/2012/chart" uri="{CE6537A1-D6FC-4f65-9D91-7224C49458BB}"/>
                <c:ext xmlns:c16="http://schemas.microsoft.com/office/drawing/2014/chart" uri="{C3380CC4-5D6E-409C-BE32-E72D297353CC}">
                  <c16:uniqueId val="{00000007-F5C1-854F-9BAB-987D6D93CBED}"/>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Untapped potential: members to be gained by reaching the national average</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Untapped potential: members to be gained by reaching the national average</a:t>
          </a:r>
        </a:p>
      </cx:txPr>
    </cx:title>
    <cx:plotArea>
      <cx:plotAreaRegion>
        <cx:series layoutId="regionMap" uniqueId="{FF8B1334-FBE9-C849-9DD2-87A49D6C29A5}">
          <cx:tx>
            <cx:txData>
              <cx:f>_xlchart.v6.1</cx:f>
              <cx:v>Change 2016–2025 (%)</cx:v>
            </cx:txData>
          </cx:tx>
          <cx:dataPt idx="2"/>
          <cx:dataPt idx="3"/>
          <cx:dataPt idx="4"/>
          <cx:dataPt idx="7"/>
          <cx:dataPt idx="8"/>
          <cx:dataPt idx="9"/>
          <cx:dataPt idx="11"/>
          <cx:dataPt idx="12"/>
          <cx:dataPt idx="13"/>
          <cx:dataPt idx="14"/>
          <cx:dataLabels>
            <cx:visibility seriesName="0" categoryName="0" value="1"/>
          </cx:dataLabels>
          <cx:dataId val="0"/>
          <cx:layoutPr>
            <cx:geography cultureLanguage="en-GB" cultureRegion="DE" attribution="Powered by Bing">
              <cx:geoCache provider="{E9337A44-BEBE-4D9F-B70C-5C5E7DAFC167}">
                <cx:binary>7JpZk6Q4tq3/Slk9X6oQaKKt+zwIcA+PecoY8gWLjIzUgEACBAJ+/d1RXT1Un3P6nvN+zdLSzAN3
Oa5h77W+xZ/f1z+924+38ae1s/30p/f1Lz+rEPyffv11elcf3dv0S6ffRze5H+GXd9f96n780O8f
v34f36Lu5a9ZivCv7+ptDB/rz//xZxhNfrjqLbzVfdBhu5s/xu3+Y5ptmP7t1f/m4k8fvw3zuPmP
v/z89r3TfaWnMOr38PPvl07f//IzRxkhafbzT7/+8zC/v+H6rYPPPqp5hPvVb//l5z7epvCXn1H2
CyV5jgvOKE5znhY//xQ/Pq8Uv3DGUV7ggnBc0LTAP//UuzGov/xM0C+U5jxnOM84RfDfzz9Nbv7t
UvpLlmasoEVO05wgQv8+Q7fObtL1f5+T31//1M/drdN9mOBuUIp+/sn/9Y2fv5KliCC4CcpSmPQ0
zwsG19/f7uF3fb7//zStCU0Xoyk5tbp221zTxG3ndkncRUwLGcSKCT2M4W7Wj/uI0SlvBl/zgfR3
0caSL34RsyS3Ztiu2a6fLc8Fjr0UyvMXvY5JmcT2wUjTDMItygupsx8ZTbND3Nf83KX9SoWTTXxs
ezzVXYGamubxh0bsQBf3ylueljhqKxrOUpFxd4HDNpWG9ovoyG6rNfRP49CG0zw7YwVtwnzYI8YH
OtFUyHbGdSOH4cAwN++yyfKqb5q0HN0+i23pb0fZucM0Te3lRnxyS9J9vBqbZa1n1tX5nH4dKP7h
+2ep+fU8qHJM1E2ihnolLLkx/XKFDLqQZHvfC1uPIT1rt+ZaK/J1xtPlPJtBeMzRN8bpXbMaEfNQ
Fuy6QOSl7+jj0ueyDGtfdeuQlEW3BbGYXomBj+tJJegh6dcPjNMXySZTjtJL4fjWlsix265b7/qV
dGJYyEeiWSfaPnaCJCOp9GLuUWaiGJirY0Zq7dCZKjypNtnep2zhWjTUvrNWHbdVjVpkE9OCrbQo
ESpe9mIre1Zcq0FJEb280VmIQtpJrHyAS71cS5Wq4RQycmpk7g957l+kQlTIdZlujewkKhPOrzac
tofUmfSeutSeUlssFXIoqxPCUMXa1FVJipszqqbsYgxeKBqaOiYoVUIXW/KRSRmPvPOo7jyVZaQ2
nIbZOFHwdO/F3nSDFUjbRjBLqWi3xV+3xgaBMzRVjgV8SAfPLsnO0vdI1HgpN8kqnUh94OnU3CRb
5r54p+SFWW17yDo63anREuH17C7bqVHnqsWF2LTEZewHUxs4MWo2/EK1PoiRWldm3WJvKUnF5AZ+
3ho6viwJsR8T7YUl/WRhuvCXRc7ZWRM3LIzbL1nq/AG1nFy5JkvO9kK9tVN7n0c8VUW/6nPU5rok
y/aR9qgkmsyV5HZ+guJxxwveiZjpa9tzdlhy9kBRhi63DfuaqN0e1yVJH4LscLVh+TjGAp2npPg2
pG4XqzRV8P4tTXJcusYPUCP5KDTOE6H35Tzz/Ly3xSP1BTpgsvUV6tyPIcNZqTd0tsVWlx3qs9pb
/GNcfFOuHP/olLFltsPu7TcqhbHZZWzCoRvGrQrz0Ipg1u+NZL1QxsujXMJWutm+K6bLxDb7ISla
WXY7bGSFAxUhKy6mxgq1yXoZ2ygys9Vphp9WUsy1ZYUT4zpF4WifVqnW77FNlGgt1CUmkwfV665s
0uEsk/4uYRM5dm38ajIq/Bxrs7JD2rgLBAUMTaoT2nWVGuJxSmAbrmQQTO8H5YayXbcnn3e90Fbd
+y2gUrmkksN4aJMei8Si6wZq/WGmEd80243Gs+h79S20qRG7Ja+L21DdTjKpuF4LsbN5L9U6PtuC
jRXT9Db2P2JYE4HYPp48XU+JLjrhC88PyI7NaVnleCAqvXcmO+59VAebs9s0yPW89/ko4A5jOWZz
X8UgL6bQ16npSrMv1ypNj4h0FYuMlNZkb4wuBz8NJ1fsV8bJ9230B9qZ08zSS5osx9SiO75sXxQm
D56Ntd3Gy71ZPezXVGjtPza5OJEWzSpQoaqWtIOIuDWHBfVXSWa9WCf1oe0oy3zZR7Hh+dtuDS7n
jJ5kYYaycJqWbVKM5awJeQ5Kp6IzO7LC4D4vF8/Scuu7Y+z9UxiTauIZqjbCD3Smd9x0vuRhH2q2
sje2qMtcT/cFa1+X9LvZWOVbXVTDuCgh5/S2XRzMV7jhUd83XFck7EmFoEWIXW7Xoe9fO7bTM0zV
fpgn1JY0yU+qTc7oJp9s03lBYMBrmapdzOl8Y3h7TMgQSyWjLXVBxnIfYipag3bR5MWTjkMQLLHz
o+7IerILzkuWbHtNjSnE1OF3ntj7VJGLmftLQrebTrm0wtrEM7ebtGr5WhqNWkGW7pzpbhW4G3+E
Uc2111tFdGSiy/uDTpv3mNP5iGObi5Ev7a308/0Y5rlc+qG7GdhSCLslD4Ucnw1pbke66QumHKmG
rbmyyYQOSxFUafviinX8SjpZK7YkYhtZOQ7984yhxk5kftuNqzHpJhGtO3NUP7ST47Ur8mMeyXpE
DUKHjmlyXWwabjMnw1lIgihCe0EmaD+StHddBttmWIvztEnpJbfFLZvGXWzJqKsdzsO6wpliipg6
hNZWNve0cvv6uq79S8ySrszCaEWQ5BEjdQ/icq56zN0dC+Ot1PFopbaPOTaonpOdnC28hUaKQQ/o
GXmRSPg5TA+C+oyIwrm1BGHIrpVbP5h050iGl+DwWo7bKlTT15x2YtZ4AC2DR9EMBZSDaYSDuian
fLrqFI/H2M5OxEaxKhnnK76G2za6Z2Ka6cSmpBCeBWiddBCB+gfN5VLuLlxtWwhCZ76ot87c+wbl
VVjZlzioU8+Ti4aP6sDiPokuYVuVmIiEs00q1p752sgvw5C11WDwQ1j8GdLDd2UJqIq9fWq2T1mT
Sl5nce/LzoBm2V6aZM1Fh+ULc425STxvRdr2TR324hnPIBA8UnlpByOrIaqHouCPNk3ZEbrNAquf
vXku08rK4Uc+x1G4rHkdOetvOijhYk3S0wZ1voJDllyF/WqjZDrEDA8vM+H5KQZHa7mqmz1P52q3
08WAk4MJuloY3QSdZS7SmWWVa04yyW7nuMKPg86bLKuqZgwKYsygxbeLEZvxX7G22VnRe1l7F97y
ThUC7f33oSXXYc9JSTLKRVcMz5nBUznnfj7PArWtaIg9o0lyIFbmGlocCJp03WwtPZZP7YqWa8Ki
K8MWQdPm/CpH8i7uS8ndNFQSLcNrihR0GubDCWRsJgUFrQDHY0v6b3HttnLKJ3XcaTSZQFRt1UQi
Fts23EwWhxKleQqdpWdis8yXCxzhYyw2U5k+n05ZEsrRNE8JdxLkWwxlPyTf/YaJ0LHjr3pvwqth
tC/lMow3LUp3Me7p9yRXWQUCbRBLn1wEB3MskX5NCfVl12xKsB0JkzW6bKA4nC0NxaJdsmdQiFIs
rr3MdNachqnYT32f7PVuh6dN9vZBJW2dmXaueDIk9TpEXXW+kfUe5XnL2nImPTSciI9TTHA18tZC
QaK8NH5VB29htWC9TeU0F326X0uroMbj8VsnqX/bCLiDDQxE5/wljuMzHTQ5IjwWtZZkOXNJ25Tt
nDfHrNiTM4d3IwJHZTHzMlp8NiekEDLCuRt8Js8cG4aq6II5WK7mKqJEgtpgBE5jGuqJSVuygXY1
39aiSs1Aqr7N0npdlrXai1HXzTSLSaHlQNfNH4qEfu1lu55A3nsRcqcOfT66K7X1N00+dGKM8XXY
OK9s1r72BM5wZudqHXJXFfPua9QUoxJxQ/Fr3MH/UK49lAmoO3hNvjo1t7eeMCVohs4Qk09Ipf7A
aHzcFrADjDzmCb7U+VQPXF1vfrnivL8LrXdCdQaqbV/QKnZrCgs0sjNCdHO2mnTuRbeyRynpvSmK
pE4QkVfpNsZyJ3M9ZblhQi1BXUgcWNnw5SHuBqxxQh+jDmlTD+ABKp81Y6XbBb8UKpsUNKE5f0az
e2hXzK7n1GTl1LD+1ARQXH6Bg9vLxh360X7xo+9vWubiHc9b+uTmpXjNWxLuJ100nZiCMwJz7MuU
tH01232DwzMsJUXzN40WV+pmjfdLYkF7jOSqS5A7Tcj6xzRqqAna4xdpw6DEhGb6zFvVVpru3dWk
FDnjnOOz2NHlWi+drIuwJSAUUXgchzgfWj3sU5mwbCu3fbhuRj0c9CDHcxb27gA78DWT7HZWDa04
WyYphpCg8zgxdekKpc9xkez3a2HYtXErOCXpY3IxrNl0NoOmt2KOTTJUU5P0lcOMOrFTPgvStvkZ
w+P2kGazPDS8T6+nuc+Oecca0RdzVytQ6zfENmsNu9mfUUPl+Twv5HpGFoHZm65ID5ujmKbhALWj
v0sCiTVTKFyxOXE3xTqXvGXJEfTBVoNSCdBjRxdrH1N/FtjEwTWj7sohk12teDsPtkvv28G7Y2OS
5gMlDToOawRFzmibCo52W4MSWw5xRPo6N3MZ2Xrbhn2H3cYvk7Qn0FyuC+gS5cZ8W+NlCY8dmpdD
sAZ9jKGArrAsOa7R4vcy9+QFIVn1aBwqH50paeuWy5zQsVwXl5gyKeJ+JZNZ7MpkZ8Mq0clYp76P
0PhPvI/4eSADWAHbVi2N8uG3AqtacCQqrAY00XA/8oAOyVqsUL6bCE5mXSs/78eJTr4qbN/Aenb+
cdqBMogFFXeyaNUk2MzjzZJuVqzpDtbWLRvU3mG/a5cEbt9MU5XI4cz2vtq8TVqxZmHWYt0dmL22
8fW46+LQrqO52bQaZ8GwX4464+pslQyKpXaRXG/TlNVqLdQtCSBKB8vOOTb8WOx7c8Sz/jEsVr10
60Suotv5iZvBzkJu6KEptk5kMjXViKZ7NcxrlUWqhJobc+xtpC8doukZsVz2ItkaWKwCh9dpSaA0
Yfoo8/40Z73HFZ4MSA4HTolZFM95yOUT7OllFqsdigoPfjoObYJPo/oxQD8VIXB/dEy+rb4/DKC7
y2zMVWlY7GFiohFFlg9l3mYXeyf780XP/VXXTOD8u1zwT1/GE3SpzHY/BZJ+GzN7DzMIFoanW72B
qj0GW5iaBGwfWjo2IjXMV33s7bdMWXuyU1uyloZXmdOmJHy+3Vdsbo2ZYfaSHKwhRWF6WNp0/Zro
z7Pt0JFMhNcSDGCm+d2Us2PiZbhK98lfzKY1tY3TxUhA0vajXp+GZO69sAkooThJ+XVI/OXkRvOC
O46/aEnDEc2KixmDNYRa2t3LdMWlTeJ23ykC8gwjeYs2A84NVGaqlua142yo0J6YKl85SMwlX58b
PEcnMECKWlFLj+1MjILpWbsb7M36FSrNq2sH+5rrYTsVbmHvU5o21a6gTEuu5zKEgghQjs+djeE4
r36BUxfOAUfBOFMPfGA1P1w6dkcJIO9rO25ZObAVdu8idbm0gWQisny5LozmUP6ZfoyqA3kbJlcy
RPoDGgZbNYVVBzMXaQWafbxvMF1Ok+4t+I8owsqbCgiLqdcC2QuivX38jZ3++ld8+wc4+e78Nmqp
fue3f3/5H4+ug39//vzMP/74CYD/8erqb+T4377r+OE+Ge30r2/6w8hASn+/u0+4/IcX/4k0/zME
/p9e/B+C5hQThum/A83iY7S6/wNl/tuHfqfM+S+MpjwrCoDWOUP/oMwo/yUtEC6Kv5Fk4L9/o8yA
poE5EkZyxHKecbj0N8qc/ZLnvMh4lmWU0Iz8byBzDtD8j4gZcHWKiizLSQoEKiV/RMzUsoSsqpvB
WzWu3Ajob8xADFjUrSBEXANlbdBgejN08KYHOFRQLdKG31Djv7mWfDYhkJ0jv3VdllUpTmq6SF6x
Xdq6R3w/5MmWC4f2u95NyysHxHo+KHLq1XyPhg5sdjiaSKey24CTZHY6a8H3/NOS/BcsHZj8v/2V
sKL/DNLDvI2uS9oZGtzcnMa0ueuLTzi6xHJYVjHE3JSzspf//ltz9J9ml6dpyhlGlGR5wRHECP/8
vZHrZrNzt5RMby9y8h5MNpAcDzOa5WCbQTQHwYcOtN2s18PqQeWB63vJuuFZoYfNs6ZWSH+hIf8i
Q9qW2yd3XRWr+WRODfePeWEPLtHvSu+8jiY5jH37lWMAzcugMmDP21c8T7GWub2PpmViHxuAj20r
wOV/n1qocW32vOfTI15yKnrE3qhKoV3m3TVuN32bpUm8a13zipR6Cln2IzRtVq4g2Yeh//BMYQDm
aQHWZh+OW9rgaikKe4S4JT/LkI+iGLvLbZYvqG3PAYRW81ZMIHt3kHtq/CpR8/I5ULevgBqM4lWR
g2NFCWCcif4mGIZL3vbqrpWMlwOa9BUvML7dNPphOF1qMihUWrpjKJdTU6nEyBKykO2uQHS5I7rg
IvYZqgtl90qG8JSmkxW5DWM9to4fFVda9AQ5kezgPEyDm3qe5EsjES33jjK4GVuU26zUBXCWVZht
SepOpRloPQNeGbv7og2Vig0+T9e8gbGzHVysud3JAngZUA5dYgtgIx7glIGHdJuqjQUp2+8+lk3v
rOBEDrdjZ61YgnwsPrdEt4JTmcLSHfso10uulTxOoJMqWGtwpIs9/+12CE7uPvnu7H5YzuJVHBkR
a6tHsYb0bexyXFHmmUh4RutGjyfYkNubDvN1xyGdoEWKRLHmj3zJuSCIamijEywFBWCUP8y7vBw6
c4YVNC7o1voACcExnbTYce6B+do7jIvxcuQ2OwUStmMOJ/hzRVtstGgLPNeJ2dvTBNvMNRgQcR6t
+Nx4dM7nqm0AaVKLGWi/iRzW5NOeDjrYauxYe7KdfSngZBGR4v3KkeZqQ8m34EZfxaw4mW2rMNH8
ILOtnlRamaW5wjy7hVL0sFpQzkuugeYP9qvM4rEr1FNO7A0qwjfeaCqyZreC7Ela847fREyf8gic
gBVni1lhoZbiI8L6geKbaBm6BbIKvlSyBQu8NCMRaE5rbLZnHFVSNmp4SPvB33IFqck4qVYMaoBi
GcMD1ECgpOD5+2D8oWX4utvpSwusR2xzcz3lxdmeNE+Qq/zILb4gywIhSaPAUTdl5/sRfiBEdKZA
V9HDBHEwoOseDrAJylgAQTDEdUKOsDqr+ma3+Vx5RGsmd1sa1XNhNJz4ZFRnwwYquW92X2YTutiG
vS2tmq9m7dWFlhCzDekSygg9r+6TEK72oPgx8xASOenXWuqJCbOG9aZJoqBJWL64poedzKCaFKuh
J2Aj8iwuuxeTkU015m6BVM0+JdqNzylqv+yt5IKHeXlaPLQC8EZge/d2PM6OJt/U2jioTQtaa0pU
IzhthwNZQvvlczdb307vtO8hx5lpCtWcnqdohh+9jiXwUHYXUlQ23UszraBy5RAq2sw5JFjqVhZE
VtHJ676f1pLtkErNvJnK30r+/xdK/89EnoKOAZHy3yfy15/5+U/3SvcfyfPHFLx6s/8az/8+yF+F
U/ELpjnExinmJMsgi4fu+td4nvwC0ohmkIzncBWR9J/i+ewXknEMf84Qwhlhf4jnc1A5BdQ5CpoH
BvjfKCd4DuBfRQWGRJ6BDCtApGGc/4uoSO2mlwaOmVj0EB4Ib/LbMd/8lc0b/WyUA3RMEjqXw2Y/
+G7s5aT8EUg6Okv67KpbPSCUHIhBNgawo2Yh5dZAcibBNV8xxbaTMRpiIbnpvY52GG6ajD/3iftK
cVYcEWu/8bFonjPoxVdZdH0V7JgeVCSAxMcVX2Yse153Vi25SW8GF3yJ6LiIla6hNltzLJIkvA4u
nV5ju3G4EAFQro6e+TRXdaaa/H5QU3IPKRtQ+WStwmewSn36FfSqhcQL7AdaiRXArmXZO/+ez6Gt
tfWQPvHePjahg7wrLvaysbK/QVnWPbjE6vOgGWQCweoNcDAfgEcqbcsp0Z83preH1SxQpWDOBgD2
Dn/v+jw7GyWE3+1iwUMOwFfuU21GaK6ZOU1bQ0/wTAQ/tmTfhyprUgUpmAswfOJxKTPtn4CFpuXg
ivGDRQImNpIdxBjw8MwHUkEfBnOMsdWAzfHMzrQxyTOmpjhgeNAEvLmU6f0Ypl7kXGcCcvHhAvuJ
1gQ4DMSMhR4f4tzqOpM7OhjdI9H6aT/xnSQ17tPu6Lvh+9BNIRVFPy9QjSHOfR3BtVWA/aFpMEq/
Bjm772ufFT+mtQ31PFD3vgM1fzHIhBNZpuK72tF2jaIxXsy+R+cdgLRDMU/0ruddWMQ+T/lHamJ6
SLKFvbnmE6YoO4dyyMk7KMwplm0zuC8DkgOwp2K4bNrlW4PCfMcUeO/MIPUIcRzALjUhKbI1AzXZ
IpKAUw656kq3sem+26FTVA04+LViJIs1h6T5m2x72pYOJbHKlGSHmKfF5WZNBDRppvkM0rkn7yO+
ypa2LkyQxzGDfJuPm4JlgrRl7scEmmy23HXDzODb86S9c3Iunga7fpnnqa+nPoXOPX5uT9uvh2xZ
4KkC2FVkRikk3XsD8VwYo0hpPgE0mqR7a/SclHINSiyQYZQpWrIr6vP2fiC8Lftlbs7cwKAt5R2q
cN4kJYTPvJ4oNwhufEGvAxQp0EobOkJJcGcoJmewL/R7u3h+3wZ2mSX7cAbRTHtEw+daWPclnabk
ImMe70Lu8KST39MUsmFEIHShyescfHqzeUA61Zbt2IiOke4K5s8duJw9SEyISjYJbL0t8u3VIzZe
SNtHCh5Y9iOktAiaMTw1ELXwSzuWGXZL1c19UU2j2uuVNvYJ7RDgYmdZ2bYDqq3h5BYAWwfKArhG
naeJC1Uc+A8T8qwc966p2QhHkCfanMZ9XC9j3kxfkxF1cDxweowTPFgQ5wY/usy7ctk6Vck5hDKD
5KCMAwHziHTIHtMVVAvp3WljPbvBW+FLDNLvsoM5v5h27L5QzZdTniz8iviG6BoeWWAQN5ph/9xo
0AochAW9kvqct257aAkAILqv8rBEvw0Q62JXppGSyxhpBmEQToHEd1AUFhBCKxCy8wwOjxgdNqeV
9/tp9vLFEusPuJ3h9DM5fQf3tpzgcZkLqFUDFrPd1och5ON5F5X0AjjLXMKpW0aFX6c8ZKyEYDC8
RxOhKERoNc8OYo4nt7bbKcLDKA9ZO00lXR08gsH9M07aZxZTLSAqvKfFQg8y8u2AMYytrHOjMF38
sWb2cdT7ufOYXGLWWhiZumMcQDUO8ADbkbYKTjpQ4CvEmYT4oIOAtW30fd9CVgJd8pjuif3aAam/
WtP0u/Wgv5bBXeJx38t5HvayDYGJqMd479bu/7JzJtuR42qSfpV+gOY9AImB3JI+ax5CUmjDoxjE
ARwADiDApy+j6t4+mXm7K7v2lYtcZERkuNzpwP+bfWbmYLp4eBmnWmYR1rWrJinhXOcjTyMlHfii
onvOa52kQxAmKfgEXA396g+QLYusigaV9pClHmk/dveymXXaTr0/5WEh9pYubNfFmC5ndTZQQdMu
zOsr8Eugm+K52leVrKdTK/hbOCQgm8JS39csr7OoJHRvZCL3QvCGpI0cgnPZBe1p1bT6bcuZXtd4
1A5B7pJHqkRwXgT2nFAO3T4nrst6VeonOiUkCxxVP60ey3M040KsKoBcm/d8yxqOR6QNSn8KFlYd
e0q3jyrpz0trN/RhKH+Ipb8w7zQGzHXpskbazXlK2HPoovGl7UfyLRYSkm4FcCXKSqbZiQc82DxN
SPYmklm78EziEN83OYQ8Npt4bwLL0qpWbp93tThATZ9OQg7rpRg7eR4GUr8Gwob7oqPsWyeIys9B
vsKDrUzn4iyGJPObB7l+4FC5r8yi4Z2oZv4oSjscczuZfTuv9TcTmOEqWEy4S0aJx2kK5/tptKfc
2/EWj+GD00VyGNRwFnpawEOQYn7tdDiFaY7tMk2ojmE9eV88121sTVoQVfwaWAyNMi8CXF9Mx9la
rx9xgA0ltH7qskrb4qXIqdzB64Y93hRrlNa1E89QXPAjOVK8s3FJsgAGwHmyK1xGxRdwhioM9jNW
4KMwc273Plb50XMR+yM31bzjmv/UwJ+e6iqIL5ANygjnaMn2lez8sGtVXWeG5a1MzThTA7mc0G9J
R+Tnyk13tHUf3dQRr+/DELyP6aS0aVx3XGdQXMiu1HOdLQwrSygsTwsz2iyis7kwiAEn7tmajUOU
X+uaDQe3FNUdKyO7n2k4/oCqF33CwPGZSYpi2IW8dlfUJo0B+9YNb80CWxk6ANwGzBSVeerrpAl2
YUXWHmKXKMqLwDthd3JmDLd5gBVtJI5fcdmFWMKJTCeOhSrXdqdj6BNR2bTXpF3InswLdRdWYFbE
EDPhe0mTeteuYOYAwwTfoTLhusqpAAcx9PWH6Ep31WqufoFWwKYYmjgc9zBBCUtbEtkTn4p+b3k+
vSwhwS7F2vAxDFx8CRoxv2ggNmfo/8m5i+Lup5Pe7eWSXxe5Uj+cZ+bBlkn+0MrG+gPMQHMzN3OV
Tf36vCju0oCT6lDkkmJ68vkv2Cz42jdjnnmTjIcA1N0ldpGVadPPTmYu8MExnJvfTQG1nosW6nYo
+oMYKHb5Rsu3CdDLReI+utZdCzCBx+XF9cM7/K3lqRzd9K6qbtmBZhx3U8e2rzBvaDqU2FSTfJJQ
oUIITC1Gxs4vOdhZwk7rGFWXjubuXgZsuZccVCCslNeERj6bvVNXZaP1YzsXmCVi5Z91CyUrjNb4
SAt11kUdQSBKwnNgPH1hBfPfary36Yrj/dEuvX11Wuf7gkqLUTrg+6bEl7TApbGk3oV9Wo2Ve1Qy
flexvw+o3pA4MX9XdE4AxE7xnfdNfqOJ/uZ5H2OEmn26FLrfgfyBYNILE/c4xElzxNac/FgAaR81
/uJrunTjbZRD1stn7dPJVjcthfEgyiDHs1C+UJJHV1LPPwYVNpjB4QMX5ihh+l57Z8RuJtF0q9ah
PifD/NyKxezabtAfslJVvqMG6oupGHSfOIo2bQ+eRKSrI6sj2x9ycCR7DhEoTkmLE57LiP3oJe9P
yQLmNOWk0G3aaDuqtImS4s40wh4HgZMxBOR8od2qUtpCtJtEnuytpdE5SGAN1XkQXqapru6DpOC3
ImzBiJRGvy1NbI80Ig8B/uobeJpuV8vtQ8e6taZTGdKLDrBE7Xy7qtsFTNsB9If9xbgZH7q1HO/B
DF1qKnGkR14t1x4fbjolE9QiX1Px5htSpLTmrMxUv0bfS4MfbvKx2asBFusa8+Q4soKchj7nT31V
8UOMDW7NYiwxBzskBr4WjXGvr/5CyFq+Y96K8HVPOkg11uTwp2EmJqxM7knocCwaO7+yeAaooR1P
lzIE+z3U12XJ2JEmIkzjsg2XrJjkfAvxo+8yiIY0jXtd7ktu/FMESBX3b+6PEGgWuoPm9g2f/3r0
0dzilsXoUlQtzfpaFsdVaYyT61pfaMhORWCHH3Is6I4PYXUk8yj38DDNbZBwfd+K9gPLM8FEGZdQ
0cOiz0Yrrmjg+mPX9u5shB/SYMnnq8ne0Qofdr4SfpRL3UMh9HQA7pSzBxfK5XtOkvU77Vh/y2Z8
AbCvDI/rXNTQJ4zdN607JYNu9gYO424N5LqbXQ6quM9Plq+nIl+rw0hmlWriHuM6Cp67jkLN65VP
NW+mfW5riINVf/BwybI4IfUh7mb+A6eCPvSmr29nX8mM9LyFwSbrXVHT6NlocVfIFlTNIBVEVN3t
YuDs5zYu2h1g+DLVLpenmOT63eT6dujL7sLqcsmoTPD01hZUKJeO3AQsH3dSlwDxa2xm3Szqx9Dj
tiho8UF1EF31ZgXJ2PJdzVX76mLwfqR1l7kJPguW2KuqxWg0FvNwm0Co3EUmeJaueY94mRzCKRhP
9QB5ErZkeaz7JsiGUv120/xL6eDwP2LX/0/8JIyi6L+Uuq775ffwv54+XN/5PzqD//yD//QFESSB
O4SQCRBZKkTyf9In4h/QtqSEX8ShcP2n+fcvXzD6RwzfgiOeAtkJFDmUr3/5gvQf+E8UCwv+vQlc
/630SRj9Vd0iIV4SQ4wlpgBG6Pbrf8ieBLmxYdKsVZasXXUSrOVnXgfyfTRwRBoDMo0pVRTplEt2
kmMnvseJui+snH6BrFBPhdE3kavzg4uwosFiM1Vy5waAZTNIuCtLq/GWT6q8VDYsbi3ckwdh6PLz
DxLj/8X4C7eIzJ8iNAjkkARhHTB8HEPP5tD94ccYlw48Ma2qjJokzLqkojscifgyah0dlzVPLkyy
Kd1Qm8Ca6G4eWAA+nKgHHPbrGdmMIUnrtZMYFZW/p2ShLwHc1Dk1usMIETmcUt4IHKiUdccCWaYj
1I/m1gcOJKqx9IedEaFCXOnyX/9oX+bhn3+0SDBJpIAyhLWP/yUdNCXCezEPNe5qNty3fVDuAK7O
Z4gpQRqtzGLzKkc4Mg7XfwZAlx4TGQTkWvqNW90Gl3NJk18EEtvfOJ+U/NvbHskwIpRKPI4x3vc/
v+1tG4UrHQuVtQZc7xhFeVaYBe5xyb8VwQKcNGFF5mtf3uRVld9PQd36vzF98cD/9bPHi5AUAS+O
bwz87T+/iNG2vAiJUlnVqxfMiezSDst4tG03vhnkRqZsXZPomqzw82YeViklI/sU0xw3mF1DBWtu
4GA+8dN8TiZSJ3wOp7/5EP/NISZIkgkZ4iSQjDP5lw8x9stoaglnN+/t8NS1AQEPDKOoAbMNBAaG
hTkyM9Ak062GWtKH8U8K43pfqwYbCeDAv3ms/s0qJwyvJOYI2MWxwFnz5zdNtrSyXjgEYvxY34AA
Vxjo2uLWx+C1JDH9az3S5IezC9//99+LJI7xYVGcfyyhf3kvNGmWGtRtk/EkjvaVduA5eSGLnzSu
gpsVZuku4IJdzRPmyDRirZHpnHt9jAqMtmtHwr95L+j2hPz5K8ZARQjBcAozPM+bBfCH0wMPV2/o
tgdMEx8OYlqeBj0HO1FB1LUq/2iXqjiUUtlDXQBFrnAjH3kz3PzNG0PEv3kNFC5nAmGfUQDOZDv2
//hCiJXVDGOw3iyCsU51sNJb3jS/2nlC8Gdyb5w2C17EULya1hZn2HzgjHQbvBeyjH42Lua/OIw6
mGNQRoGXUejja/M4YosGdm3pEXT8aZiW6Czi5sEU0MQxsdkH5JCyvMpxvOHiSUVl17SLPwOBbwMS
GBafT7SkahzGSxCBesWaPFx3BI+KT9YXZBvz1OK8T8VYxR3iGm14xNA/fegl9GdXevLYGHJhENZu
cAeBF92oyETF+uQHxID6L2gSaqbfJxtJWQ42C0BI3gVFMN0U88ZbkrZ/iDcGEyo7cm5summ1oVmY
c6wEa1Ve+rDaQEGF/8eUsLt1apv9XMogXaYkPIo5WW8BGBdQlSL/JDYutOsLC+lvknARoNLtpi+E
dPrCSX2Xj6egB2MaIRNXpYh0yNtoY1C7jUa1G5dadX14Sb5gVUfD5hBTOI60/D53ojtAUtYXX9Dw
1G40Zj27DCdYfiP8CgViBnZ2VSJslw1Va9JKz+I6bAi/JaOjMQbdxT5UndKfLOkN6NC5fenjFplI
BrjB9NBjlsqlSUOTm2AkIDeXRIzfcBfofWlj+dixFsb/0uXQsW2chlMVvBZdXWWsD5e7ItD+LKdw
OBIJvTYJSnGnkpUgg9XPt5Ngy87ZvDuOji3fimR13+IxfOyKge8jBUY909qrYjcusTvLnA3QNjos
IMoulOy7Zmxu+8q5vdrA7JGTT/C5MMG8W88TUqbtIW7JsFdyzKt0ZBNMhlC2dwtkfmwua7c3fi2A
nfJAZQODnju5EaTc6Ju7aFHyJOvmmWB13y/OIxFkt6f2K40QsRLBrTC4b3n1XSchpNvSmcvihikN
KTi8EG8F8XgFiJeY/BT28Nc7NbRZt8oGobW6XVM6EHpeqC9fqxk8aK6hqh9hUdBXyRAyinTkPus2
is9yQCAkQVDXZm0L5DaF+5A/9TNv9v0KMScFuGeOyCLFmUTmbcK3OSpOcl3jR8j4ONnUgusxJauG
upNTP//yDp8zqIjO7sYWHhPDCPMQxm17gKRcnyjxauc2DKBvfb4rfDuBlQ2whwYCVHUbrHDTpMRH
m/fFuCuGPnz3HYTZybP+3uZJPWYyqdtvsE/trt+GwQz5lenJ4Pzb8R439RLCh0zn2eM2HDuWBWH8
Hi6FjbNZFIj/zDa4GcZWHuYZSkqdYD0mcw/JZl3syYJlfCekNWMqhBPXWrDp5PBAcQhL46EY2vk1
xEl754ukm7aMsNiHyHrsw5X0b3OwHWXVGxFAd4L1wRWhBb8jtQDMipOl6dVBx+WZRu0ZRL9pM1wZ
Jps4XmZL81fJDb/rhtEaYA19dQvdwh0UW915mavxuRK9ehpHiNzRahGHdW1xqtawPWGqvCKza18L
l8MEDTEh2pjeqaaq96KfnuakCt+ZZfLAe+VucNyYK2K03o8xLu5imMV3n4PX2dm2tAFY/sRiBdT1
WdN8uYGu/mHD3odplBiXhUKq1wkAxQNG+6lK8aGENxSxyqxyAe5dpBVhayT1c90JmfUOr/oQzDw4
VXRcjmVNh0PNFgNmNpmmSxSyKfgCah5rspK950zAbojEHX47Xr4cQt7u8dNPxS4ckzlMdRGAyR/k
RSPymyCgKVk2LWY+k6m+p3m5HIPZ0pcyQWx4GmPxVHU19NRaW/1GQ6VhG8CjSP00qB+zhjExUIQJ
q64EExbZ5iyYKU8imh/9woOjz6VpMlUK6O2LzD+EZv4z9LQ5IUKQ1RCvX8EDv3dtYV+4G8ByeFDM
2Sz7ALOcru+d9zLr5h7BvzyOh2+zt82VqBeXWuI+u74kNwKpkhtRVrDyVjtkWGfOJOB6B+SL57va
KXmQcqI/Bl8rskssgcIDuw+CGJtaGNEMJ2qdsVZESAxg294ZsvD7OFosJAgYoCNShsGIpGntl/aM
8RCs9lAgxnZY52g9DEnZQxx0ivzukIw40Jrxh3VR+i4e1zibwpY/IAa3fBtXOlyaYCVnUErTDReF
OgESdplbphjxL1fdlUMI841C7080JD+cJBDK5vUC2XM9rqRBZHbq1YOFdfGzGhKonVXUnfrORbeW
5vhe8upHRPhjMAlyHxHIbMsAB3ClcyqYukYaG05OAfzR5FGKbCWBvSnsIxL5CXYyD+uhDcJfooeL
scNnYk7IVZF92RX0ViCdhKS/wUOHWCTiYmNdX9E6vu9aaSuETIm9Gxf4uk0MdKyfqhc+UXGGk/Xc
9ux9KXqkvIYGBkIF74m0BXnzI048cLMgTyGjXcE14WWmJ5rsajM6v5vFeKPgr2awHPp9LOkzJULf
W2w1e+wjq8nqwnm85rx+k6MeHybu44/eicgAXo2bU9zWuK6GHhYiUnQCwruLHsNkKZ5FwW+msPmc
QXBlE1VmVyZ1czd0mn9ATkQ/QMUkPxPdxAmSmaK8pb59oriWACYOiYJBXIa/8tn0D9hMsoJLdQtR
DM4gX8R3QpyGyZsgJk2xm+xhaKxHeDfRXUdYCeHPY1TgkVJbGMRfMdKWJgu7+Jnmctz5yeI1+eAH
IfY2REYV4wMcW4kQx4PxagDqVpuoQo0Daa/lyuJshDtw7ZpKIL/i7Y5QABBT3FQngrjApRkChrRP
5Q9rFKwV7o/xOoxtXlyT3ut04AET+0pBnk5d5ZAaD0cSIXqrJK4UlWg8QEVjEeZOWhRBjAEwvD1b
x+TWIviDIBtpiqxUNMb3STuGtGicv6z4ror91LAjkjLJweTxAftz8EMVdDjNjRh2pQX9CkIsfDZA
LN6XisHv9za6jKTEzQbp6/vi4W1lvgrKnwpX5G2+rgtEQQ9fG1P8j76o7rtysddVUZP2bEhJryvf
FHaHeMOCSHtUp30n+Mlx8awMCW5CBE6/hfEU/uSmyU+Gj/ketRMIZTAfHbFbw3oZuuXNaiS3YKoi
lt2J8S5YahB4MQikrBNA2XaRhvvwMiddgqfL4e7G+DSeQKDAzIFFmt8roofT6JIlHdflxUK1+EA8
XRxzPSa7OdBt5pryfpl8m2FRRHpFjEeNa+XAKvGZyPU15o4gdz/wKwPS6C4uiunK5SGsHVDZx9XM
eOwdrEKUEwCV7YstHAHZ44gg/HIGylOmwxjCRnAl7sa4nPrfMD4iEJ1l/jbWNBzSRA/1dsVX5XIY
USHS7WFqNemgAlkfx8LhjLfD5K9xiZb7fgz7N9ms+q4D0fQtF1N74mNkrrCNzxg7SvZRNiK5bZ13
J+Q+oNjOSY24BId475Cjzho8VNuQW7ALUhzzK4gFWDxznGzz15dTlbu++cU3+6oQYf0BgtMdq8og
dKHasnjP8xbOEkUGTW82GPML3neVlJG7rJtRti5zez1VvE/RBWJ35RyftJjzdFowYceJ4Fdh0IE3
/HLggHEBaWm+nDm8heCUkIr83X25drCKzZMQA6YqV2qGNNZm8ZEvt49uxp/+8gBjVfmMbcbgtFmE
RQXtvkloeUeBKB6QZPq9zkwfkdz1Kb52oJrKFoOo7CyUc5yACw6jzLqpP/abPSn/06n8ci3pZmB2
0Vzfo10juvGbvRm3tP9ItCXvvnEEIa4vJ7Qtgyorv/xRaFIMo/kCnDgOO3aNhAx/tpV8zWNcaS3S
t+uR0SA+ukKoZU/02BwrpMsOkc7DQwlgvADwFJGziBjP5rXp3/lm6AJREs8uCiNEPSP4vXGl4tRE
CIFX6JtBCG/uMO3F4KMzAqc43yzj/Ms9HjcjeUE64Jf6cpdFnBfP+ZfnHGz2M3AKONHxZkojzovp
eIRTDf8lOdQl/dEUy3IJ8uXY91F4n28Gdx3YcKc307vFafVNizzaYcyuT4SuMxbN7dpcUUwzTcYg
eaS632KpcKnlX976QFULn72F5Y4+l3BvUMzx4piLT12C5phKwtVKNrseoVuy1wMJEblR8b6p+gDr
StRn+svuLx09Qh4S2RxHWL+ncEK1wBcjMNecYAGLkmcgeHRnvexPDtTTYabFXGRxZcFFlOYSI5j8
g+Ur4lxFqzElgksYlqA6tkz7U/SFLUwbwTBXAG3GCcmBuiPBSbpW/cRIDRy2UPmjRbwny6nr9oVN
qjMb2vynj2KLybzLz9OUUxxMa9Se2o2uAGgNN8EYYAsUROVNTsL+Ho9FhTMgeiu/SA00qTR7J0cc
4hvIIQZ0AuF7hMQlEmYKp0NvWAl2AC5bSwp/QgcKwPCNDOk2RgSzJoggERTgxkZ/sH04Y55dWywW
ziPYp8xzK3v75izaZfjs7pZIPkRiUaibAZ4itB5fug1ZsRu8EjsN0SduVtBOFL0Vy3KO82lIl416
2fCXdQNhkKgiRwkGqoab81hUyEpDvijQSiLUDd9gGjEgH10E3O/shtpEG3SDNB6/xiR2Ab34HAT+
c2IChE60wTqglCCUbABPjdxK5F2Fv7J6DZfulW+wT84grtgNAOrF6M/gKYoXu+FB4H0QTa/QTPJz
+OKH5GTZ9yH5FW1oUYhAYI/xDcBRGDTuCc+xZjil7RXac+xZYEX9FW2wktqwpWnjl9bAn82GNEEm
FCllHumbDXgaN/SJRCN5WCQFq7+BUfWGSEG1x6jDN3DKAS94ymnnn7Y3SM9uvQrseN0IDg0twO0e
4g7ALxd7yfx6YzyQetQH3SUWlINcgiBl+MBERvCeHCZTR0i/4pRFS9Z8XtFXgYxjRU8aWw4YQDwP
ru0kzLep+r3YoMyqsKoOYMbNKerhzGucCikbmhWKXrgekAAJ9wNpgZIRmh96mIZSivVUmi3A3wzy
ZetIqHqD9hUzquSaygCFJcZssXLWnkE/os9ooMHZc1CgCs7ZnsNTzwwCrheRD815ArGyY62k2FdY
vA9Qe7NnzRwAmE2SW6XjaMdzDy+/0vxENBfpSpb5dl0VA69iuw5sQhm+F23iUm00eLwoLk7YrCC4
s2E6iLq90U27bqCTzxanr7yd+l88wFyc/u/VY/pSqB1C8nbJkep1BBgMgiwIuVYGfG005YdgFet+
4Aih6Bm3aFGareKiiRFnrheEn3NYDTrp1wctu+Gewv58xfz5htYQKNU2h9KBz/t6tvLV2yJJuUtw
FxiMrnHUlFeN0RkOPHHVVnH9mCweu9XI0bCzq9E6INKa5P567QpzK0uRXBzCQTtskCUICcgHrZjH
bw0HnWEgQ/xGoAHfGlokb36FCRvGiXvM61wdh6YI74Hiqz7FkXHwBeOof1qW6WZY7fi9nB17RmAq
x2pmWpAEo/tAY9ZyVFEIVgZPE4bhiA7PzmkwHJinEKGYd3W0jAe3xh+kkL8hweLdqCIzHusq4lfB
DF6TlQqNQDYa1e5Lgf0frP/vsP4Q1k0MC+D/jfWffo/j7z+anPG//sw/bU6U4qEOD/+IzYKDpfkv
il/+A19fSRO+Fd0hPBBCff+XzQlvlEcM2aOYo00v4tDD/2lzsuQfsEwRo+TwKSRFKcF/h+KHGfVX
iR++kIRNtNlVjMHx+LOyjmOvVNYDciTbIq3KrtvbTmJ4mX2QPJoVMiiUj99IlzR7GoNjQe9LlQ8o
jmuTxNw5hNguCKyfI8iBBz7NQGIrNR58r93Od6Xdw3Ncb4AQoeLMqgbbqZ0xfAO3vTDXv0wQEC+m
Asw8dk3wVKjqx0wGAP9l8uGV6H6Pxpxko8Vek9oewjZszpDX3Lg1rhR7TEu7JFRiL4iff05hwM8K
3tvOBuuV6kJ/HGcgt/2qSIsUVPh7DfVP4tzDzLGzhv2M7U7PyXQmBoMFzl+HfpW2P6thia77EaIt
i5f4BhQgerrKBr+bSQiYX715gQqnQ20lEOR6Uecwqe3OlQqioXtG34+HeVb3J/g36Gmp5HQaLVl+
h1uhnkerE5zSML5iK7pQqoKAsqtK8lqURO3EQhoA4TOYCozFsFUnIHlQ+VKBSbkZEnsX4brcYygV
19il0X1AqP8UoC6zZvxe5P7nEjcdMvjgy1YYRXdC1cE+YXx5QQzWfcocGt1a6VNB6+Qk4b3dgWJX
nz7BcSWh42RODYA86sZmqLQ46MCbjzWqkgfFFDlVQG/uBAdVVdsJZUHxqjGnR2jr4AXv703so8Oy
WUZoacxPuY7Wtxb4pt4ZKELQ65rZHb1Qza+CD3qP41xdyoaVOwsFEEiyLO8LvOfIHKpyp0uNAEhc
QpVJ+HalOllDYvHDqYj88ECiXB48bTUYOUG/dwqiSNQ4DfyXuw8439NRQXEQbXw/IVF4IDGBfrYB
2maqAc3nxN/kCzR27HQ9bIaWX1kx9YhyDPQxboR5ylm93mLESw5FmWwQjxb3SPEWh76NzJMcw+go
+rW67uJO3MfQAPBJYf+rVvQW5kv0mgfoFLRmkSc8n69KQ0/Gc4tBLo3DqLxLdKd2gLjMIRqGb6Th
ANQVJ3f14i16o1p+GpDVv7K9K/Zelb1O+60dIMpbwJCjWHYJyKYX2ZsJRSPJkaJaABE5je4TlMNA
RDsWmo7ZshURyK2SIPlqJwha1DyUcBbu64Xf9ZLmW5Bs+o5yPwDwFINE0bQ/QNcjY+g6jDxBVz61
IfosjB38foG7tPeoBDsgnX82ZW2QLwua27ZOMlIxsPgtxBhFAPu2bgLSWOVHNUp1j/6Ca4A/Jitr
dOaora5hnmSZeY+Zv5n7g0anA6m74ViXJWrjUFJz7n1rjwj/IF/bYZdN5dYOARJ4uQjWo/GIQaZo
O4+an2I2p5aJ52lrmCj75XuxbqUTEHFRQAGxn5zqIBFvsCLqY7hGZUqD3u1GlFdUEF12ZY4+ixLF
FhIyJFyjUMbnxsHnQPla+QaZ7hM6CzJDWzsG1onLhNkwRV9eeZ83PbgzN9CsnfL6tHy1a5Rb0YbY
KjeEIWjfaGqU9EgOYShe9GdYKLP3W1WH/2rtWL8aPHoIBDlRJ21Qj4BvD2o+lnB9YNz7tFGwGdcQ
k1K8FYOUXx0hyvOHmtsCs9hWIcK7Ok8HAe+xR78IKFDMn3GNdEqFw2jcakgSNT72aMfD/lH2gP+6
ME1QmvINwx+2JxeplyLwLTT3jpEz2SpPyq37JG5RnfXVhxJu1Sg+cvbabHUpw9Ka3WBRfciqX+FW
qRLbJUG32LISXJuR37sZxYkAH9QeMjMOla9qFl5jAJ66axarnc/1hpHP8BvxaeFdrG7JVvESb3YR
NLM8XWGkIqQF5XrzVgsGlzUOq/HSuBX1YAu+yIWEG9vHn9WCzrYKkEGabI6tdn2Wbx5utXR8J2Hr
jpu/28DoFZvjO23eL91c4L6PkQHenOFmhRdU1hP/hURt+LOKo/xdb16y3lzlavOX2eY0+wkpgbxb
PhlMaLpoehsEAmU7cpjyz3WbeWtA6e085JnZ5mGJwbhuoYNX26xcdKpERnibnynwYL/N1KqvO8yD
26BNtpkbAz6qZ7c5vIHBfh5ZydDkhikd/n2AzXdRe7Tjouguzmk6bnM9lpXmjEjUcGHb1E9QOLgX
OTO7ddsJ/oO9M1mSG8my7K/0DyBEAcW4NYPNZm7m5iO5gTjdSczzrF9fB6zMkqiI6upK6UVvepMS
lGQEnTZA9d1377k5kMLLtMwJkRp6v8oJzDTLFJH8HigqRgvyc85r5gBQxXKDmRCcqgFaA4Ny063F
Mp1gYlLbypIKUtoyuyxTTNgzz9gR8vY4RvFaAbf5KsyA0VsTk18vs1CwTEVoRUw2y6QULDNTv0xP
eFfC7Zh1ib12l+mK7/281hi4yEMJgnululRzSzqwA9ZoLhOaAwYOIKNnnTgAcf070xNrVeuJS338
7gb8ElIqgZnaDn0TDtjP+XeextJHcuwB49nGsTP3EjtMl67TlC89k+2prApuCRWueDtwsTrqWnEQ
rNSNJchDJpAjI5h0JvioIhy8RH4gg5a4oLnIT0sgyFqiQWG7hIS0tvveLsGhNrBjzEiEidolVpQu
AaOJpJGK4yVzNCb4OCFF5et0CSUlSzxJLkEldlFqNS7hpWaJMeVO5Pm6SbRJT8NmzVWSvBPqMtmn
8ncOKgzTwcYRSjyqdav527REpnqocG9tVlabcglUBcGQX2orJmVVjyZ8om4JX2kjMSyyeWQz1DRv
R70o/CAPyGuROtVO+e8QF2kutcS6jLqt96nBUD0Q+cLnFX9ib9vLQi/3sWj0XbVExNwo0gkKxeTG
1BIhw/mkIdITKxs78vXlQNRsFibPGNWk91RlxmUciaSBlUNizyuIZEtgjfA82TV7ibGx+SbRZi/h
NhF50VEn71YtwTe2sfLe/A7DlXMB7HV6KZagXNDgXuuTAMhr2jVLkC7VtmExSr+t+wh1cdlr5Hm4
y4eECyRhPISoVxDLPXGUcmBvodXeOcghS5cNh2z0O9PnNcT78NeNm3zSm8kPjJbogmkOPFLJTwA0
/Z0Q1H+nBWHtsAHuOxI6tjQsjCNGZe9kToY/17WPQQT6QfW6BnNZYR+X+ZOIoOaVzhS+pKYGJrJJ
DzO4rvegjp/tNkhIZmn2eZJ5wHbWRDfiKN80nj0uq2l3V00pBMvc4HHfRnm1UoNu7UcrhAyQJPm+
tWAVdHU6r5nBw2vO/xwGNnmrIs2iS4WP+doadvqk2AM+uKUbPnrYOlCXx/SYcc3CKmI/JnZV4Euo
Y3GOtCHZ8ry8G2XEOnYMXI7/vEBMmctz7hE5nyAJraxC7vpKkGInbbfHqf4tMMG/WiofrpYt1I+w
JF+axzn7aNt+aZdDriBWjAxssY0fzGzj4WnRvMn1u2DqHosKQczsjjneJ6w3IApUPNWfXtwbh561
/q4xdVzIPE4GFlybKImMh7qb5CrQcvtcFoNz70P7efR64pIj/9V5Rm8v2vG718Z7ZVh3q8/CVStI
ljnuKU7YEYGMgPLUk7Z0c3IInbSfOL8V93S04QlrQX7IsKUcPFM1V1FHJAbxHZQbfMxVtDKHPL9z
KoibmOs03HRhox8zmQ9QCrB8Mj6E3zr+I+egViB2jfR7Fw1AuHNhJwH8mAWgG+lVeXVqZTxwxZQH
tuT6q+FqBP06nXvMoAvf5l64mYIhuNth0DzXSRUfQreXR24WGj6HOf7phh73aK2P7kNfwf7sh444
FqEHYGcOMee0qYNbbBFAWBmj1i2R1/qI8LWVvZ7eED24hXjxMfKc/pHgTLHVsMhsOl3p1yjr+qPS
F5lQH/jeqkBjWcfIQYpF6H7eYIdR8VD97HhY+AZBroLQUj74CtOBH0ryDCA1H/GazT89zjmV4X+v
a5vkZuZEhJyCH95k7bu4ZPs7ZvkNlwrENSuyzl0SqpUFz2oVteRcFHtMn71G1XBvcJJ9HI7Lh2Ry
+u9eQqxJSe73EwrJzhLRaxXxKHUzeZeha26QfWyyApb2raqg4eHT4xaaVPh12lh3n/RWim3ilBIj
/Qz9RQEek55ePGX1oN61qmSRIx04jXPs+lXJLt6cMnlig9BuM4AYXCtTSJj5j3I2u8f/r8/8T5zo
LhEUx8BT+r/XZy4/P9PsZ/Gjb8Lf2IX/BYfpZ/NR/BW98I//0D9EG/MPUzANe1zzcVSaFu7vf0cv
6ALXuukAs3KEbWDX5P/5p2hj/mG7OCUxszoCFhKe339a0+UfONwRWAT0K5cnvvuvaDZ/Nxc7WFMl
1mdODmH8zSeqssl2BkaDdYbRxKzC+dIMc4KOqQj7xpnDUTiSSE1IFjZszrN4ePjTK/hfucr/Zsd0
hOXYixHKE2C67MX+/CdfaMaljIBqpNalcGEPB5679cL01gpSdRoLxbV02twPxbKPp28Bcx2mQWKF
azMorGPF2PqrndVTOZU3NQ7Ps23edIsUyaClxTXDTlMbxhvDwEHkCCTwhCag8Aq3oVsk2g8IrCj9
IjfRhWEc/Pd/t8WZ/Z8sr7yvKGKGMAUblN9y3Z//agNTRYjVHebzrPfrTFlvGftBvAzMh//9n/Q3
5Y0/SSf7IIVjE3Iw/vIiKkNjxVEtbgJdwKbgzsAdIk0wviw2iaY214Mrdpq7fJL/4/P/X7x7SIV/
+0tyOeaT4+k6CR/evr/YaXVc/p1m6mTo2R09KCOaDlKUA1CfgcesYc5bz85btaZmoPYDV3zvms45
1e0pdOoGSrCqXhWrwRWqWc7rMymCVkwlXqqzlBuAG4rgl5TTT10BYC/0dNjYA7lCzFWrxG0BAi+8
fUT8/mTK6pxXJXECjZNCurNxTFqRHR3was9xh/at1wB5izOeT2ATVm5Bw8nKrQEBqbIXLnojMfsF
8qKCgS1yo+N6rdrqAeXAOM1m8lYiHKxsyTN/PZC82DqpVEfbG5fVGna2QcobW4k1SbQT3/f8lLnE
HlKuHmJuWuhGoGCD0nkpybwRLuwSv6iLT2tMWxRJ9zyHeXI2JET4MomSg82+fl2k7PiT2bs5y8wL
MiJ+KM3sWhWt8TYg+V48XpdbMPVvY10a58iWPqQ0ua7GqNkos5l+hL1bo18WW8pZHkTqcsYt4PEv
QFwsi4LuaR7sdK/p9rGC6/oki6oMd6IAu6VUU4PKdhs/y5DDFB6pd8+awouTMPuWeeTsWnwZYCYT
BU7fOk09iiQpgXYFq/e5ytvyRTOZGABj4I7LHL3aGph1WnN0/dFpmkeWvPKJPanrIweqlQxw20Hg
7LUfMRuoo1lxR4frB+QotjCz4Nxs1m5g4w6y2Mkdu17Ku4ujweQcRcHtqbzYRI1d8lho9JUIm+o5
GZ345DZjicshZhCBdybvwkVoxA8jdvhuY4cUc1VM/P7CObbaMO7CzMIX4mCwUUmqdqE3hV+ZNTyw
zXVfKrQOXsNU2BfMHT1TkF6hodbm9H2WVYlPo0GlcefqVlEAcJjw4i9pXHDMeYBlNNYtIAR2yUex
1WS2wQhBiYnVtzuQ/MKXZMv3HtInykOrj9vaMRhDFC4J087jI/yqdmdmzPwu261VGeEbFzk8f8y6
5rbPAIPAguunX1XpAOgntqp/b8JZvFkk+W5z23mPo8C/R9JZX9dG0n600sCYXFHysapM8G3GiAI9
sWh/Kmq+cZDDCFRUwXdFtJv3OgT3aUTaD8diIhfoxRgt7Mn9CsE9+8DFsm2dY1QqkxAzjDN9xW7A
L0MZxpu8E3vEBQ8gd4E/Zwh8M1SPSf/DyOPmjAgSE747yxIrd8O6I1rDfk2NlQG24Zwhdq+SdpCr
IbfVCnuOOixQhS+vcYKvwUnJ42qROhhQo8t1JKPu2ZtKOIuxTZDUttKto2bxWhtTsGujMnmMrYzb
pdQ6bUJedZOd0qrIBzxUPrONRENvk19dGC7XNgLZW5SxRCLqhT9s00r3bc30RdMBvHWh619uZ3Y3
kiDtpjfKl+WMXwPMU7tRe3In+5AKPjDYOJJNqxEk9Wp2yEY8cK+EwbP2Qse+TvmoNysA20x5jXyN
2OkXo/uuiFSsWx4JJxbR41dcdd4PJ6tTYvkNJ6AkbK/lBr/XhKinS5ysWRdH34o2QQvK+rmir4dV
pcy8nBmw0z4nBHk88t30lUzR+DNpQM01UdEJf+618JhDDF9gOE6kMUFixrQnoW3cBso6UWPWMeJN
4nHeFlxMsco2LYx4134tag9etdaFxkOQT8APzOZtALuK/aK745QEhqcxsMyNl6/1QTuPbfJEaC1k
PB6T3Zx6X/0cvBYBn2NdEfM2wjbfsNJ9Mx33FkaImyUs7FVe8hSdTeLdBmrvtiNatp/TuMVbnAzo
NHV6FUFCSsHV8m1NVcWpgBHxREL/3nrBTS7FAq0Njr/uZv3chW20VilFHvlUvHamAYCg7o5Z0F9t
zblUfP8BFmS7Csj9xtTsaT2z3z6Fc3krOIrXkeo0v+BlOYyaDaUZynAaLPy4PvkKVfQinTL0NaTN
qRmZXlIvOwZ6ADmt0bFXGcFA6UFllHvD0bapEcV+msac0yEjJjs27PfCzpBerYcoowEKK0T6wOrr
g0SjhnKbMlpVnOvlUD/PmDX8bggvAXPaPYVOczDb6A7BFymhq/ozZQ/622A12U0FGGqxB8pDk/Bc
Xz73Hi4QrFPqmC1wzXkmV5y7GMLdvG5gA+Eu9krsUvGkfwKnl29hLTP4jjir0fiiVV8G8jGvUEM8
0T1H9jCvpwr7qi4oashMFjGdxgaDNf9uosdl4zHa1YypdGG1nQ+hxDrEppavHJbqm6lDcB/oE9AK
GCgeFJNjnJguiw05nrLGuhtJgruhVMhQeGR9hd5JjNvLt6TPx33M67ieJsGDz3SLtUwBUZtyyH8O
YYupblD0cCRuuA3nGcYOPR8Tm40jwP+rBaMGLmUZ+7y8PNJCZ2dGICzLxRyczuMZZxhcSkROv4sn
rOY99Bw/mUVxttzYuJRm8Nvulq3C1mQ/aNcvaaZ/zDwUcymby9AP/Q/QXQKYU92KOzhmwhB8gfRP
oQXtxUs8+4qgohHWgiVPnU5EeBuvuudtip7xFHi/7QJjrtw68uPY8DFMgTF0vci6eqycSFbElgFN
Og6yK0EYw0Igm43HUdoWW7hAXztBb60s1P6eSdTejiXh8VgHJ93RlFHTvrWyp571QpXvTf71k8aK
4XVhVb7DXusfRyghzdbMXPujDsrKTxqrP8xqrtcQX16SsUcdxFc+sRVMCfvgnNh0gMCfi5kndxG5
D5oODd5DJ93kILj8pvZ+NVNd7jk5YmJB6u6GMKvrXsmN2aXwk9WDVi9pbuRQNqnv3VjsIpQSpCmb
Y0DGv8xKDreysLolqkKngj3bb5bNPS/MUmdNl0rg10P4GLXZayxm5Xs2W89aqBNMBzCLTYlb35Rz
64+985JNcEVHUx9WNrrzHuUMCd5CjG/gilpeKTfUsOC4scv1iDBfS/3LUPlP/PzPfea9EWafeCxh
emTvPO3cbLx4RXjtgwzEUGqBZ9e/FwAdCfnKZf+QG9uWp+13VhJAssF4VlA5j2FoGixeDIzxRUhE
LfRg1GqjVxzmvs/OqHDVr7hXNBQkorkGUdOdg0Rf+sdIJL1aRtLjjyq6ErOIvhDCU9eJLlwhqgOh
rQi9uhXnRNe7Q2HrmPi9SJyMPnniLhiwRUs8Z6WXnMuTUYtbaC+8oq6s5SGn3OYwgPe4syjPXt2p
hkuHv8qm0czoui/OrYyOqV5ttGLM3ohz0PukEcqROau+NMNVqIVkOiwv877bS/EEIh0X5a4cFaVU
c16/12Zn7pAM2aZ5QVkfHE6r80j53TXCLA1sNlT7NB3NkybC4BtVN9BMkkG74vzGS1jAZJuImu2s
AUofMN8ExlkecyuL4w2LuY5qGSWBJBEJ9aaxPjqV255KPZ5u7Nrj96hMjd1YBc57KMUEXyXRjp6K
jLc8TatLbIbjzmuJWGM+G4J5JYoe1UkQFPSDEnowlst0J0IE3VLkLG5dQKkDPiWMu6jdiPWgx+Gq
KL+yGqH8rrWba2+Y5h6Dd/2MvEztWGuE50Kx+VpbSdLuZqNI8aQ63ZlQjlg7E3T/uYsA4ijpjOwz
pPOZIpz7BmE36vACd53akzpjbpyf7ZgyD8/gtAXtaQ3rGP/CYZwFvsqoqJ/w15Z7RUh21WEneNW6
5FVGvfbSWOpVTxU+pcA2HJhco9Zkay2w65tVxo5v1f1bMNfTWdO15N7VngMl0G5Rc015DivsHj2O
tA21NgUg+HjYm0bT7TLVuz+GEpeeGKK3pnBSvzftlh2xq+8CnKI7LKMZ3wb12lGD8FD2TbPvrNb4
Mc/TR5sFqJOGO9JE48y4cVdBntGumPexvCdT0N3CFATOqPWZbxLtPKly/F7mPASwieL2sqDLFyF0
pKqm4Qt7plbsA62EIdia0CSatO++VAjzRuJV39fQTimZqqh1MC0x32qRtH4ewvqi6qJ0f7ZdXKyT
xfTmZemTbpAwWE25yN7GOTh52UDWl9GsfukD763mMCL1RrwUwK8Oz8RIk4E52MKzb8c1R2wdzO6u
JPp/n5Eg+Evg6zhELKJXjZT2zsrn9CbbHLKwwsH3IsqGdXJvMFCs7MZOuI5V4bOTmeFhgsDre1Bz
vse521+juiFlJ8EMYQ8u8ocsj1jxEB3LKj9rxukb5RByg1IbbWnjYWPNgforJNH5K6iBm6zyZZjc
WiNRLtMwiyMi9wQtsesZZIZAveJ7iC91q+OfcTK+613cGocwFY3Pl0Dq1wHJP9qqJuzJfwIA6yF8
bNsyYVLn2Z19Zy9e4XFIpvuMVec8JV3/YuI2/Q73rtH3ZuRQn1hJi89NaDn0p4im4GvlKZoZ+zEH
lulJFqjLIrHl4TRrXDc8w94aWuPSTMl9A+ZI9eC6sEr8uHerX6kFOXSkAKqAs6mZ351ZmhgKE1zX
Nly1icMSiOhCxEckJhQ0bBwXKua6gveMYER09eckM8mNnU9jnAzFT5CMOce07mbHqMeTJwjNxY+0
RIh4Ewa9t29Q/LnqpAnWVhZvzJ+2F651PrOnLMr0z4HeoZsxFcVDYDFv+zXL1IflK34eh7h4toI2
AFilL1tyb9IPTZ/XF+Fo9haLS35goUPYV3XqmtNAsw3zeOG3lCWJ4R7qb9Eo+2G0de66Vc6jQZTZ
ZVJaejaDbsN6KvML1tPndrmK1u403lOATGeKtaYdOQ7nHnWWSc+QJskcoVuAGeXGTHwMh01CdZ+j
LHeP7CV29EhKjuXA+gb8Gzd2iY3bbdp5X3S2epjcYd0OoX3g6dc/zDbCCSoNAbvGyfeeG8YnchDu
WjfoIyKBBapoefNMeHQHNXbmMx5K71B2Uh3mgdVJTxD00Gdm/jBTCLWpMWNtgFL3b5jEF/w2Zkca
xQKqe9RtrjxJbU3F9Q02FdNQLSNoaZgXzhNUOG2Dh7NKtpY1sBBKO14ZO2SpOpRV5cc5/5jKHJEg
TqJHs4qTW9jUCD5DMe3aOK7eEZwYRmeEjvXEifssXVppVuzg9cfa0o0TXzX1ZRH5eU1GrFirYDQN
zmZV2D5kUg+AtLJ/ZFG6iCUkN8HomZOHEpYpkkUYqai8LEb9gjlK+rx5RDu1pN12Bi0nXQzziHU3
4TPwROrUWqZW+mXNBcEIZL+hMc+C1Cpi9dwawfTEVTh6NvtlC0rcqvsMeoMLZupOxqMBmWQvYszP
VFQpAgIarLF4jutTo0xu28YSfoyUQSTtdyQSgk+zjZacJJdJbU+yg5FzCDWHjESVPouCyG2fxCxF
xZCuxyV5iWbIqGCVXvKo48t6S/phWjMmL3HNVnyUS4ITJ1xCByypzv53wHP6HfbU6t7+1iwJULVk
Qb0lFdqV9nhhm8f0t2RGSXI9kRElhmnJaxYSiSdpr93VkjUFlwFxb8IjRYTKdurX39Lnv+Rj/Z+V
dPzftH0sP87nn2pE/vHj/T8t8tBNC2rEn4Ti5af5T43Rf8f10Nfw7//SP5Yi1h+0FljsPnCeegt8
5z+WIjp90bpteg4ZCcM2bfTmfy5FcLKy8WAitAwgWIb8E7BH/IHObgjbXVYIBquRf2Ur8lc1HYaQ
g0/WcV3qPJDV/8Lt4JFGjQci1Vp7wD7EgpHJlMSG3f8fVHt+xL+q58sfZVq0mXhSl0Iu+6c/rwg8
r4kSb4wKWiCWkgaJgF6u9UZwOKfrQdR319aetb71e+hYlSJN2IbGL2pQMnLcclvUMKNTUT+FurdR
VU4dW/hk4XFw5PgxOrVOX+Im0LgVFe9Y3kkuu8aeWqZDW003zZwejbnlG6uTk+wpdJveq+nAOdpN
28EyPu3aYGDsLyV3fgICmEQybdub5CUDzxrXQ6td8cqQPg7dpyjiIRA2jY/utS69B97Txxzo7UaI
bOlfSA6ZZ65rd1F1x12S1zs2w8fUSgSIoGYza+GBDDIbaIksWW742XZGV++yiOijoI6sesojCHE1
K1NDBGt37vCwPORhddPSBXgdEJ5JbOcA9hBSWvTTHG2/0Pjn6t0UhFKAIXB+P9ZNdFem/enoDP/h
h2aUV0PGVzpX/HLCuQD4DxAAeWIyBx1kh8L88oS3qjG1wXJ55fJybWB0DjI8u3Z0Q7LhergwQgqd
vJ73MIfVa5V8GANFQ/zGty6VHPnJHafXoxcEgAkb91jaXI0n42STSzQ+zLn7yszXFlNdPVdfDbsB
6lMPWjjg3x9pQoZpN636uhfcu9mlm/b8GZTeYxaEM3WW8Vkh6q3iAGMZqcjVMKrriEeMltb5DZWG
QIRhb4RJ4yYNzqKfNhlIjYtyNLZ55UPbbBoqO1f1DPfT8YwPWRVrruY3rvPgQLXx0dDSX1br+N5o
Qw7tuHUZ3tVy5VFQ5Q7cU5h3wlnrtKr3QwEKNihiDNOa+c5Iqq0t8vpQ44L8ly23gItXc/4alDe2
U1QnfOhAEArk/KW2Smq0veYqQz2RA5SpgY5vMqf21YlbGOo9Fucq3nTp0J40RQTKzcJr1YQ3MizH
tpy7LfiJcq04ebAifGsibTMz9GLp9LPpPeLjVX22Q/facQFKTD+VW9N4huWaYjdK510acHA25yFR
j4P1KpBnViZ+DlNYaLOtXxevbflz6nzujSurfveI19gkeA/TiKocZNSluVz+B4qE++pLT2gEfHcs
bw2D5hrkx8LGxCzXwjXoT9w57REdvq5O1Yg38ArdasW3Z9fr7L1IrJoUylLw5bUbRZS5LE2cNpgO
na88QfFXNO72wVcxcjNTpHcKCcnIvUAkPzoDl3YsqMRrLNAt/XDANXv3Sm/TJsV7OpYXFiGooziq
m7hA4MoeCJi9ZZL+lthOXLYoQ01Ulh6vOKHhS/KrBZ1bgver8AnT1fcigYXceZ+NtZ1pOy93AO+5
Y7Ar26Hyp8nYpZriuWTGL8iHT0xTBKgR4fTe1/t3L7toAT7p567dsGFYHBj5oXDCrWfNQNWN6kwo
FzDGsWGtIe34uySDYjkvAVHRxPxhjse0/Krnj75iPMeAOgXZj2HCsW+mW0sR4VHFM7a312raj/qL
IIl64OWsV4IB3ExfUHE6H/aoinqC7S0D1a808C5tR3FeTggLG/0qwFTIshXLTUovZfkYATONE66u
7T0dk6eY5lkXeKHQ4iOT0UoM9c7ushXvilL0ZSTVIdfldkj1lSahjVfii5Q3j7D3ar4R8l32SxcX
nluYPeE2x25CQ+JSTYcdysg6el35ads7oMq1HOWxAeEj5adpQfIpKHQjMukFlLayeDD4dJLG2iw8
hWzqSCvr+0BdxpYFt5mwzXIZ5IJef0ynfFvNI2vgEDzuMwu5i0dbqttXv6yRouDZODHvHWUdHAnY
2b7lLPYfcUq0GvbK8CRbPohl+8pebtcx6LgY6zRqdhz6MXm6E9GMyd0V1ToMv3nx19DKcYMLlWhF
wWZFsQlhK4hUkvtzwm5heKU/ZY1j+rvbSHdrTi0Z3hp1beLZBlwX/5l+gRK3GQHgzubse9ywEcBF
Z+lXQpSHyQ4/RYxOFJifONw3Q1k+4ajcxRNvPGsPEnvxmubsS+u6K9UWJ8BfKygABCx6UtlA3mSs
P0RteZxs41aHjw2S26gR22tBlKKOlr334XhFTUkr+U4glSjVRx08BdEw0VyobNlMrEE3lKAe4kia
58kmcoisLUmirZt6JMhglofOLeSHsn8C0/2QSLdh+TD39DcuOF+HlSXtxrNRHcF7r8q884NR24FL
3Qxx+DXkoYVjWVnfZIX8lpDODIzHLvHI/osdBulStyhCYh6RmbYi9Yca1/YPbKbbo9m3ZBValgTQ
Odp21ZRV/5RD2HrMHOPDa71jzrY9IXUKgyl9HAOhHWVkm8CqynsjeWua/nEeyOP3yroydvldw8PO
bdYOZXzpPN+haiTOzGc/Es4T/AZrT/vvL+aB0J/GRREpgmHa1hN+rHGu86eMqeGx1hCUtJTOJx2Q
OuJ/d2zpazVKd0ukfdVZE+Ufzgc7CsLdrWrZmPWBm9+mRjgLtgh/nKxmvgYkfQ5J95ucwIewCCau
Rj+lc+3VRbr1Vo8ukueXre8Sm5zlfCQRcDcoQbznU42/G8pRjcE5zBg/8no9c2LS0OvXooR6Q2Ey
WR4RwiLE+S2r96ER6yDLDxbZ1Uh8jlO/qjAmg+V+8CommJHASJ0l1xzFdhNjV2eiO7sJ3Qn2/GPM
mmPdoSG0kinVfencfhvgBCUschlh6yQT5VLFxEBZeWtHeP1qtvMbgZeVhmALHukxUO29mVhDmNob
Mtw2m9OnyVhCjNPEFzn1Ww9ZrG7pdXBxwqwqNz5z6lYXAH0GrRiBPzh8B7A1GLX97CHhebI+1xjX
8CEYKFl07QZD/+RklGiZr/SZFSujDRrMyuWDaMSjiSeGv2d8NbxNRZacOmRfaOOIMuBrDryIzLeN
4kXOGTlWii1t7a0Gu/USG7O2nwAjfzrsVcmV5/Nbrr9RN3Qw2RzqlWU+dzSLnQAb5h+WJUHkDG+V
7N/7JnrrBhLHLBQLkgtsnHPvYIl7wTeeERcfgtkD2sDlH7irSf9J66MJrKh6bGpE/2TSSazTE03E
BoURVQDsmbnLl9vrCLINEPFbCPA3p9Y8dfddlD6mkC3ap6nfd9lRkX4ZMp65/XxESd0Qg6ZaesKs
54aQK8pxLydnZahwr0fOitzrnfTtbgmvOS1OG0HgQVPOW23ZR8EK/wAdRK1sYATltMPj+VS52jMy
nbca6+EWDF60IvdfXSBGhQUZMophUrNAi2xACwcOfvoEX2XI11+j40HE1BCjvO/1Rnuo3Opnk5lv
hp2tSGGttDp8kywCnHrZ13MRYK/uVs0PPZh9STKVKcOhqGvwjm2TL6WY+nMXGE/a4igeJC7gFgdz
aou3Ms6ICelpfwgd2gyApOJOcYrOz8a4voEubrH/2t5bmkl+h/3M6m+txxgneqs7BA5Xc5XknzJx
y3e9HymXLo4WWJcbrWacRzwgE/OFrCrVbrFxtqWzcfJlYfMwFWCMFQ9DDbuHk861P8DD91Wo/+Dz
/dqH85XG0k2dPuMHI2FS3Z1+8B5aIda6lHLVRkHGGilaEfMtmJL4tlgnc3is4SaMbXtoMKKUnXHH
wcIXrXenSzib/Y924iM1hIWvyDQl4MhVQQSQ1Hi+LdgUs/lI1l7qCWzLNIEPQVnSf1wAKWycepen
PPN6lZYnesKGbSvcT7CsapW19LUR9tk2lefjR823lpH325yy5qg/ufiFiNRcMMBk2ZWuuD2V2ye3
ZI0fJ3QKnY2+3NGaTFWDQVy3utp8o4i9XWLrNgjhl1L6AfOLyFKIsJvUCP0QeRkOxLfE7daZGF4V
6svcjJBDsGOXve1PymS/Jwz9lAx81Ic4OPfGe/v7w0y4h5fsEdeKpPp0IrSVc/SqnNEgCvXiNCmE
ztZMq71shIskNgO8i9aEbMib6PlaZFG0ISoFZ8Tsgp01YcoybFb+15jOd0iK9clTb95g/opZqxLg
uJLpyy74Aohsj5qx67x8M1AQtHLNaM9tsryCzXQxuFb4aAhorvQWloZdoS+Duy+AnugnEPh+0jU4
cLUU7pFLl8ZYOJsFOZaGxTeb5cugqnsRv7ULHJ9NxFFW2APZHIuo5U7evsy1gDlYO4fIMJ6nIV7Z
PJTN5U/qbeDd3NfrokyBl1WpXwb6K55IyuJL8hdhS5tUWVbBm7TM+HWEOM+QA+4dAkCxXP68NY52
54YRboeXTN+NUWAcMEE3hD/iYXiGk42T0aXTNs1IKLayv1hdTrwSf4EIvgm79vZaY+J2qkZK6MH6
7yoT9BOFUCb4swh0D9iYvVZRgRSl8ltlxuw/g8A82eBEIsJ8lIkaixbbyBgCOjB2FhotORaCk1AJ
Gv0zcu1iHZV2/DiADF+Zld58YDtNr4mmh/lq0rg9MUsyzGvs2qKqDjejIV+wwOXPwRB7F3ckxEGv
znwExmHvq6TBCG7WpAFCDlCqHbQbzk5zsaE4n+LfeDuz3UiW81q/y7l2CDkPwLEuah5ZRVZxvEmw
m82cx8jI6enPl20deW9bsCEYMCAI2titJqsqK+If1vqWKbwFVLFqHVtQWa2fMmiBeM2IfFmpt7Z2
eLAKkrpx8eC0hxK44F3FN2di20DCyr5YUqLntSdf8jk6iOAyGmhJSqfnpujJmBBmAJarHAJNIpNL
XXT4B6Xkx5YW5SPqKTQMLD8WFlaEFQP6dolvX91s3zZe9YytsObi6wg7I9vlMWGbaZa3e491zqbp
hffATg3ZOmgftSUoq92zwUVYllfRFo3hRAvJ+UL4fHjMa817VkWWfkjFSZ+22G/r2sPyCHh4m5uQ
OqwqeNFaBDUq5KoaNb+ZheYAkgACHrwuide9ihLyVVrmzFp1HotanXqBG2JhRXV5bIAobuOyy14h
NnjHsKIrUUNk801ym73u5cM73BPjmRM7X2FUGTf54KtjVmYpDgANtFmKvdCO9S+/JQOtLMtdXlve
XWaielWMbmaN6qcz2YSKNK6/VDJBC0NSxNlqw/5cBrOJaWqNtUENvNRc2RMPnhHErUfhInNyami4
OuTW5v06zceQR07r0TvwzkRXrRHxQ9hATB4LUrJ7IwEBw4CWjoR3xBU4fXhOxCvo9egpLZt+ZUNe
XlTcHQRedt4G0nR1ijLxkaQm4Tmwi3ZhV6WoJvWHsOcKWZYNeuU2ZWviw4W45hnG4wWNj7UODc/f
lRYfXQRUf0UdDtSuyXk9WprAS/G9rymGyl1lwbjHRjcePMXTU0fO8JOZ4VPkQQObHejn0TcJSoGb
xiSdxW/MAnWZO7UNmYPtChnxiyakaEZqelItqRNSb05GIX9kIBoXnFfErmhlsuOo6a5a5Z8VQW6f
ma5daKvsFfjR6aEAyaPZ0nrOCSk6ybHVMLj1z2Gfoe4wUqvfuhWOvdRrCYdkss8Q39EOZWiml1YL
OO+L/BEGMY9y62IcsKan0SwaHtDGv1WatJc1YWeP0EqJpIHGonVaRjRcmvJTkotfDNlKNxEnyim+
sEDkIfrteKj7cI/H+MNuzLudtvfejGCKJh7dfDrHc/nuu/SRz9LYHbQxStF2ipIfBa9nKNTKT8S9
lDFsymG8UXlU2zzrutds6h/aKCo2BBRUD7U8e1KRYzzYv4Tt6wTq8c3lhcdbIeB3djm4Npl3LA2G
cBdY2bvfGgFm3PLF0oyAvHANuU4VF2phhmh0G3ZaqxmUjSet1L78YvSOCe6jDAM99p+EJR+HV1gS
BJymz3llNfGccMK9qUhq87NtWQAO0nqMhGwg1mTLWvvOsJAtlJPcOBVuDLrlMwEf5O0qY58HHIZ8
34uLb3XvfMQ1CewG01lfJ4ZqeEa5ym0/3WndxHYgGxa97g1ylr1oOrNYQ6aawWb+68Rif+2WQAqd
GdjCqvcNVYvOPLLeEva3N/uJKXVRHJNSvyDLwB/ZcCcSx7aOjQI8nMGDHddfzpwQ4tGKYapdhnwP
uCsrboRIXyQ2w4BMgGJw+kkSt9NQtgzRKYi1PbGjLy3n1MopsyeH4nENOKBdjGV7jrywW0ZGceuc
GqkgJiChXNbFSSD3SV++knDCkM990K1ArLqUtzGLqLndGKlUKfaFqq454odFZ/f4hR12Z11g7qyc
qGwDKWjR57jz1K8iLtyHJCIKJeGoofLGjT7p6auTMwrvLQLpey8F+0qi7z5LWOVFoFLuakjOzhBZ
FBsBY2CsFStrEo+VbdyDhq4RoUC+BE/xzmn8xpXB50yNuQJIqFZNHxHfUxJwGPTEKOtNtEQFsQOA
ftUDOAnN4B9UL3ksrPjRMDq4iW16rJCYZPFY79C0k8ERS+8hKjp9w1xPbTkAb7Ghu+vSCG9DVu6E
iUg1lqzDyRkiLDlIX8sW+W7UnQ0myjFAgq51zl6L8880/N3YFeQrgbURMqMDIf2LHJD4qKLi6tf2
R6YNj7HqDypoPiZPyy+moCgvc/lUeGmKkIfgq9TQLnYcdrs+MZYWnLlA67LVUOmbPonZe2rBg/IK
wmCGDn0uhlxRxhv2itqKdJIe4/Dv/zVejLw8pa151PzkSev1n04+X+wCdkTaWeR35fawd5hx3GXC
QNn3COBIdLQIBnuGsS+OJKb9oj6gjasZo3UaDnpTkgSFqkaPoUASblPzFEkkFOCKgvAQFFg68U9N
m8Bn5Kr41MysJ2mGOiIchp63Ymb5+O4VkftW4I5zlIwW7eB5K3N0OIm/h95/owp9Mh1xFIH16bdT
TWJiXi1dhSPV9jYtgs7V0KBI9vOXwkq2GcumpaJDWg6WgoNnkseJzMG2X7U6lgTkxc5SeHBZ8VLu
+BYSb00zkeQ9euGsCdFCBl9NH88Pa/aoNJbVmY2auqrFchwq7KhOw5C1zn+ZsyYxGCoe4eqEmWUd
WvbNifxfnRguOqdn52qn2o72qcWZWVHWITo8wfPbE9i9Gfrps2C9tIz8bBWzjk/REEgebqnKdeAE
B8bB+QplxbBMJgcQAoGih9x0r2I0ok2VGFu+jDAvOTFbjPM3H2n+xkXEgAwQMbXLqj+jWAFWkbBJ
Kh7iqNUXbVa9dhUJPC7QgoWdgBdlMa+jczPeVYpU1G6Lm+Tqz8vLBLHqDg8PtMpECSTm3T9jCcb1
Ot4GJl82+26f6alBZjdEfgIO6vDDJTeLbzgs3VHSh2tnPSOOydRGf5c4qLAoZ/lxqra+TCB2OFT3
+US9lNek7E2AZCmFLq7LaEwpQCSBn4ZMcaAHhC5c56T8mcUuSZg6jcog1VekWBMUdcOoMXGf/V4/
TAaaRYbJEYcWDP02Nr7HVjKkCYJfBdGKsBDTmAG4tqsjjb1Lm33bNk7oeDT0TZ75d2U6ByciOhqJ
NjaVoqaFKV7y2SsZ9yGw0Nj91u0R20eJ5bC3fgibWEC8I9kCtfuzm+XpwY9+obqimWxbQL4NJ6Tu
eLj+iyzh1CwzRtyleUo0xCmLqpNymymKaI858ALgmmA41fTTq4PHJtGSVZZbhLMNtFjujuCDTQMt
WhfyUjvdm9vD4bfd9yLwj3GP/lpPfhi2f/bxf+mhvW/cHiIF1yCmldqiFZwlUhTtuYfJvdXKpcE2
p2ydS8W8e13kTXLNWAQm1ntgyqtRDsxTEmZdA0WZL/ZS9B+qkrcI7N4cKAaYjbBywr20jYfN1TWR
zKl92oYUrM0JVVv30BXlz7GKUkC1GMrdKxtkZll25z+7/ELDdI7b6l1ozWtWWgwvPfEgvBwveYHE
H/U5apMJVaWId2Smiee4K/T7P68G+J/s+f+45v/r9lf58Jn/kv/3T9v/v/75H+W//TN5J/8LYoCs
/EnCdDv+EU4FagpqlGEQujEHKjARxb/4d/PYf9IE7D7z2Tj53/4Nf0ddYWb3sc+xGcdDZ/9dIOD9
xZr3/IgG8LkhciLZ4v/rA8y/+A4+O/4dwtw5SfqPrklIVz7DAkwQrk6j9c/oA/7T1h76lj/jtnwm
Sw6/JC/8j1v7UOAtCDGOL2u7sVYRX/a8UPDUmpNnsoRQ5QUQ1mmKFVCGAAgrez4npVMH4OZkBBOk
ahuP0VYvvYOFQHjwzXeb3Oe+br8HO9hwX6ykaN+sjMHdH97zf2DY+61d+JMncf7M8Dg5jEUN05k9
p3/81XUyW4u84oYIiL2tSpri2jbZuYwlg4T+qXX9tRdVewc2FvWwgTPaX4xshGKWhuiIMCazBVxE
rFTiEJ8Y4yHhWrcJ/rX0puX8B2Ty7iY/vNDuENv/LSeLx58H+R/8/rOb8M+/vmei77AxJWFbJVPl
z7++QD44tINbLv0evJVkaTEs/+t3SP+HPwJ9K6JVNv0843/+ETYE2kZLAqroMNIWQ1ctEiP8jBiy
frlDQCj4qEOVJsmohUpfk97YVJTNk84yz3rMvOa/+cSc3z/wT69Z53XygnUTmYg/a1v+9JHJroPr
VuPrLK3xhxBVPa+POEGJK0hjdhqR9cXtcaLEqk7C4rLIBT6zccTD4zgbXb1G5ILQGW6ENxwCpuZG
Ru4CHgsjYwQSoYtgis/Uk3CcQYdpkT3mQwPTJ2iebSSgy9RLH20F9SGs0k2MXc4VDUr+mHGhV9pP
goFwJMJb2rG8jQxvl5njnm/jo43LEvTukmS7Ta9OXTcubKNbNFOxa5X8IGvjqyjij3o0f8ZjeK06
SDDt1hb5ClFptdDsiXLOwcxgvUd6tEnqYNsFZyPZj32yTx1yDjaaVu0Gn/hnnmfdWxGtWY3WNi3j
U18+2aW+wKNDrGflwT8wh6e67Z4zTR7w78OYxnywCGHOLcLWxWTRrm2FhjffWM0XyLR1BpMj9LmW
0o6tEwAsszsiKHgftW8+9q3ZhGx1AJ7xkADJWuvdNkKoLhzBmCNcOjoKApx/z7Q756TPDm1IXZLl
DAns8hXOCns2eWHqsnN6ECqJ8ZBn6cqs7pmW7BCEsaChEA5LEhQkluGuOITwruANb+HDXETcXMcE
CIyxj4iwXXRo7SeUFhwe/CckuQL93t0wgmXPH2rG9MAKbWv44YM7ID6cuf2oLNpjTsWGI9n1W4wQ
7WPXU2OygmanZa41Zx5clUegeztk+jklgo3PUNZwvPN3jFtPsGof0o5s69HnRAjYthWU6/a6Dm9O
v3e0S4nksAxvuVlRwhvXWBu8hSyGw5BnL1Bdwihes95ZTMCUAR4VRrQdLUK/y/pgG9pX44pjq7c7
C0avnxTHDuo0M1uGgAtjWHkSIIj7XFu/XIkMJa1v0u9WtolBVss3qqsOIYQT3u2NrMTW5PjVi7uC
KSibn4LR4BhzAAdA4ZI+4Sv0UkbDxc1sMqkBamWsBrWS30ze9GQzxQihigqg3yTeQJXjaG6tI3wV
ra5AppF+wDRDMzbtaK+HKjm6iYvuKLhgT10q3cw2qRgexpHtrSqxLLWzKgaVS9PIpR5NL43Oqrll
+x0pSiWwXYpRttz1VvOQke6sFVhjYxI0CktdAm+69j6R1d7MPm0G69KmMFynYHzqLEl5FbxYTval
bDksrSK72WQn97nGtKs/lRxlbpVjg7FBo2ZnIO0sr5SI7yIVx6HqV2rcS48mSEdmUKewuNyGhBk7
emnsKF27QUQ0Wv+aJ2n71MyCW3TLS70aL01jvWa5tyJ57DIofFKe+gU0BUdp1e5Mo30SU370suEg
AY/ATNyMfGytXt1HmHBT0BzTOes0bNadD9gL3YSl1C11Yaxa5RHC4Qlj3rKekz/8hNdoP0qjvwh2
sm09LFKyJYoJiTHBCYJNah3gKWlksOrj/CWMvQtMGuRtMU+gttHRL7VWdqxjeO4tF5bML1My7OvY
fcz6jj1HyKbT6J8ZCDxnurm3/BABiL9t4WUtcUo/pyWIZJv1EsvaZ32eW5S4iMb0Aihu03sBQULH
CvY8wvpVw2HgRfHJDUhFm9o1HstbRJr22u0x5xsJbz99GOwnh4bLeckSxgJCDg+qpY/0RcZ6x7ub
LAYKbTi5VtUe7QLvaGmlL57mfyCCWDuc7X5N9TwIVuaVOSt7DRp6ZzBQ5kymvTSMgs17Vj2A4fnK
RnlGk/gQ5YRCa+meSPgDNt13MYMuYxOyrYpWPHD2DytJw27tD01xMHL/ogDzrBhZIAOyGuPaN365
thHEDFZI0C+Dq7CNtoMSXxwb4bb3tNs4CjqO6CWySm/FUJzTzIHTQv7x9wRn9piOiMViIgQ0csP3
9dSCHRuRXOM1MBhu31Cl5QjeQcI1+hSsg0CQ9kp9kWOHSUf+XF9e+TsimNlOtyrKHISbyceaFEO3
cRke2gIbLkYFYdMLz1OZEVFRV/IVVxPsJs1hxdJvqil89qMd38o1M++06R5F0i3Lun83+RJOqbnO
R7muu+HBKd9Sr39wW7976ywiYBvGSxsECyO1ACKndLyMxdUiiBVP1UKHkFRFxXpist1BsFDBWyTP
Y6JzI5O93kVrTeKXKuUq8aePFhrhzlDjzh38lWyJzq7t8JTRn/UhlDSxcstb6PRrpgZAyc+oTdYT
4xbXUW9DMOeL1R+DjxvLQ6QqZ3Bv4W9RdWDExlxs+M9jiA4RIwQm3ehaTva96XR+vyIdVmRCM/Wc
Q22AEiiTYWCgdpXHLqzVrDUujB0pzTCkq+yWJqhQWkrFIuhfEjEzn/wdoIZv3nKmzCB1ouCRYQdD
+YkN2NUb1NLTwxVa8lMuCKgfkKaKRn+RzM1WVfEj0evHvs0PNYbRKQN8ZPAUGCO5Ciic+tKbhaGz
Os4W6Jvk3rc3+shdUhdsP4EN4RRlVAdTqkncn5iaCfap7RcKBpLqjb2FIk0viZrWXwpGjmnm85eY
1S6uU1YE5mXKc7Wc2gFNQl+89So8jnz3cpp1NaG/UqN6bgT5RiWlj6wiBkS1LLfJUN/0MnvLXfPZ
E3yVM2Zzo16/4nSP10jW92bIe5fn8W70og82xlRSXs+Cs2O3PYnb73L1bzrvv1XE9Hp/bBD/wz/+
9X/SeP6pxfxf7Sk/v/KYkYgE7/az/WNbSFvnueZ/KTBfQN35+jcSzz/8f/4dveM6BnJUB5+44erW
35tInYBXtOKkObumbvNf/Jt/7yJtgDQWtFobII0+N38MiNvoX/+Prf+FLhdLssluB17PP8neoV/9
j92Mh/d9VpgT1Wg4QHD+XNnXDvM7NoPt0rIZsDELIdCsYmcY+3OF4plGcgnmjWb1e7nZqxTVjyK3
LW2R0HqJ8Q04IVnq8ypUQWbcZvN6VM6LUhZt5JgJ632oKSdcwXKSLHHOHiuP3pjRl0twWct5iqPN
O1gL+eZSC0K5VcVXwnwHxAdArrZECoPJ6jJLJRBv9/gwM//G1rInM2AM9zm2yse0AdvgZRrQVF36
51AT+R21hbdL8CextmSRrBxEjqDa2TFrkGs/O1tiGK+SYFrFdQEmWMw7K3+c7G0amdPOb21ygKqC
rC0s3jYGo6b51TF45Ob0Gah7v1UZZA9ZRf5JPpyC6+y396owXHtVtnV7z/ANLg3W5bdu3s4b856+
ixNGep5LcU+WBXVyoox1DFzmOVdDc88FJkqKXncdmW4stn3YAEYBRLnV8DViRjXkI3NbdAqaSW0T
h2V+JByCLiijJELv0WT7LAq8dwKakFtqLdNRNTrVR1V0hJyUQfhBeJB4qVm401SOI79BMLLbUVnz
XfMEA+AYgCwAOExMm96qAHQRYyTGeYtgJ3HTpZFqV+Dy4xZdB31YH2Dh9uhHzaS+6igHMbSnKGs0
Bn1603zKZri6zJvX9FkcvpX6KNA/logqynTNbJWowiKcIaXOVRfGR5mB0F5EDqnlrsqLTa3cV1TW
0V4GKCex9XTYBd1sDdklPAGeH/ZCaV+ui1jKZVnFy96LTJzjST+MbEcQDBbtMqlRNvmRBy2gG47s
4st1w9/WIuM8TypgAGkuBR68RY/R91QOMjpitK0+0hrpaSVffaYSCYsDPVDWjkiao2hKNiW4mdMR
qasrk3VO67lI0aMlaIHp6i5F4FxNgLqLqiwPfIDFhnn+J8/1R2iY9bYV9XF06ZRnDSu76RiDkmY6
6XKwnf5aTX70Mw0zrgWjL7eZ23yTWMod0wfRJnPCT9UhfDEKlv6G9KgWNMWoZyYT6vG+8gzKvjD/
DuaVs2bRNrXNhPv5PXcHbJ/ltUkHbxs2EfksXuA/9BSfMSaIKTZ2VpzfMDFTGFiLkRtxyNQ2a+IP
5pzHPuxuKC7WZDC1exFX21iVT3lCTHIIv45lwcmo0F+KGN+BXT0yuDpryEtXlqK09MUTS9F1aUdH
x2NfQbEy+e9VRPRynnDzmj/QB9RLZPfXwb100SxKdrUvUoJgYZqDg/RVnmJkk90EGtc3H43WlwuJ
i7+KknUniEmRYbHTcx9pPr7/kLK8oqwgpqtnG6D/iqkVBs/cGKP6NpR18Zws33q292lQzVzRsznI
viyGY9qq0FGE+qACvLH8xB1/V76JExGoDKJKTa2HwUJX0nuUufpZb6uv3pXbaNJWtR7dSpO5BgtY
zNkoxtOo2mrjbESwtir8xtxxItzpS1VkcioBMpDSGu2NyHGqacFZjUwQQIl1WXTrEu0yZaC7YjFd
q955hLpsbqKoPg65fwDhs2eShn4XQVBVnbxoPIZd/SYDbWHk01o5NpvSuJrHKunSH7JDxZ42ztqT
qMd+V/oDmvrxEjfGk2Z5NTLS3P+2HIvExqGUoGi7Y+LGGgd9Wfnot2L14CLpZeaSxzBNVLVrc/fo
dZN9Lsv6tR0Q+tRWBQ4CeouW1M1sF8JT5EMX1+ESBklxSLPykW3jG27pgJ0CAI3qFPbIx/LEWqeh
+RyQzFO4wdVQPphJsyEYzFJ3J/O3jsc4xurD4a0PmbxY7CwsBw0WFRualQaxFAsHtYxadR1h0Cwy
2wFVngYFH2bqMcFnZhQquPfIpvYY8jCKzBSLmTmiVP6MAZ8CS2prDaL7u86PCIpc/1KsOOc4qeSh
G8Av4gH89GOKMdwNAHm4g5jclK6bwGqG1ZVZ3d038SAFfUJqhjA4JEfXnj2PcgL3k9nBVmBWeRFZ
HNwGJ9I3tE/4Nn8Dg8TMDuJeUDylTfAVaLbHDAjGUDPRVbFYQLM0E4hMtjOn8jeWSHgpiCK3zYkd
wVh98kjRYB7VtIsw1h9Bh5PQReopFAbsQ4m+o8yN18lvGhJHwZfl5uammVFJwQxNimZ80jCDlHSD
mfiiY+2xMuEslSHAJRGSSE6gWPCRm7+DwFkl9hgobvoMaypnbBPhBLR+oAacSzNjnZoZ8BS2Magn
K/IfdQ2zsUmE4itbQRhsKYnDzKWxGYc1wuTug93qFvjAdMx5DawkOQo3leGiCY3ZvzI6oDSxND5k
6Yk1S1xvHff5uPdnMpWDaGc1CzTAUS0mxgSnkXOcxbIkpFbp8tANdX0h/WDcFL5mrkeHUSDwBmTS
9QyzwQdVtMzP3LiX20ZVr+M8xeOqKTYoT8NFGuZoi6DXAGzwNzgOMDRLpjPe2AwLqdFzJU7waRuB
s0S5wSjaL7ur4WEhQB+9nPzy6I1MALlG5TK163rd9vlCyHRax7EQG0dl3d4KEZWa07b+TfeaUVVD
1n8TR4qF20cwGcU0XzJ/rQy4FEVuG8s28VbpVNwHUBwb8kcfUtt9a1LjKI0mIdRKgFruMNXQLIBX
zYK3wpWrzh6TY+EJ8hA6y2Ivpl9EUs1okiFaqth58dL8S9PrPQqZTZ1oa1sH2BZNNvKCujFXINdR
uAbhmaoMjX05MQ1IOEvrRoI7Hl0MZY04aoQVHXWi+S6T0bMIRLBKTzPDAwKkKrXlaNtyJqTpUf4d
Mh7gXIaMzTO24ykXKPY8ZzmM3W2Uvb2Z0Asv7ZrRFGMGd5fmiLJLmZcbE+kWmc2MBRTuHdr1eDOJ
4JS12i3wYd5pzMI1wGerFLDBNhf2cNbAi0AWIuEhdAELjegw+HNR9kgErb0K4rK4cfcboHsrPI9+
M56CxriA/MY7BfCB7g8PYdMaIFjC5tHLsO0FKlvbdQda7jdlLrQpdX0liufWde+qjkj3mLF06WAe
SQ1AqBfyDva27Wy9GWMXzEA7bUbb5TPkjnGMxHAH+E7jKlhYv2l4JGEWwPztw+iP6S5P+hua9Dlp
CYwepxwfEOuiBw32MLI2kmtn7J4+ufW6LBAQYLtYhXqgn/JcvgYzrq+fwX30sMZrActPzlA/Jupc
pE7uX3OIf6D8Qf/NEEAd9tc2ntD1Z75zQqjZ4EwqfhpMh1fWPHoOhPUcjnyfUj2T674Zs3UOdVB5
TNxS0R8HZrYZtJCrDaHQSSU0DAnSKNHb2T0ykwwBJPWLAbohVaZxtCuAh8I2H4RlwIPSPc08K70w
F60GtIr5pTMjE50Znsh3g1hLAEjQsZMZr+jNoEWBheNgzfBFFrf6Snmg2cK4PFVprY7JvGoXEzcV
EDP0thP1KYXdGlh9vWiE+sW05DuG+ugxVaAXUoLXxXzb4YF7HWOMK7pC4hXpNcwqeVQzSjJoxg/M
S8Alf3MmB+BOG1D9BF5QF84f6LDnBmCWOnvA21pRIRS/reFQfY942/MdlSyyYb793Vnjchyx399C
pHF3L4Q23IQ9dtg57jhHFl4vHbu2mfpHb3YnraU159CMv7OSNTPfq8COV4DGtE0ced2F4LC7aUNV
NUPi1qc8xQqG5573AGk/T+HkHzTIJg9h5H67g8mdOMpm2SMbh98/aaSfB+Ejdb3YqSmPdag+Pn6l
uE4Wvmp1RJiNW+zqkBEfxkAvAO8WhsfS9JrXKqx12EhYTCrQjmj33WWcVtlXLf0rccy0YA6ztnGO
XU9SEe97oORLvynqjd8P3bPXpR7vc2vuU2AcNFwKQPdQ1khYlJUe9Ahx4IjAr4PrsxsLjpam80iN
Ke1uPyE1+XBhPUA8CR9IGl7GOl/DwNbTg8iKcANny14C6IALOC8cMnfMViJik1QhMvIDS24YTeYL
aQftYxukjDB9xZFfkp0XCNfej4b7ZDFKempo1ZEiuO9iiPt3HQL33p4KlEAWjthspJNWMBQXihMH
bnowZpvetJsHiOgU52HphneR2y3ViHzoLL9+tV0ZP4VoP79TTDJLiYCQ+W3nAQf0u3OcEjfaW7W9
Dms54AYZtU1tNNF7kvLSwYDa584zssfIG+/goKxtr3qko3xcQF7sZM2SLGbWS7p8DQt+q80aUJKI
Qfi0VvlUohR8mVwMFLHuowyZFR3EFQpinaNwQ2DBu1ZqzbGcEHBoRqjfHE7vDRL6HGNdVdkrW4OO
6XhdvS+14EecUIN7WXc1Q+wSYK8LxEP4FgwQ7NtiEIjK9FTDKZzLDbGS5iFJOZpjBECI+61sm+E/
3TYmdmOGmWfbQ4BsOWiVUK6NrxUpAYfEnUPVWUNA0PVz2T91YxFES6Q6+s1w+mQ1hopGz/D0ca0V
/pXVRXiwESpuWDAvCiTXG1bV9pGJgvetJ2Z+xghuEqw3hBAAW3wrRau0XdiwdXTtBoJ+myAEVUQb
ElCKv2sEJ5TZUfmZwca9w1SZJf4AR/j8nqSR0kJQvFMEkVO5Jd6i30IEbveJVgw/LBgeUNCgeDtd
qJZWVkafPdYWcLTIZc2UAJjAQZ3bUPo+2ORqU/XyHWuDxj4jM6wXrZ2+Ng5DkzBWbBV8ctnJ8DUp
nFropX0/PicOInEvVCb+LARhTt7o2Kqop1wj2kkKnIOgMzzIOrjXTf4YeLHaSCg35BZ9cgey6gJ+
vGILjlBUJhKdpgGgP8Frak76N6J/9L0+jYzm6sifM1wUXSE20QCWbhpgNpvE+KDIndQ2qv1+WwmD
2kIx4nX6cW2GQzvhwp+l2c6s0i5mvbafdtBKQkxJPIc7E0jpOm2S+zTru2d4HkItNN+lQIAEouGV
sADwf42vPnNkxctuVoqDnjc2QZQSCDJrybMaVTlas3SjWYgQuci/xtFIyIuaReisGPiCauoIPXDk
EcciOuiB2KsoZM0TxFDU8O3ZUHR0P/50S5bulkygE6B0h3KrLz2rIxrZjOt2I0ZvB6imPPaNg0x+
ihjN+4n8WdXpsIHlw7iAfOQ19l7JXAKFfeDhUUkjg7iQcTK3wyzCRwcOXwvB69LSwtdslup3HNpr
vl8PjufFy6LKyR/vGNhgNTA/9Vnvz+nSrlPhjzuZ9cBr6qx5Hly3WRBLghya9R043N/eAUZhD+5s
KKBia/dqkOxlFHYDrTaAvMwWBGs2I2gk29zbFlUB7nMyI2bTwr/wejm/FFfy5Hf+FnY1obt5eCLc
I1yNXY3FHzE2PkZmCZHRVPfKg8nM+ktcInJcfmYhvy48mmekwKSrc60feWghBXWlI350Le5ggL8Y
+t0Wi65rILDjea7fuJmh8yUhW0GD5jIWOqyakvYw5AoymxdhxgPGrNIl974a1gox7IbIArhWom3P
sQQpvkqi8kcCHWjRDMgqMGJwcbVuvWzdFNsu99M6itpDFASfZHGgxvYFGIskWQoKzxEjqmaSl5L6
OpYTMzoD2ZxNV4BuqqhBKuC90uuMu85BguiTksswPlZ3zZvqrXQFRhmI0Al2j6eqwtAaw4te6YA3
13pgWQdXY8eR4i9ARp1M6b6xtXhZiaogJUOX9sYlUQCnWhk/oS0ad5MJqc+uXC7TsR4XDXTceWNK
AaPD78p5kWhr0zmMqdfJsQsN60rEhk6V5gH1cmok4H7c7HO0Tyj1zOFiVHIPwpS3NAM7Gdehdp7V
hlWs3FWmozm1SGFfZ5Ze/iKre213UfhO7XtviJR8NypCgvMJPmExwyLckuRsZKgskr1sAz4aqOBo
bPzYY/jIdaahJmCeBDVdRB4zi/mtyv12FZp82KadU+C3dXQ0ehOEUfMy0csvHYo2y8UK1div3mD1
11o3jEXndSc6bG/rlrA7fK+VM5H6MSzwATmNZT6Sspz8any9flAoh5dRhZeSSv5XDL30WukyPkdh
8epC53uB9nHihYqTNJ3k2mdduUSeSZ3RpOC8c1tiGHTADJIBkvMVtVPvHMTGRZtG9zgfvves02La
3XnbnAcmLQ5FVhsU1VbXoFeY6RhfHTN/sCONIiW2P5262RdaIhDYszG0Jhgdw0eiFME7PQkf6sBB
MczNDSExUjtWpvc+oGOKqcKJdOCzBpu2H5kS1zLOt3nVebDLoU3Q+3yZ+D5O0VjLpZQQXQnYAmKu
VwHZ9HxduRNzic7r/7F3HjuSI2m2fpWLWV8mSJrRSC5mMa5FeHhotSEiQ1Brzaefj1nVXZlZ6vZm
cAfoXjTQqK6IcHe62S/O+U5mdE//s1ug77dL/x/KD/90VYRKy0K/9eeqwxuGux8JyyLt6jV5hc73
2nx8vzH69Qf8si9yviD3QtVnSTXHEajf9kWK0AXH5T8WB6MjUCT+ti/Sv5A+InXdFPwzwjSRZ/26
L5IOgkRXgHoXwiXO4V9THarfyw4lmyJGT8pmaURWw0/aPV2bfOA7EFBJShmPuZt6nxzbuHQmMeNI
GC+EPQNZ1CNS3/WF4+zrkuQvR3faUxeipS0ZUSBPahPmCuwxHppA9y+U2bOLzojB8tPSvKiERaTe
IEi8XBRkMR2sdiY2Uh2uXKhwmwZw9KYil8HNES9R1KG9ElmIU2novX1C8bWohO7tkdyKNyexUOmP
RI/RGmgF6LI+umB++ZAxA9vIELNp0bWCO97QblBgBw+s6qLH3M39z2oMARf658GJi6vAp1aeskMG
VpIVvzVHyxCR4V01tuTfZM5VLc1skAt7sBBZl3ZqXuN3l4sgjMKPck6uQZQiDlVEmo0Lh5emrc4B
XbChw1lB6LaYU3C8OQ+H5RspMpZrXoZGkZ9zYw7OgYFN3JA2kNlniwI5saWrJ8Ns2kfD1f3nwQWw
ABQHyC8o4AM+UOReTecZGuj6GgKk7D1kCMac6WNglNjQ13hIGQj7GYnsgc6dOZ/EixmrzIzs28Ih
H0jyxrTk8Cxhs1hLhj6HUS9vqUU+ay+/afRyX0TBM1XRsCyoRJZeo9dH4fYFU8JeXRSMhReqCvVL
a2yztTfn2JnlqO29OeJID4fyTfnYnjrHrxaqVvd2oIwXz5zerKDJiM2IQe368CaMoXZXfaw+WhdJ
4Yjl884SeIg48PYWhuHXiMDWq3SC2YHC7BqAl8+GImHsOY3rsEP4oVdzkkDkNRcmyc/HbA550gPo
HwazSsKvQxY/1Fl4pp32IZwKYhiYHB88FCsvbk6EVJDa/dFXRvJo2Lk653PUlE6W5aKCHgTZlACy
VsznPrlki1iU9PRzYFVN+uylMSZkYQ4oDhZ+3DhbvhI9UFMyr0akSIvCJV8OFYC8KDv0P0Uyst0I
y+eqMHekgFLv9h5KL53avtG05EFEgX/Tz6lbGfFbcs7hsudErjoR9QWVa3+q3fEDTDCTvbj7SmJm
ecG7G1+ykQ0vVEMxNxZV3ePMtd6aNGFFJrFAcYsHN8QWuPfAYeWHD/UUwkFbq+vMNJpNRxjfweyj
iEm5l9jkUqjhPTZoMXRTMbsqqvytnrx6neSsEmq/zd97XO2vuadN564vx5VvCdKIEpfkoEyYaD2C
LP8QJLZtuz6AlopJaB+HmbHwpa9WRtNftM6OzBYNFZNZ3iqBrGLhR6laR3peHr2Y0aDj+/oNxSCp
7NJzHJgfhvfI1gCLgZytoHrRp9zIFobGXtW45JOpOY9osD6w1OrLnnHgg7BQOxdAQSDalOwm2Vrh
/e+xgW6b0VP7gJTNvW5p+GRZyt7o5IEEs72fXqMCXqiiXL7XucnQGL4LH/44h+QFwJPyGE6uVYnp
AzFcMC5mg+VW8gwfTNNMb83eSM9V3wFN7FztkPeluGDDB4vIoY+uYBqttEz5Szn2yTbEIrMdetRH
WVQlK580B74IvnbTxiMRFNXIy/RF6b+TbSmfTK1mW63G6LLU8mLptG19Y7GkJl6wcpaDHVfr3iYN
rjX69DT1Fjm5et1TiJG1eu75iqi1kQ76HUGI5anUqHRVhbG0NTN/7ZgT3dqo8lNS93R+ok4u0gnj
hz+RXb40KxvbXgtVF42k3Ty2XThdA/2qLvhUtedWiBo9JfuTUer1ZWpMxfNU8sxyuhjLSoGvDq04
fUR+UK8ENsCVTW4tJ1Yvz/rYPQTEJrwirHjTYps1gDFFK0U0w7KTfb6KbIb5ZtcDyvfSaIVxMAMN
HDRwDAimWMYNGKncgzCGMuzNDpxP4joGuua2OE2yy1YdazW08TnerJipfxRU+WWlYeFkXw7EC7oL
m2fjCjJyulamHFBoGsiM3AoyXqC/ahEXnqm5h2BAzRSFyALrHioq43VU0wMI6KlntptiiApanWya
kq46rlnVNWPorYPOc29CJ3n1aF+WqZgYn9SQzBzCWlZW60CytKj3pBl5G+g4DkQevIh6SSTywjBp
Cx0nGe9aYwB2xAhy2Yh24D7Oxiv0CXPGGnX5POVgjaLiowfSc9Vkmewp26PhMA1oAfXWqQ/sJ9yX
Ii2Sra+6iv9jpHaUqwO9cduCspRw0I9h4UFmZkZkHLpqKDYiDLIztQDwOp+KWeLi2SYuiCvDY7i3
EEE0UA7TwUehTaCdpXXWIRVqvIjKBtxJEfbo6IStI1Uu2Fi2qdmum0qzrxFuuo8G5QYWURZRpIkz
u9WUKE7eHPNY1ZLunB53bvq0aBUC3Xmu3Cy5kYhXjnoCuz2LhnGHwWBYpHbL8zJBd1+YbCkXANaa
N0iPTHr5UgygrcZx7fClZ5MUjf57U2Oih67PxKc03GRpDwU4WZnpO/Rq1UeKFXiltYwUvO4A/hTs
lI/wjqHwAHCr9J+AXb94cfZhByVQJh/NZwZaINY4+/LKmkl6Vn7P1YJ82Mlc+rMspk0oq4tEsTVv
g/qGvhZOS6PjPvMkYr44t6nhs94+p9rkIrse6uWoIn/l6vAENNes4OIT1oFFV+U0S4o5vk9U6I5Z
8de2MrQTXzZWyPG0MxWiuqBxrgKwvCAt6mIdjPnRc8t7GRAgw6Au3pZKskoaWQh+SxQFOwi8zjAg
7iJWPcCxdY7jZDdL0RKDGvgT63egfbjLUExnMBSGkLOmJAR3pZeifyQ2Tl/H7CAXlo1pUgTVU546
APU7Rq4JakFZWFsrRDjT057XoX0VNtBYQgKTFtjxDmElb/LWX0YcRDKpjm3XvxulMtaNNJNz2vNP
7cBeVaM2HRhVGau8YoKvpcARmyEEAe31cqf7XczN0bfbtOSXpEAFgLGUqL8JACLftqqaawrAF+Tt
zj1guBFfGqOsQFb6BdyvWXZp79tmuuzcEcF1pvtnbncfIZHEklhgzw7lyPBAs9SFXg9kzjNm2DCl
VFy8qj1Ec5iTgO3uMhTHMi+y51gDKMXy1JOryMREJpty73MrRpg5fWPbRS7DmI6oWAo7DJCUWOHj
CMVxbVSK1G0daccwfxftHs9h4OUwLVlm8FRjseBByGrMGYNxESc13gMUF9vAr8OrahxhQcaz+KT1
MZGq+Fp58MYz/KrQoJE/t0GJNyONM/e2oubhjS/SYVWZccX+VCAD6AAolKCbFz0uu3VpN1+VT+Q7
WDC5/XeH+V0s4J8Y3GDTIhtUCNnB6cm56/vzVnMBbynMvm8ubYxrv/sBv0oTxRcbS4DtYpqQFk0s
vdyvqYDii+4aYCiQo+NmUjaiwX9IE80vCrMdrR90E360+q3VtMwv9JjYg5SONvFfcrfNdNsf7EZI
G10sRygShU2MwE92ozQN2tIPmw5ouASrYu0M99KOMIYam+/enj/yclmzleqHX+XobIEdBWsXFSZ9
7Y/6R74zE+xxZppjMMElnS5dYd0VcfUORHAWLyyswGb//JQQ2cz2aaEV2H0ma6WDvk7JKh+QT5i4
I2q8ZnL4FhxkHSfHBZFD0WJMG6LAFGZwif8/4fJL72D5A3CSaltEzqG3G1Qv40XbefeQ1I9BntzZ
vYK3Rz6Lr5PxxZfdLunhlCpu0NbcucYAF1HbJUZ+Av+wjFMoTeQs1+zENfA6iZoInW769w6N4cyR
M2S8j5SxCDt3WZgPRahdV85sbNU37OtuxZBhu58uIQ2uounBsM6yrHeWD1nSh3KvY94p62LD8QYM
jeXH6LCQCuNP4k1fiB0go3G6LFS47fVT4ooDtI3NIGd+hEfaLV5ovbvuCg2WqwWPycsOzVC9aBbI
AZ31io2xJ83CUxHbJ/REhyi0iIbTzLUm/AenIfvDhtLkh/Eae1+/6NpPt+xWEVh6V5XxpilIT2bw
mMFa6y+rqX1zDYlJ0EV1RCrHO+R62OBp9CFDL950IRter1Q+2px8S593R1N4aRRgIzN1KYS2rfzm
xDYKFqCPpsXViAwu4utOgTuuUOFbZHmjEnIkiD/gm0Ef3Eeuqd9aZoY2sczuNDdBsSaDLcMIDdTr
AOPSdcAj44ef03J2JNNBkcvvfZUc0K3ma9rBasenJa+jAPj/gAbuMK+4px6pYa7pG1/XISaWM+eG
tDOrJGiipCN0h+Dg+Zjkcc91twEyGSz8k7vC81Vv7MLcErL8EQTduXMyfdM5bGMKj+C71NMKGLge
j8IoF7BmXlBHxOtKC16wtROr5nKthigCtO6tUtarpWt3eK4e0ScSE5Xa705n+Gu7/kwj8PW9uCjL
58h94ple1URnYZxYiillQws1Jlzk5kMv1BGKn0eEAvfiC/qf1wJCCXNzNPnCPGHBOeQtUrnANuaA
oefGNOnU8l0TO4fEat8MWt/SlcXGhhm1rBgJlZX7ZpseZDsm9X5pY+GxZpQ+KKRHR/cAYLCzWSXN
sOpb573WH5wyTnedyxDckUjKuoIOqAinta7VH4Gnrwc/3wLC2xEnUy00ejwG5U74bKN82OnGgK2i
ICI8Jy0j7N4LP38AeoV7nakX5Q+1WHB2wQSyHU4wtFBx1zohQsm7ENWOKhppnfZZ2KyVoS+z/Gzs
JQo74k4NE9MjMrSVCgDuRr2DL0oT5NOFz9J9D6rkOhIlQQAISXMMDxqrUARrBq/Zt26i4GmqpsdJ
114KdHwMoJdEe8DUkSvaSOa72wBYJoiLWzFat8loF1sSskHilONN2hOVoUOSqdLopWtIVIDshSbG
J6EO1yY6tVM3yHrfGn6DtzMjkmkw9Nsq84GQRU9x+9kxivPT6Crja+DY2jnjUdZt7VrGI218tpPM
I+AAWjfKfRkKOs6yz3hT42RpNePaFaQneQZCX0MVd3kGHD9sPqqp8AjUic5jjGTAIpdoumlkw5te
A2+jRMyTDaCmZ98czuPYH1mEXFeAUji7YBpzZ10B5ljkrgmhCu5h6UPdlQ1kApZGN0g7bzQWrlXY
XxajvRyNV5Vo6zJIT06xm6Aa84mDwxi0qxKBC9lEhElYK3MuRB3GaEJl2xr7a7RRpdpMogA+qzuv
Qeo92z7Kgtr3FugNkjVUgLOn6VtwNqDjVIJsT+auu0+mxDvaST4QKRbvNcQN5IsO3SrvYhqb3izP
oMMPsICnTTQgiDZyBmRI5raU7MXBSKajL4x2Pfo6++3SFeAKcjx2XrNB0P1CmTHrRTO2TIA1g44n
ESpLsdRE86SxiCRbN7Y3aNQ4BIeYIcpQvFuVX9yMRXrtMwhEPuxoBxQenCM6PmKv7I4DqSYLGrzr
mgiiG1EP5kPn2ophSm4SGWg+F9jIgKwtRzg8aKnkOWPZh6tRK5clrQkWgQfhw6os0/2UVjeV+T4I
+0CyyFc8RydCFp8jkX+1Mg8ygoSG6oE0WYSy3cST+1Yr5DeaY6/+XUR+V0T+6ZoCtbWgjPrz2vEP
4Ai//ju/lov6F1aCUpKXAFEQf8w/qkXni7DhGQCHmzOhJUvo36rFv8EhUHc5Fm5zHOWG+ldwCD9n
GHyjIbAYkXT//AlyNtS/vd6EWAf+8z+M/9sIMYZ4adJlmFa3TpSfcldByzdO370jf1Au/uGvsS2S
tHkz2c389GviqvcJoTTTpT0Zb37j4oqW6IBL8beMhPkn/VCWfsM7ECQBQkJIx5ptO9+9oNgH4MjL
ZPlciXUzW9glDH+A3uNFNcOS8tnyxzL/NSBUjXlpj6W03TtZdsr66KCRJsRxel1Fllr3kKAXyRy9
QkTApZMnLBUDcWcW5VWukLNozPn+Bhjwu6J6/uup3h2DmpotxE9Z0CQWNSOMArK/rObcdt0lkZhL
Ckdv0UXigb99+JtfaMzQhR/fL4Q6kn6GeF5LJ+T8x/eLGVHvGwKmBKIdVCk+VOEyb+ing8Mk0O2X
njauU5PYKs8PBDUjjp9i6rpfWtQ/ZUMY8ncvHQIOqyLJlsxhfW7+9Ie0hS2zLKflN/rEYBmA7j9L
u2xbjGiYC2mizU6Ga0NAT6LiJCOHuS7K+YCcq6myD4ERrQcxaCyENGM5Rp5GKuV08hnGkwHiZ/26
trAMRnFVz+JLDP6t1QJ0MizrojdBlwed/pQzhzwM+myT92N/XxnWsMlH+ZFNw8WUG8l2ikrgc/pI
dmaNBOCxLhzkfFbg3WITnpAXdgRKEZSJAFMeDK/ZlbUZHAutPtnBwHiLcgzyhbFLwU37vk8VG0MO
j8urMDKQljQsCtCCOpvQYues1015zjuW474Kg10yckOZwPRu06Job/W86QikNACbUR9M8dLh8rpy
i1ZfagD53hxnDrvzvelJoTj9FDUGW9ZsZnIgj1lYuFExdxahE+8McvAaBtrBcETzBMSyCdWVNSJZ
Un5EOnIKTpKZkg9dIOU70+sFRcs4AnfT5rUm+mhRfbMwLJOk+1Sxc7b02Z5kKQAb3sy/a5DXq07o
N1MIZVDUtbuN+nDGPPI0VY5dXlt1WjBxooMwR6rMoKii3dgyYkcJrN+RJgFPcML7zV1NAGHb0jf0
I+VIkBfRlSmw5U9d2OIlR5PvRRid09TvHhAvv3R8Zo91yeU/GsluTPPpM0IU9hoFSlFdYfxaMsbX
2Ay2N06R0+0UTEjHMkeCYsyQsB7QO6VWgpwIfPlQFS3GDOHthJZ166YYHnRzFpqPxGRrUh8IXDPQ
JRlGdVsFWrfNpZ6u/n0V/79cxQQRoTHhRP/zy/j2jTQ3VgOoapnCNx8/DnX++QN+vZnxhAJmQZMF
eYia0ObM+WWQY39xmGuYFGXKkZaNSOm3q5n4I8sh/ciWgj9GzFfmPzym4otQEgXuzJ01uOXkv3I1
z7/9p6NZzIQmG8UCpzO31o9Hs48MHEIdgqTYyG7baRB3XGXLMOjVxkXCDmX0zSvl1TiL6TQ8HmyK
yPOJAnDfPl7ztiEzNgn9dF3qVf9p4+V6tcv2ySHOi8Y9GU9NHlnzQ17dVbXDopMoI+ZePPJSncLU
tjfhhDsUOVP1lMGIXk1FINfBkIeHRlYp7jrHvUyaySRygtN3DBBGNWX2kjTzMlYbLOza5ujvHOpy
9ieJXyJDTeklGgeOia20pWd3m9LFmiqNjlWwUuMmL7RZGDbzGLDuS0elOzEgamAZ6e/IDSFj3krf
GNiWjKXtl4pl9j5rouw6jkjNYC1p2di/oZZ8Rb9tn4KgF3c63H24RwK1KOVYfeO0pgQGnQzZmoWs
ti40uIrfPXV/UPB8u65+vFex6zB9RFPCpMK2fsqhSrWKlDjkZEvWT/oDilwMI657AkbTr5geJIsA
hfLKyHKxN3rT3VijdJ41zQPyrWfkxLnKXCXWUK3qxD3plfmqJ95JtGQn0GdQpZTCQyfudY/jKL27
foiObFlG/++u5blc+ullCClQYwjd5NWouXz4rpxiISjY5JOFqaEmWNpGrd9P/mBhkR/aVdPW7b4v
mmlB6iE1QzczWyq8blZFhiKew2n11+/q/LX76c/5Ntt0MYQzScXo8eOfU3lx7pY6MVs1DSJKMMd4
QaCYX5Q1q8ZKQJDn7tspEn8hpeJACw1acKWpcR9HzYK4uugBpLV86IAuLYyu6nYpSQ/LLAST6RYZ
K57ICk9R3vYPRlmjwfMBTCY5kES7WBWmMTtS5rpRy3i9rT30a8MoYzJchyZ6++vXasyKoB/fes4d
aSqOGjIUdGeuqb976xOV2xqWByIZkXhDMY7I3JXwmlIyJBGztrzhgWXiVCuM23C+lejijaUw/fBg
mMMugifx8Nd/0jw9/vkv4nnWGSzT0ei/exhCkKlaGhTLKiMLzNHyaavbyUFU6BJGKwHslTtAe2da
DrPh+O9K1T/69YTHYbBh6MxR/pPjvi37zqjmos/SI4XPpSNAMsowacEmIaSQzc0Q2zVUXLjwj32X
feZa9koQuzx3kjEtuOibftDtFfojUsDQ/T3Veq9u4ETUy8Sd/g53ZszF+s9vF20fNDuqWkGH9eMH
SCnVFuA7eVu8F4glCOitEP4XzBtIQ+kFThN0P4VFoFL21kyonP760/pdQY16nKEJNxyLBxO58Y+/
fhoVdswgLJZlYqS7TNnPHCHazm89qOyYnbZ2p9Txr3/nHyHqDCKWbEX/wmnh/HRexBbQjtjloWWD
B82jKqHZZLB4WWOGr70mpgcG+JBLqw4FVTJQH3vBe+So7ZiNxXbAlZL02keKOfpRmGOG80ytuyJ/
AI1rL3RkvktK0Rgx0LRLurJkllaeZFjeA9KMLv76tSh9Pk2++wAh7VETKCwT3Hp8E+VP72AzmBNq
nJqhDI8kyhtLXyu9Ko+kQYfLtkI+t0DZrBZeItAbtS6ytV/iOWu9ecsHQeeYaMp7cHXzvcVVAumq
m+78mYhSh1G86oXRH1PuRDL53HYNKD650ALYYKhl3eK2QhW+4euIptZnxc/knIAykxCBFm/7oquD
/Ezcl1jJKqKfxqIP+gtGW848fAlLxr0wOOu2tm9Zu660k2sjcAmo9nIcqqTOr3uY8IvczsSj0hvr
VGeqPsCjGudzsgn34HnN2dDdLGxZBTucLCShutPANCzMPYAEzn0ahfm2DMkiUEmbgwEPImR4cVle
NMPU3CmS2FhEVcNbHWftumS4iKpWYC/O/QHiaT5i/hvCmoRk4uqQV+iraA5vJX8kXWEWiJ4yvldX
WNQg+eJDuKC9msMC4FlrorDXKbuCkx/5zjHQYqJUSPcRCLsyvuIjCJwd7lKaFi+0u32kifzsNxOc
xk40oKPH7igQXiE8HMGpWaUP3QxgEyQIODFM/EkD2OBcHvaGxeZYdL7x3I99cWnOiwjFtBmkbWGG
t2QeW/CIgtw6uFZEUA0eMp0f3U2vrerycJk2vpGup7pGVwyHHZJPNY37xo7Kh8Hp7PuqG7RzUWb+
VQmT9ZBwpdEzTJNTbg0yt3bdMAAoLk3FyL4PrPKUV4NdIGARzbZLp2rVR0P2attdcD8YubZhlyOO
4ITK7RTWXHJ6rtXYh0aHlAdh9keWDaOO4iuWtJZW8t77jX2lV6P+asffokqsMYSmHkfVasoG/yDh
N110Tjye4lQGay1V3UWTaeOTr1vyqvBEdA0GvJWs9012SkltVzywauwfvIRUdCdL8CijvWXfYdjZ
qij7aidCQEbh4JhndDjhStMZwmrE3GE0T6wDXu3+0rNbHVmeqi+r5BWBWbUPG/Jaajx096z4JYao
oD+XeGfID+nUtiNy/Qbmv7hJ9VTHMxUMDxpKr2kRaexEV+GEGulSV8JddXVhP+HiSN/5PryV7uRf
D/MjkrS0wyJ6phUNkz3PLTEfZLzbT+yfyAnDTnzjSqde4BQghcYo0/Ihn8abwW87Kubg00YtlZAr
d5mjLljJzvQfelwWO2sge8vi+oZKPIzMuSuPQbsuvTWBKIT3BgV0+tgzPkht9raR1RAUxChtzUNB
mJNJC9pDtQD8G0AaDfwPF33vqq17oH4ZWOYMhdWy4mXgSCepBEYxcqFMWpu0odQuu5E5/pwpV/PG
g7cOVjxJt2mdnC1ToWCbPQxN76zRca6yjKyG0fuW5zixcuiQMN5ko1UizUJZg0YJML/XZeoVCNe5
Rr20CObUObyaxU6lfrnV3FjbU5qMq7k9OsdFJba2K57N3nIuEisl9LKbLptx4PTXnHFZWy3hanwl
oLJxcQd98tVnqRMsOtN6xQ364Hfi3GjDtVvm6WXYqfCOiVj86EyG2tduTG5duA4ceNRet9a6JxRU
OgEN5Ve6ly2P+xa5xw1laOyQNDB/EUPiuTY5Sky3eCgHOhcxbsAhLoXITzbvY8w/7dkOZllZP5Bn
fA5sd1dghuAI9Qg9wa4JvTAwjhjyXpN+ugsA3Tex9RQhwIPVwM/whIx3CI/PNeGp0nEA90FwW8Sx
ccwKbE5svFkZrwFh9qtmIOpUQ/F1lBi3sZYSHO4so2hM13lAcKBNIuQaf/rS7GxM/9TpkH5YTg3h
m1+hsfoUql16BLynHL2XVu1xtrPxw1FSnnWlyVsjaJM7t9flgzvYzqlHubQDspcty5yov25KwCYk
pWkfKhIEFkRIb/QhWlbhDGlsLeeyLxUatASP2FoafnFJ6Lg60M6l8xoFSmdOaKC0qvs0DOxTXRXV
V48MsyuPIdzJtDNnm4Z6toK8428cQjzeILcQDma4Hg72Okvbh6ySQ7l0CLekxcCTpzlskURY7DOB
Nb4mIJ5MGK+7n6L+qxhZKYLTx/kzPBq++1oW/m1BCtZj4wbyFpdHeHRTblgeg5s8jIqDq6GvIb4O
yQ1QDQBJstnT0Y8HMtZ7uI9VcU/DuaoGNd3aRnc/AhWAtlGG1xl56vhvTac9OpiWgEEYmLtlGe7D
Sus4loPirJmEt1dl96LVbnoNKTx4M8cuuTPIUpmTvUxjNxLZsoJW452MSTfWHa8fLjm8uoD0t4t2
PsBDaT27hjGedM1Ln6vJRtZPdOADWn0fhG9aXYC6Q8/e9cmxN5oUIqEYr/sWCHpEEETVdmYHJ9Ic
P5GW1vNhiRrC1G24FJN5wP2qrdqoapc4AApkFKrOwNh70VbDHHCuCOTZA4/CWuBBdljrg/Ru4aV7
NMgdfN6g4gfxobuHotcPfmM2ZzPqxEUnsA3bo45NUtj1Puzk8NKlyj1pQrMOVu2q15GAIrJFYy3d
DyK2L2dp1Ac9Cg6wnBAFDPmAxiMCN+NJ8wEPBdXB9nV3o0FiWfmKXLsFDwirxcqSO9saP8jSrTem
U7fPtuzjB0drYrJYTYz0BopDHHeVZewxHgeXoYZMDZmY3CNxFKzKKx3lLE5RzppOOyKJ0F/cNIOk
YFjebUQPBiMmL8/wedASUs2R+VIQ2fIRjUTULKQdsgmIKMMwTw7yOrTsyTu6ID+rjZwHQaesjeyz
b9ndXYaCnfh3bzhr+MQvM5jHz/6Yw/xFWk8Ma9gGyTZONHSRflZPW5X2+Js9leEQr6kYXi2ZxSlr
aJvO1Wb0Orp5tSbos2em2Kgre57Qun1mHp3IwDXS6FGyCyeOgXRsA2dlOgV5U9lgroKgGIjgQ7b8
FaqB/jR2PlIcPyVFBEvMCEVPxkeRKxhlLiFm5qoJfO/Ra+Lq1siYAjWGZqzioLs3otp8NoogXUs/
9I7BPKoemVknndsde5AwG7+uMj4EzMqiFN0Os4A8ZHVN1qTMZqe7mAgA7LCGBWClmaCLrE22KUN1
1fXxhe/DNernqXs2z987Y3KPHfmUF6mLhVp8G9aLEv0vXlEuTZJ3cOryCzvHRdTRcBFv0sAly2io
NF6KP6wMPST4UwPsW1ORLxpAdv5KVUyO1gEGtmi2R6rzt3bhfwzm97/VxkUjDtqa5vMvhrKvQ56N
2n9lwWvSfC+y++e/+09hHbR4qHqOUKBy1Nyy/iqs079YaObQHyHKs+ax6G/zWDR3NGq2Y2HRkbOG
7rd5LPYuzMzcijNQHkvWNxTjb7DyX1iMv/3v/5O16VUeZg27T6qSH7tBnWaWMTH4QNxbkp/40+yJ
VUidaybjh8Tu57RRdkYY6JEz59RZOHTGI1dfvcxgEVAzO4ugciwKCuvSnLJ30H3uvFh7xdwIrSUJ
zF2oo+eKxggUnEV052gu/R7RfgVk3sNIsOo9eSVTWjJfIC0BKWaEUYrXhBg/6ghCjlI3uCfDKtp3
4FkgGUUQHuJvwUjenJFkTkJ/97vIIpqQxAWGWtOhDJmTmd5ExKVLXoWSZXoJpfDB+5bAlOXPwL4Y
2NakM3GjUF1h2PK7OtyOPd4XH9Y5MXHmh1vjxC7NUzfnPRV9lm2CdryEwdU99nMqlELbJQWhVh6B
Uf2cHBU6iJOaqFjqI3lwM33Cqbjt88Z6LubkqWnOoGKOQ60QN3fuCOTUaV5GCKr7Vhty+h3IILXw
SXwn1YpcmWSFXe5cz4lXMcr/XS1JwULf8w7kr74udRKyvEm4t0r1FRTR4QY+Xr1JY0izNtFaA4E/
FOFBciaszTjUcwJX3E/eyplTubxKgzhAcwEatx3v60LXma717UXMov8+J9qrmDO+0rqxVimxX6Ze
DK+OXWHkCILbMunBgFf4wpXfcZbWX6GtHEtuWQjjBB51Mf9VCvJXkzlzTMWcctGcQzbqeGhKs2aM
7g7urSOsmzApRlZ5kOKzOdDMoGLYC51ArI60M72S/ZksTw7EziOv3dXicUVqSXikWPF2yOolpdSA
5GjeknauB8CFxWr36KXESsI42Bm9emSANbFqJYkti2jxDTN4HeeUNjuECQsl7FxMLXMIp2PCOuVk
9szZbn7WmhvMAhqh6tgncPys7RbvPXlMNpqnutpokuuAK9Eh4JXQOB5b4LU8FFiAGWJjE4Fn4BbW
QzgTDrKZdSBn6sE4oLjjC0g08DcmAh8C7gc4CTbABHeefNuN/BxmlkJscSnmM18BySLdEFSoVdG0
jEFa7zX+FvIDl6EC0ODA+/ZbiA3NzG7wuyk8lMROY4GY4358OA/xTHzw8/5etZr31R+hZZi/gCEs
PnvsE93SijPw2R2E2ZkkUWOZWzCL8vb1zJmAoRHtZNyWuzHkERtmHgUTUd7KkFhPoSdg0WduRTwT
LOATghCYqRYwYUAEwfMllahFw1+Cv5AzByOdiRjpzMZIZ0pGPPMyygFyxthSOTiMq8jAqjps6oRl
RlOq7xqnMFY2fwvmd6TnGyCHuCRGoFvtDOlwZlwHK2xeDASPwibNOm0q/+CAXFE23o3JbyF+iBn+
ARzCuO2/EUHI2uxvEF3CCYm/MUPKGR8iXUAissFWp5wZLgKB6FSIPtrabfNkAI/YljEjnnjGksSe
LQ59XBK11nX6mTkbU7Qqj2YZX7o0GRY5HciqDuVpNpNO5Mw8ceLhChVrTWB5+xmGstyrb4SU/2bv
TJbjRrIu/S69RxlGB7DoTQRiDgaDwZkbGCWRcMwzHMDT94fMqmx1WpfZX/vaVZZMEhWDw++553zH
6RcDsQ82BZocBBW/XXglUQasI5cnW8kPXQCp6XVW+zb72SV3Zq2Y6ucN+QttXS2gljBLq5u5wFtS
qhTYZMtx1xZkOMoB8F7kQXMSfQX4ZTHxtQsMxo+Np7mM84dY5M5duiBjJuFH7+2CkSkgY6MD5hZt
EnTW6AtuBunJ2zULgib14WupyvC/yfjGtyZtmlfs/5eoBMUUKqoJzdGGaMNV1z53Cs/ygrrp9YkE
J3onLFKXvt1kgeLYCx6n8oVxSJLM2TpFMd3RnUXgcuHpxHH8qAsgfdnC2rEW6s5okN3tSNc/WAaL
AypG221Uw+mJYueWL+Qe5XLuiYXmI7KOnGrOi4ecnR6z2P5AodkyF+PKk9UGzoz4yBdEUDvwz6dz
u8dGA0Bo0WzhNGV864ALEeAnZCRkom4paYZd2cFh9xcgEb12w3O4QIqwHWNQX8BFMKfilVpgRmnN
dnJq3SvSR4rbDRdSlwt6LtrEvVULFGla8EjVAkpq/mAmaQs+idov7peDBJ/HSxw9QPzgHv3HejhZ
8EvGAmKKxtRfZ/j0cdhOMiD2+c3KLbrkc0YTIbaXXTc7rDD0BfFkRwvsSdTTnS29p2QBQc2KI6CB
6LUVNibtFijILHOx6kj7ZatZW0J6zdFudXtLIV52syZFp6RdiI0ARoGcSinCfRna3auRulO79bv2
Qjio208JVMtUoMGs5jwsPtxZDftUk+DZ5BSR2mltBk1NbK1+0O5IeXK/hiVKXUQmPkIjtvFEwI5Q
5giiU5R2BPFSlIFs/PbR7mLAa3NPKrBglH52S5xMa3ZfJbmgUVDtQGDYjHlmeW41HcImIYA5lNKc
6GsgoK1yFmZFThuFIQRYDb2j8r4Fq0NDab61yko+wOiKN3zGh2AcRxJyvjH1v+Z5IQtBotEg2Axp
DmEQMfPGxBftcVaoDsmIwosmLuqdnTasrQkCZhsaScJHyCo+h5tWTsN6sNBT0tzyDk1XjN9a2oHn
bGf91a9sTJqybyE2GZN81Rt9+UKQ6s7nZWZMQsgjIeGuDeHgcO/5IDFZ9bEmMkA4DeMCeRzrI3ZX
aEGZE793qtGuDEPy4Cx3syX4TWLa5E6i2cTS4Cw2fevuu3bC3T220Ad7jX2ijegMSaSJ6B8goj3U
GTlH082pcnTaG2eEDwW66ulhtlwv36J5zTBV/eIApuQ7KZyEfuMRg4wns0s2KENfAuoUuiQuRn3A
M/QaVFMaBU3RhSQl0Zk3eqXf7LgYn1urUc/TEBbkWmfFiVj2l5QBnddOivt0wsAqOrPZaSFvrS3l
eB9lmmTdroevg9bA82VChVCVcw4NnnvDK0+jZNq3LHcl4acxanw49RqMGy467HIm/MtefVfxNr+U
QtY73HPVd1Kq4WFuR4MXN9Odi6x6cUajA7HUFgS6q2Q8OdM8OICLsvmzrhXyUgbgxeto04bkHm3Q
DIZL66TOvpHS2Usx53duCv/ayzzxyruOWjRhYHvTlU+PsJFVTyHBvENSJKemdPKXmt6+mzQgj/R6
0pP0wyJnzjD1Zp7XAYFqtpX4HPAv+whoZup0N1VL/52mMkob9Nx+CCdNAw+XPTfKAj+4KHyawJ4e
irk4jNBX1mnUuxe9Lx87zbVeZZdDH6Ykyn6rzRD9BhBawP5bJ4eqiSf8RkWQ290jFmI67aNxuO+z
bDzVLZbiwR2AcipF442D5uH72oas223ZAkIwXOIYdh3uezm7lFaOUFULH4BvTgL0j72E6xUP5Cjv
pji6TEZDu6h1bnSLAmzxVOjEMqRebXU3eplqfV86jNusDNJrGfkfUTY73C01Fkfcx9bDZKgPnVZG
OMtzV20mrJjs86MefDXNvSZVOZrpBa1S76GOAz2aivtGyPKuamNIyvqialquOlSj/+GOU7VtuXht
mQtwRcJKzTIKLzlO9Q3uKydwJ5oRLLq9N21EZbvei27T9q5zjWyBxuXJnpLzOQFhy0pvckjUaQNZ
RFOa2OQcc+/M7rrC5lLYrKz4obU9MQtQaFoariVlVXuEY59lUrywpTqK5KhjZC57EFTSZZGoPsOm
/6FsemS4al1Km1Y5nfgzqxBQ4BVMjHpp0qm9NNsSbic5pexdXidILnmGeTCmeYmvZlcZceBqtbaB
0dRTSZsSgKCnZcrql7zQ5k3V+hQvjmF46Mv07FOmASnVfO1DHmR+VPV7qk7gUJFhpaEYjLMjMJrr
8TtFL32gCo1oMMnaEOEqqGf9V0LqF73GaO5jlx3bNKF8SZV771gS+UrV2i9bU9069Cj0Gmz3xaAz
Y+i0lgCOlSzMALZHsrZW+tIjCASBhYo9QyywxzueJ/xfQk4BvcGpiXWilTDT42lN/rP4MckEC10x
SLJLDEmACtIMfN7s1+9u2dagpPGtG/FDO4Z3MjYwCrqqXOu+Nlw0HkMvem1nGzlX0X81lq//ifGN
wOBiBf73CsuKxPTX/5Nf/Odv+VNYgWUD5wYdhEW24Zp/uKL/FFZo5MOdRDoSPxHOW3Ph0vwrsWj9
AwUGD9yS8lsM6mg8/9fopiOFUPVg/tME959IK4ud/vc9++K8I16GuIOhDle79TdlJRyjGQ0Yk1Gc
a/l9DoB2HdpDf65dHh0aD9Z1+QfF2lRqGyvxFGYLxH15nJeZSTguz9OglRTATzzloKBPEXvdxLsa
7JBPdUj2rAYqummUGPYQQF36dVGoA8/49qQW5DnJt8kUV22EBK7rP7BzxFwYRWE/Ak97Ye6ndoYl
K2LID8LVkGAwD57gY4SsSAnO//bGXf+0F/wuNBFR/fvLgXcCwR/NysF5hRLGr/9m/JknjzJRpCVq
HkaKjbm4PUadLp+igSl7aiDoxjGYdOGO7a7u7HBnK7896vUsVngTi0Ns+Ge7LSbGm3pYmxFnSjtz
0QpLUv+6y45+lHX0bEgT5kS5gDXCqbrjnIF3q0raZD2IcaLvrfu4zJe+pEVbp4l7O7ig9LkgYP8S
7WvuLslGfT5mdsvjAEzEhQ7mL2Wy5NYjTlHQRUykYQ7nLInEPs+HZlV0wqIcusGunFTeLuEavNa5
5STeQEUpDLNpO7sVz0GAB4GZ8m+NeiqI26XEFoNhhBWOK41elvIpt1qWpI4cvrIKX2QU2fMJjhEF
XZJba0alwgF1kCe/Y7Qy6FrF07ywj1qRN4E20tokQJehvJvGQTRQCEElnyHyems6ZhhhLOpQ69HK
t3HCjdsdM/4MZ4j5XSyYhvhehjNUcks+2splsDCa1UB6bYoICVmVeFZ5dLVte+PIIgmSOv+umo45
ab5NGrsW3h5CgCn1SL3aja52m4vZDeaRv5il9ca2wSm6NdBCPeEPDkGwUZMDoq+JOLKnEPBO6LFN
cBbC9gi9Z1cAItiOQwQ1daQ2ty0lifnRqddGnu1JMa8QDyihzaL8LgF5UAE1XsKc9b0/sMcz42p+
iNvIDLiSAgfMvHZvdhOKXP8dWpXLW2wOwHRLHwUxqW6p4hk/Org48VNt+84yV30TzhvTgPxs8sUo
/vQy/Vdcf5qqr//9v/5t+Iis+JLh/vcH/+PnJwaI4tfvqvo/f9OfR7/7j8U6CHWS04RzBRH8n5K6
wKuMiw9B3bRM16Nz7K+T3/b/ISzL8F0XCzNoNLpy/nXy80sGbjZ0eDTwxYtp/kcnv1gsVL9ZrHRy
IHTyLM8YolCOZf3NYhWqfNYwTjg0u1QNrHSGG+j28b5mi4xrBU+f70X1onpzH1H9rcjQO/yo27GY
pE4RLCgrud5smZYtuw363NXXg1L1NqUq2heTd6D20QhiyyouUTKF+7o0z61RvWcKHa0ypuFaNtqx
GBjUuhme5DBl5Q3WBlbhqfkM2wwkRlYHVi8OTdNebLHMUU7/2E7o57YP1AQ+KWCnJqT+nUuQ3S+X
tgGhHBXiI7TM15BDdG2H8LbtrvkAyrpqFBnoxNknC8lQpEwnhTTPHTSNAqoGdpN+12fdwj4el/6H
6qBYvLEvo6i5HpJthM9zb0MDW+kGPQp6Ks6uK1mURe+RgYCT03m3/PR7jxK40tV3ueFdNVM94yDx
iID4JhMSOCRdoDii/Z2Kst1bIEEg97AZk1jMnaMy8lUBNmQsqp+4hbZxlVLbEfvXnBswYSH64Wax
G8f8Oa3dc498tbTIfYzCpRzU497bvXEphP/vxAgBeXyP3oXyMLzwEDN3VVTom5isZEBPRLNJJfkQ
DR09XNjKuXdXwldGXRXtPtT7C7xxlicTGSVFI5irqsBNiA/P2U0votd+tF/piWlWFNET1uc+iz0Q
SGzKDWanLKgr9sQUiD1PoX9Ex3hC4MuB6+zCBmik9I553j3H8FsKCso2HU0Wqxi2i7VAXjIiyWup
hcTCgL/o7gBxlBiSCMsjxNg3ARqmTbV1qQ8ghxI1EuJcDKrwY5ARWF3nJz/Rb0uiC5zCW7iQZmZR
ojy6hHgjOewLRYVl6xfLcN+BYVLRptDsvak8PDFvkPWTDduk9A4jS3/I60I72D0Xoqn33JWlV3dj
x3HPhwrhCETOGq8CDXtcyyPR0EW18HF0CTZLzxLKup1xZnGV0fQg0N/0hV1CEEpL2a8PCEWsOKZN
yKXkEHrVV68NmPpRyq4Qhn4pg0852KUTAqLa1KA2qUSR67YHG01sd9wzizinlhTU3ltQPxPmsnVL
P1YF/gbHXs9OaOX6mXUZ81rg0weg7Uk/fgsXcFCYpMMiO7cfnVD9noVDsysTUFdhG/FI7LziUHvk
bE23YmyLeLET1JE92x8uDUNv7GxNaze8jNmtTo30AXX1J54GpqACxS4t+DiQdbCf6ECfaJIn4MNd
2d/TlmEF9VBA614ISYxMgT8Z8rFKi2nNaKveRev+wCLBM7j2wpPjjWKNMczeMh3SgYUFed3iursz
PbbobVzaJ1617KjpNCwOVFkdZUw1ETv5q4vt67GN75FLu6MXTek5SdNmC6hZrsRIs4Of5jLwSCrc
p+0EC1EzDrZDScPUZ1/O7HzC9M53OD+PUi+R61pOmcazSJCFza5ih0cvzFisXT2HboYP6NKbyDKT
C1vQo0UABdORY/0Q65AS08bvqHoPy02bAKCV8QwCfRi4Bc+2hvUC88o8lUSiqgLDTlQFoGsfI5V/
tzEmOxN9b9kKcDBbhwhizsqwuIvANpxgwfkvdT09hbraa6WV7eepr5/xnKrPSk3Ohe2Hvu6T7Ns0
HQZqMRqBVmZI3cgnU2BFOfB0kv2E7vjGWXSwnKOeu7bnp2RJQhUIf5OonrsaC4mzpnms6vpiBjWZ
XCeRviLx4QTnNfwj/9xhjb6PjFmjRsXq4IrU0ckwWApE82RAwa61fT46X3VBWYRbDCJIe5Uepzxv
9rPPmd2ZSu7dxv/EoMadWXT1f281/6Nx1jPZyi9u6n9/r1l9Dp9N/Pn7teav3/WXWcD742pjY6ey
BXuOf91smHZxCYglbs0UJcDx/HWzcfARcLUhYEqP+vIr+NP/BXx1/0HBnEt74V83pf/ALvD3GY7c
JaGNJSNGkpV42WIm+G2GwyLfOJXt0U7VNwc9ex7Yhnk/Nbyxv70q/59p0dT/iGj/foUyjSWq5lF3
aOt4bq2/jYvJ2DcdOp7HZMLykmKytDAuGjC9pRy7sq+dVZqvs9eapEcXNt9QGPFm1pOKx01nXVOD
nVHVp/6JpFEfhNjFz4hr/oVFWsU63jKMTVFQmIVTz2S0kV9ebeHDE672q49t5hTdDG9zms81uD4s
k+vFvfwhwmrcu2E4N5RV6ay8IpqgjdTsmPmwfGsmxFC8xRSpUd94p1U04jhj17zpTQrStCMQdu0Y
dTdFSb14QsMqgU87ae+atOtXRczCecVucoINQkeWV1mM5XrHt78Wun6rQc2ch9Yv9SPtqjrzMpW9
lVeKZgehDrBnrerAHXot4+zS6fOLzfnoppYbFL4ML2KO3RNcWlZceuG023CWLEmHEb+q306vEPuL
ezkUS6S00I60WuhbVbET1kTmbSojN3debvo/RDeY2As0vVmeKvmmZ376NRhq6RKlfmUn5QRH13XI
6mXSijesL72d1vDPj1kZsRiaWnGypQqn9ehheeaTS7tySygxSLiOUeNY2dEmFIl1Meii3BH3KO4Q
dGDL6qH57sSOee/Viv/lEcOY9Shbg1wZuTW6/iqcsXC04IPICU7Jg8FuhsnfLcC+ji2FaYFnxfmX
0/b5Vqr5Q89nIJFO1j6E+lTdattNH01T5l82VhBWP8jTLuOl09LZgOy/k0k5AQKNlLMxMh5zOknY
Nk2w0emkf7+bymhKWO2a8za3qr/wBce5qmz9oIUD/B5j9iLWtiOyr8+2x/YlCB8ChJSuN1+iwG1P
2Qv1s+pl0O3ibNHltLeF7M+A38pDzrcf2Eti7X3BBYFlNfJ0jLdC6+z0q47K8lS1yvqkTsE5E2hn
FUdvF0SbCUPOsnnreuW/oVNlWw8dDMj6kv41Z20TllV/X4yIo5kyrPdUcjN2qnBPom+G8hS+OAX3
JTZSIOdm85dp+ONGQU2kOGnW0EnZbNGjFXF6MNRr9d2Ui4RinSzeaIzYWzFbLGfCaO6/yPsTRtCc
5jvL4KjYGeBbBQaYeEfTwJg3LeCfk+2vy3QAtlzKAQO6eIyT1mN+H+XeIfG6bXAt05RoxtPDgE4A
UmWGp7KaJtHtuQ9jmMhxogdN11m0E+rdo5nYiNa6MwasXgyaDeVXo1iuJOQvN+AyceuQk3azqttk
qc8eCFT1varY1aG3lAtn69aTEN2ZZgViljxjuObE5XFrOiF15D1NTjC4xKbVtO44CBbVTrrz5gbL
p2bqUN5jbSls56P8VEHa19b6AG8qSNlySIBBcbszMY0km7mbsteWIgyulykdbCyuo8NY4lllPaef
xqzsoRovOJkRXE8NOfaczljDezEe00QTrKjZ7fv6pTR10oPyoLn1FpDQNg4bKoeM+w7Bu+6pDdTn
F2gQLyhV5MtCsXV191P5/t5ZVtL8m5TNpFq74ytO3b3m1QT8tTzdZnVvOJt0yKNTDA1oN1hEdvPG
839qcxy+Fjw1JhBkQu3BT1HjmGKXn2U0kWEjp0+J3Sf0ZcBdskZyiu/RTuUmM7aDHdkPspbi2ZPe
YouKALg68rlwFu+r3j3rluZfqSsd16YLC9irfSoIxv4cTVl7gAOCkajHXCNyaD+N86kJatXm7Ic7
2/GhdzSxlyNZkGSeH2iyJoMAETaMqSqozaoDkcwQWPTOfddPNUisWluPs5muc8JGRfLo6/ZdMqru
hP6vvVIQe5/H5fOYvWXUro8F1X5Ir50H3m3+pbXqwM5o7UX+LzMS4zptxiOPulVpZtup9X7KHDfJ
sHG7dkfZ4M1ZNsWy/AJfVmxoQwrs5IdhdTS5Uukal3fwfTlbcEIDUd8WFkORweWZLbAmPtgHrsPi
ac7hGpk7xzz0+lvRYBON3/l2ay5gz6Mf/aA0pl1ZExd543s0eDQY79QQHKl6paqbdQ1u2o4xM68s
4qc0UJZfsIn3esvK2L7kzg83bO9SXdsMwmwANXjnkUyan6Q/w8R54vOJUg0qFYyFthtkdrZyPKzM
e+c2Gj8RbsGfFo59bksbiJl181v7jBZIljYKobpRz12RzJ5MLXCqqmCpmZobr78KGsyafHGGFUuB
LKxTeRwtwBN+WxwHPz8VmsYDbrbzlapplxBxgPcW/00UgAy/b2rjMLjzym8zE6psme5N+kP2M9ow
pPqxWRN/K3bxiOdOEbnX+PlHms4rn/h1Df5AZJ8zqVPNyJ414we4d8rs9fEapug10J/3+B/pGgnv
xzDamr2LUT0CDZY4W5sESi7yCcOyskjzYCGMsh9Z4X4QZ6iopQfgifNFQSKp3FVWYX8qIQeyGX2o
swuRiKBzn5l45g2273ozJgA2G8zjER88TE5Wzk88kJNK0THc/LscSehN+tqnPnCt4B+TaNrhBvWh
8+6k/9hmdhA1/NCpP0S7RIf8xEnaaJvEcH5B8fYeKjitWyF4rTSiKj25rHWiR3mQ2YglHIP7zoHQ
ZVBuuE5D+s2trkQ27wkR9xMOBMf2nmGxPuDu3iaxzY65zIptUbsHovuMfAb2vRwhgV+O20S7s7Wm
Y1ICutGRWyKuNhmQAGTvnxKBREDT5cIdW3WNXOtOuyvcFISXru/IG1CCwTXQsx4h1K2T3A9MlQUW
NP6MYFOQWuV3abHaHyhLb8NbDOGwjYwN5om9aT35/oMWP0tKiM2Bze2SxZFwLniD+aq5r5IlgWb3
Gx5FQZY39WrU2g+WAC+OM1rB6BQicHjeXcz6otUszFsE8ME8xxTIbUuX7W3ucXHx++mAHfGu0CXQ
at8n+KJ5R0q2t4PULiVNcyvfskbsGepBFnx0B4dxWyjvV0Y2jDbUVzfi6pjrbrtx492A2cASJ3Kw
J9BpX7qMLl0UXmv1OkpX35Oax8PvDLxq4i2vnS3Rf5CT8QPierKHneXhbmh+mgQQfHSZozPYB48f
umrFsTJnPABcd5WtbWJZiU8xxpLlxcC3byrJrg5udV/TMxTiUF7R/oojwsrXjRTySaYP5AAiYNy4
Whx6AuMjZSOrFiWrhGk94gOw6oeuUCvp8+7lq7unuARpzYiqUYe7jXqdvpaKzXI9ZgfdI5PReSvO
5Zc2f2UbSxVUsod4tKXXZWcwbRs6uLus2ifWOSnUAc/xrlrg0/yBpjUhcF6l8zkUH6q/B4awoVJ7
eZt/5M1zXQ6HNBMr4oBLE5y9sWlKBMfiH3Q+pb5zP8d86NlCc319ZEkGX6XedH11K9oxeavH6VYa
/m3IzzlRK5xU88V06KQj4mdW3s9KsKLWW/Ft+Rgz6HOypH3Ux3jfzk8W65rVPDTmEYXuHFP7EM4l
hMXMRW6sN4W9bhy1M+pmo/eUBDFIjdQSyS6+zFpCersebrrD1son9xZaWC97dSc5Kawa60jl7uv5
jY2925xM8R6Ox0S/2uEXodF9Yb+UUOBcB3uDo52KaZ/SaQs4ABeIVPphsL2thr0KVe9UdEc8rSsz
4kSUnti4FWm08jFDn4VfsZ7nx942mAlmvlLWW9XF14h/TNTv0PGoZvrKzeKH5J31rO9ImzH5VtPZ
JpCHE3vtSo9OjuI8mD0foJ7Eh0DL1PRvM9fhKruas/E794NrH7Od1x1jq2DzQ5QzLVt8XLlp0pWu
zl4bUYBaFnhttOI0jPop7eNNg5m0285LrUZnf1EwsLbzDvLe0AYpr/BA0ZzVtfGhA6kEuJ4OXluv
jZNKpUNIXOVojAInbFE8+13+U/hQAcMxdF+EId1Tl4pr5iSnyjC5kBEx7MsDrpHvFIkPYqAiskq+
50Xq6oATaqWEDW6y99+5kzmw+IqNUBookdoH/h26a25pAzeo+eiFNy8Wge6fyTudqtS/z911VL+Z
YXGmiO8MbhpdHNzgbiyydd3p7zXfS/enU9Tfhqsa3LMgsENVnU1n/mipPDbQXBHDSP5Ny5bxF/iw
nUMFRcqyrWQxqPzursT3UgfN3GlBHf6am2mfu+UZguZZC2krggDox5vI+slmedWqp9i7quqrcbqT
LaaTXUe3VuRB6QoWrboPKjqtCYmCRcWRZzSHzKgOZpvcNVF2TYdx3STiWMgrVLiBS8B7md9IOGK5
2AlJZzWVz+Zbq1nhCqjJyk61p7L6MChuqU35SICYevE5KNxT22pBNoRnDDXrubV/aFb2UIg7zoJN
wvnpYjGW4cl0snuj5d5fLn3ts3gsJYUB44DYn97187CrxVTvlNYFnnQfhDPfyqZ7ZEbbu/N7CLOw
5iKxxm4c+B54qb7r7lnA0vAG6Ko5puWXYrhZ5eH8aWYSHlQOmKnn73RY1Kzs+nlcPn5jetPx3GtG
sc7y9AB2hlYHPVDqlRsfLWjVJpHnUQ2Byl+kvyf2sx7SjwRbi0fD8N6lkwTopcHzlgnMkw/EgX/1
2p4CuMAtxw9UCNbSxmMXWpshq39lU/pjXELhOg3rzb2Gzl2x+Oh4PHryl6YmZlZA/8QCyVH02gE7
IIFE46Mp/U0Ro1X7rcPhYEa/vJxQAbPf5BfnRhg79uw7ouY7TWXJlu5PpegoNuTKIfPgv6Sg5FZz
rf90DTTdiLSFf67ncT278nn2PllU0P7cr03YsrW4i2awpfpwDJW/qoDWzRG1ViUmZAC3Au/uRPTb
HVaz+Fz8UG5bbMPycwL6SivwWgqKcMoo6DgudWpy565pV8IENNk62jZKJxb23nUazTM2Vqyg6kcV
YtOX2cY1rk7nILXa/CcFwf1RTd0pZ3Qkdn+2810krl0rtkmyF+F8wPd16mst0E1yi/Lma9Pzspsm
WUA+sXggvgqkTnifcYINd4gNVi94UbvJx8yabcxoOqe0A7MHaK9t339O7CagRjuSEASPnLCgtzU0
yktcqZNj/8R/HPSYrs5+Knl6LJmAPHL3ocZNruaGY4U/vDl7ykmTt6W6lN1Pl9GilMwSttzPc7ZW
gOpY1/tY6bwU3XeL42mpJ+kwpvn8I+e82uXuNpze+pFtC1EI7pcry3gc62hd+9WPMOcb1qiZa0ZI
pNr3Rj7evQA+MLTtLtWhTayo67XOyimzfVJQqmgKr9umDaqW01SSjFA2cxX/iqQXHrrW+iPRiGdM
YVLoc52Idjnrj37UYpG20/iUWlaz1cPiQRppvBvN+JIKB/++Z1FJmvUvnZh7aEEGOv30hWDPiFiM
MWCC+BybTRg0KXgY1B2mMtkZCCJxhZ4mttPijGyy3Nxnjfmsq4Hor5aq6ZtTfDiHoTGhuIRw6g0S
yHZyjafl5PTld2pExrnX2FL1WdofxMCdUvdyghNxX56ZCHGgcbt9SMcspctaRqdoNstnb7LCe0a0
eKuS3A3sNJ9OGbur75qqpTOWOhLuaZcRcV4CN2VWXVh+oBxNlb9CPAK5DwE6g84MLXiFPkBOojSj
tZtXxsaIIraDNtHOHrvmGcdt+R0JIoFe/tFxZz6FhOr3hRzKoGlNI6BiZKnWAoo11Ux4c8kmroZV
s418745eclpToj5tryrHD21bFZ8Gv9r2pnOIdUkTa8EQ3TFbodpAqTZZyI442ow0jcBm+BedAR6B
542dkA/2KGSzlk7EsgriUuFQ/jTcwVtm9/wWI1kETA57iJKbWlC1ZGLs5053ExppJpZkGCwTN6c7
2vyaO5MjKRseZOVcC29K1wNNWivpEvSImultJnDuO/OjmKFTqKTggbwwO2ptKRHXCnyEHAVlLrh9
em9jzt71mDAJF679UNue8cMkp4++2p7x236wEb+0nb7X6fwmj86zzWALjMHUcTXgIrW+hEnuffEV
D9UXq+2PgdJvX03zxhjy8k4MYXhtwzhlhqVUfB6Ka4GsuiqXLWTWy5uGDrPybC/5aUfkZVgwdkuj
OaELYiArXdn2dmqKHvnGYuva1ml36PDwH0bZ3Fsdle+la17bjEmlnDImkIJcqrLFozTcrW8OJ/Zo
O6b7cNNW0MKKKFT4YAveToQefEauSS+rZwJPko+4GanAjJIQh6VKH+WIC9YXzltE0fGKRMfKKqPX
YgA9EVlXT5LpKAmopWFXPNhhXXFFUYzK8ZMmH3x/EttRX55usjPLE/1AJMon2gVTgv0irrKnyTcy
JGQaQHpA94FDJoiCO5xQ4zQcWCo2N3gxaF5+JrdOM2SBZzACDx3T4yhzZnU6pkEdxN4JjpW6qLRz
zFWEQxMt22qDrCEuqPDifFDzlu/EmHynQxOzyvN4EMGboAyNeQeTw04vu9e+8x36uQAkYuaEeB8N
YRCWg/sTdM50KKWdvfea8e6g3H74Gh+arGfgWmF0FjtnDnN4lr0qVwripY0jGm2Ju3dQAG4MDLp3
3nHGZSQYk+/eqaNrbiJ/5jxib/jSFl5blJM2oRTaJKC8msTU7fAx2M/APOK3qSrPUTlp72VmWEdV
RNSapnqrnvu5q4nOz/hZ6XhN6GE3ZUn4JDcvlH3S1Sqs+kTdm4M5sBBXON0xd2DT2plWVF+rWchg
1HA5qKbm65saobf1oS9c2rivH91G028NfzepaevU6KFzNg1lMHL4JD8whPcr6eDLADsEq8ev862T
e9fWjqlDnzskpHqEuSKrXyU1Y+tF9n6fDQiWcCHJ3VtT85BadbMfjbw/WIP1E4Sdd5d7y3OpphNb
xpEMNAvwHXWk8toLZBXABZKExUTPtt1UmxHl+hfCwbirLT3X9kUxelWgVdb8lg8a4T695FxLWmtp
DSqvHiSsoC1SkjRD1yGL1QV3Vzxn9wm25z1qsgecKK0/q7Laakm2tMOrdEPMHHONj2ykURb7jSSQ
3ivT9fYDBHcvrJafIx+/CU2rl9j1QrQtd75nLxyubRHmO1Wqn1X45tSQ03vupN9e8n/YO5PttpG1
yz4RagGBJoApe1KkWkqWPMGSZRl93+PZalYvVjtoZ6abvHbdVdN/kisnMiUQCHzNOftwNkCXco6C
lQ2iBr8jNXVwDrUBJVwaRFNU7FpXTY/yfGLnvNICKrQ6CvUP7EtmlHRKFN0I9yrqGweSCadZzST0
PZcA6jORAjKo42JX9io6T47nIUweuozMZQgRyd4uWCS45H5tLuec1fIcp1WjH/05QjcYJQNR3MFr
UfaE6RiZeXRnP9/nodUtiRwLborO45XTSyaBWd7hKcfhMInyjaH0O0fYDIu9G1K6a8H4SCNhysRp
b5cm74wp7t7CCk9blUV3pTWANuwG60sOQ+q60ZLkDbPJDCW8JU2HLswvl73Kt8i6oN05ehTdFlnh
3DYOuqXS5k4s0mxfNATHotFkQc6x9lK4k/7Aem3p5W5yY+a5e1PnxkiPLoEE+pxXpu9+zGo9vx3z
rKQPourB1lFeZ7r/JApnVxS+vsl63kfujMdxGrr+0LhBDCHJM2+1WT9YgTS2pVMKeO6VtS6nKj76
FnofgUyUPmV+m5nNAX/P5RJ2uXsfIAs/Z3rxpHthfZSzvpaW4NjvmIyhsNJ4FgYiJ1jKEiAltOQ0
8DqDNKPkPK1PQmyFqcjyfAVpImM9EtxlNhDBYFK+YD8itSPgBVly43EmtM8zwlmKDXP8SAZbew/F
oNgAemYI3zGcsoLe5N8c5LbVk5ETeVj1Ix2g6SKrdNyjZhlfIj++NkWsL8XIWg2OGbMszY2ugBcp
bYb/SggneBliok74ssp1pHeANXsO+LkqblFXMRz3cCpZhJIvC+4l6hzciEliYfltCf4q2XttiBik
Ch+IBa91fVT+LI+oPcNL1JImX9pOg4otkWevoqaMfevKrANnG2u+fvDiMf5UgO2k5GrH57JjekYG
ebjB1yGWyC2esRNkuxD2IYAp6X0iYIWoSTzd6JjQWbNtsZKjOteReTTT3svB4iRaga+UE3bdQ+/Y
Aa11jmbHgcsViAyISqNwz5iXnI9F1hj5whdENjZYhm6aiUgXhjL50Y7Q2uDfj1eFQQhe3hr4YYOi
bZgCT5yXTY95rZGctVjta2AuLWzProivKw6tU9KaDIcweWmHwM6a26Rk0GQizjnkeRQdgtglQoyY
QeiGpTgldiP3SdCTamxzKpYxviITHM3LpKCIocGflDmVcxBQvtbYynVEUazYPOIJNlVQOnfpoNub
mgCTVTopEXIZMAZsbKJncOt8tAPhs7SIipXXjtRXOTkdtCv2KnLaeMOpeeS9HJNXOlsu3SH/R/6I
8RxZNV3qxAo3xHTHSc+gY8LnSbQZ8y6yLta2hU23FtVbAOeFuDrSWfzM8T/549xz88T04YnscZ7E
4bgTxiR3o8iMpxpm6Sm00OX2Lao+Qr37K9PWpmXeJ9WWgrZ+nsH5HTqJSKut0uw66KAi+yTRnxIt
Y4lHSibuGGLItzJtQkzPfBeWxndh049CX/KaHVpDsvBGL1zGNnaruTHMFaauec2G87pNR7kTcQO1
aDK6lwCzNq0DFy0pmDI3GokIda4/Wwb2MgIlxV3GVNhj8troZFW01i5zzAEP6chxo/L5OB246qIt
DqFRaeekbaqd7seM5QjNzBcovMMbPKLBBhFavdQt7DKNSe1GgecAZLQHFv2IemZcfxtnqvuDl8M+
anSMYCPozWDZFwMePD+ioLUMjQNZpsSB8UyCQ6mYLYbayYh4VeUuwUGllhP52BXafiSp6Bm/vXse
9KdOx58by2DFE1QDwebgqRqmwPw+SXrO85KBUQ4r+i51yQwym6zY1REd78JozHhLWCD8PZIN15Nj
v1l2Fq/YGOtvgyvzrVHq4gMiEe95roFBe0Vzm7pUVFNX8vfhcngz84Z0urHpSfr1GcB/mosm3Zm9
bZGxPWGpdOgN+nVXjaTjOlnDyhIQ3iY2Enfl1u3kL4sa7eZo8ve1XRUcoQcZZxnk5s6ag4y9j8Tb
ha1/H0gKE/asA9+mQEAQNRqxcTPLrhFZ1LLOZLbJM6LH0bgXEM2d85B73pIscAcY9zhRwQbusxES
aIMD4aatxYcsI7hV4g0QdJzbaYr1G/rf6aBpBmuGbCxq8hdBawZR1u8Qhlvxwq0ykpAsLQK+xA/t
OZmrtW8W/XWks1SBE5OAbsCXrDtl85rNdBCImyFYSk4cly58GUlNexvgHPI7h8JpFnzvRAuRsbB0
PCffWhMtZeghPG3wtNQs7MNkmViRtWhKLSAUoHIWPG7iI5ZLLkVYf/b8QF/5s2XCUJiT12jGLpII
pltWIdep6b+lgkVF48kbzbAb2uv4rmGOsqj6aWRKlEQWSBHanK3LShlhqDk/cXLR3OgkswcRI5mI
kMizDYJn30E7hO3OaICLPm6F4a8Bjmj3iC/5S8p8ekzhHN4EoxNuSpBwz4lntlea8GlrRxqAuUDx
ZwiAuyam2Nu+yKubaLA/9Im0DhWA4+exZByMYVTsWoLktq6M+M8su51fi+KhmsxxoEHVyufWTast
6UfZNXEiX/zBje4kU7/7wI5cdJW1AaiQFqL1me86ZTBtKe/dOykKDYegu4rZTfQrrddvdUMUR9Ao
MSMSWrt9J6PuqyXmf9T/f1L/2+ZvuTqL18/vufbh//xv9Bnv2af3OvheLycuP/1NLIfuDUoOen1S
5tiiu4jE/iKd24YwDSLQXR1qqzT+Ecuh9ZcuSENUbFB1TIlg7x+tnG2i29D5t0zsy8jo/gutHESw
n10A5E6gsIE04joAs9yfYi9kOJlTk/YmMR04lNvZqjvmR53/lA2jfZj1Ol+SguatuHNZLPh0TjdV
GUoOlDTT7wqWdTde4Nqfp9aUVzYITijJ2VBuBCaBxzSDop0LG/dMYyPt7GswUbi3gU+MZfnMvNZf
spIrr9xcGx46W6Yf6sgeWQJ3DMWjyN8LdNELoblngscYcdI4J69WWRoP7mRlu8ruG7idRXhEupSi
je+SY5aS59ODPbiDvMJmeQzDm9os/HufZpV8H8hkIc50AkZHL6IqVsBcbDwPtXr7llUX4gDv3A96
S7U9SIAWfqRE5CHO//oq9pgh5AHb7BQz23XDhHhTGQ4Ze32btpvSa9+8liCE3pyuXBGfKyv7IpsW
E2oykoASoRVaFJHtrgFyTR+t0S/P3lgLRmBBfgg0Ysom4ZrPHcPVap7l1VAXxk4EmVXihK6btdto
9a5LRMWYqguPnW9Opy4pXzsTVuUUjbwRYnhk7IIdpmFxqR0jM5UfMr8PsWGbJiKEfO/M7Ytv5W9l
1kSbGo3BhMJjDS50Oo3Q/VkbcGG63oqXg7DwqhroVeLa9khtqrO9qNoGXXP/luHSWw0efl1kP2yq
LDRgMX/C3kMD06wGSns9L+ItSqqKHPgCLNrA1597g0vx62z4ZuNzCIX7ioDqJ1bV6Tqp+nJekRYC
/SbXUIRIMtqm2TskIaZdyIjrwE+acoWgLt+i5ZIFpsIEMbnkyuUpURWwVFRGeNSZb5g/2hs7kuYD
OApBqlzFytEpi+JRm3jDLGRQW6tcy08+4WGLNu1m/M9z93r5x9ypshajRcLacsyQjDAVQnx+AkAI
TBSLF5Znk41jIUzM/DSy3KPASK5DAHrt2ndt51X4SghpIePbJbnDGqWJCV+VWje82/ncfxa5TTlK
Pmm07inm33k/YXHTUdCrgC5QdXcY1Ru2iIV7k/AeTHgfepcXI29IG2QTrTJLwjTuyWGbJAGwWfCW
qFdrGxriI1hg8sHUi7cJNHw76mWMvsWq15F6RVtuX6r4xGLbzJq5DE3BS1grJOK5yxt+ivrgs1Sv
/UqCBEhUz+yDH7gHfNS8lqpQELHG76qKB6voxVNcUqcHVBaWENQYru9Qb4hL7THYbb/DiA4EA1Dc
VRAIJYaI24mUyU6/MVQRI9KkWXQxqk3qG1rg9kZQ8UA2dZ+xiQNBUOXQ0KC686mQSo1tOycMOAxG
NBtPI12XDElY6D6PIfAosXI1ybUIVfHF9Hlvirlc25fKrIeEvNOSQpzRSwTHVBrFqggHSnS3mMEm
qxJPL22xIVaxV3taKkCqIKrB6FIZWqpI1Jw53WmqcJwuNaR1qSeVgfaNOsJZZqrcRAbb3DJ4fZiR
2T2zdjE/WL665nZivNmqZJ2pXenhKFdCOlhdFbZmYlLjwgSiKVKFb6ZK4JjZXbqAzZOeHQzkcim6
AbeBKpw1Ea660MRdDpGDlfh5UEW28AbE96rwxs4AmMSvOWrtWjvpqkBPMnRMWVW8FEQHb0UVM6y7
VPTTpbpvmNZA+qLkn0pWZLpqA+Y0/5BcOoNeNQncGg7KSto3Bqm0mzPNBGON8MZUDUZS6vQaSaRX
O6M0tXOqWpG+QfyRqvYkcLPyOlUtS9umFmxcqX/EIpt5y0Q1N4WGaSgA9vLsNsNzqlqgvgSMwiUi
jE81SF00KjEVTZMkHwq+J5Mv1VAlqrUCVol7s2rFKVONl6NaMIsl5gZsd7FxVYOWpSnfzqVr07lF
V5lv1vh2dO5Q1d5lHpgsXbV8jWr+gKlATFENIZ013EXVJEaqXWxU4zipFtI3K7nLjX6XXvpL/dJr
ZsLvb8E2+5/SqicnSTWleVi84bw1tr5qWF3uMN6ANLHzAATGV41tS9TDIura49wL47liFrVIVCPs
XHpiM4qPU5vHm/TSMKvW2VdNdKHaaXDd/nG6tNiq2c5SJslaxFVvVCueqaZ8mnXnjmdT2/hjjoTS
9dCkIqUHl9GWx0i19s6Ej8pS7X6lGv8LPj1VwwCGrXJfqAEBu6YW7jl5lIUaH1hqkFDXrnNI/dhb
UQ13V2JsTi1K9UXgaMZDrYYQthpH8HUOq0KNKOQYJ0cIwh7EG76xpDQIGbVl8+o6dX6ghxjXvmD3
VWjasHI9jiFHzUB0NQ1x3RwpoFf6N56alSDH4K5z09r5iCTffKASno9IRsqH1i4kF6GU/hWu5Xxj
F1V6Iib+2av002xP9SrN2Yew7MhWbBy7HTw5lPG28jVCR1oUpmCv4A3Jo6kGPbka+ehBF94NI9/a
RNrUstemO+wNFYlIoQ9NIz0M5JcPgaXfBTriebudt4mv7/iBpwtl3bbtT7TOLKgzkG1d7AYrSw2g
Gsu+8itGUiJ3zxw7QMocBpZJV0YP8jLDatQ4K1SDrdm0tE0R9DDF5uRTYtAMR8jsN93kNCtieOs1
+rftnOrOrZ96e5PqSK/dfo1GNUH6ZJXI8Iz5VANs2xPW/ZFGOzvYsMcZ/gbayi859FipdkvWlteM
0N+DyT9Wo7FmYF/DUAEmhV0NoTHCYYbotIfxIJadGgZaaizIZMq+y9ypfNV0GMutGh+mCs3q4pfS
1WgxVEPGQY0bB4s1UqJGkEhzffg+jCVlWo97livttWTAvkrVHLNSE81ezTbzEaYig9kYtEnsHLsq
ewqsyN10RdMh5s8NlqORSsxkXGoNw5upBqieGqUWaqhaqvFqoQatZD0yMYrmAzJP85aM4Xjvy4mE
jQzCWqfBPMvV2NZgfpsyx43VQNeXWg5nliGvWYXTLayi216HegYjzDuZfjPu58olUVMNim3yucas
tR5GPZ5eWuZsrJKqCiejl+5hz8hFk2ZvuRo/T4YZ3kKwbnaYL8NF4anum1duvMwu0+tGM2L672Te
+sjW95Ue9xxmeFuZLu7GxMnf+9B7bTHWrbU4+lTnqfYQpZN5z6TAOARF9uTFrXlI+s5atkmTVEuE
afJYeBGzVla368qPR/SvXr0x0grdeR0hwp+qPYCL6pB6XnXjTDYHgqNJpR3l7GhTBprGu1Pyq1JD
e/eyKapmkeQhpkoHHzzMv/YOr+0nh/nEooSensqA6ceYmleeNY8LkPes9utoUHQ0qtqqn59rypKH
qUafVdjQuHMwiyjYTH3j1shFkxJ0Ewc5ZzApSISL2Lb2wsjTWQMgQ6+VmvdViDGlrbVHoxqabU+I
xTKqXOOAjaF5iUF9oojzZLyjYcP5rPOqXBmzC5hbQ3leErG3cJoyPGFzAAXKJvw2HAk8LXlTwQL/
REEdriKhlqipVVz7oUWGUjq9W0ZrPVLU+qvSyvqVkRqYQu2Y+VA/aMU7ipsRWWAP3ciyt7pPA7+k
LAWyrUP3xhqKr7MzkL/HAQ/nGHb5hv3ooi1sb+FOXXBX1lP4ZDFtuy/6zryHLpnts0yOmyrJn2w9
i49j7LCnGiPQczK1WXhpIG4WxthY1wTFMuUfLevYYfXEEltU1q5C1dTAut642MA3uFn7VdqBP/UY
Sh/SeTZg48kC5egwBOKY+LN95QR1CMiXeZdXt/FT2aWYiXnUNDTafoW9e+pOek9s9iBnd1+0g76L
6imIOUZEsyp7uO9dJUFr0C5/CftqurKd6YOZjwk4ILuuP/i1R9lRw6OtV6J4jorCrZAzGxgLas1C
Cmi0qz7tu7dhSBskbZV8DIxufHFCFLIuupfBNcXVVBL3UiZRY56yPOehw+CzYuWtPebwO051LusD
0eUfQLDURzfR8gcztutD5jvFvZZNKG/LIDP3jmSxscKUo33A7u1fD1AeVmbe56tWH6cTbIh0DZjC
x54wZMU+gigAKXWOLfCiOeccJrloQz5M8m5J3aMDkSV78yp7xk/jPou2H1cC4d99Bo5tCV3dZ0vs
tdoG3nWOv5MmiWgEsgTrIZhZus/+Y1i1yReTyN2lhJYE/U7qa8NiekjcWI04MUoTvGWRsF90OdaI
FIbxhZOq2ZdA2c+inGxrkdeIQQja0Nz7SMncAYpRhNTQtlrA0Vtk7biUG2o7VI8Qs1ZRF8q94aIg
szktN0DS5NbzsvhczOUD8r6RVd3AS8/330Lerre/t9ldmCvfm+wg50C7IYnJkTBxXEUm/t7P18l4
BoCoDv3a0G4Hlo8E1ZA11Ea+ds0byl9quXUd2N5wHXKI8IeV7J8Nlt6abW8vv8z/jMO+jsPeii5v
6+n+nRP2B6SRClD6z47R7XudvebT9xMw9QPf5l+E9pnc3ZClsZE68KX/mn/Z/8t1bId0PaZZOqsL
nZ/5C4DEDzkGqnGdIb0hjO/I0tb/l1n0l/GXjjrMsPgQR9ouvtEfb64ZRk5ptkrTNUHiV6PrnO4Y
sg+lRWSNdn1yPHt8IzS92X93if7FPqois364rSE+6cTN6lR7jgN79cdPljjAYi2g7m2aLCOIOwR/
VCGpkghdy6lbeYOj9uFum7w3WYft7fcf/y8RWSolD+4HiW6Ih82fBn/IkMqmdGIisqSE9THHqWWS
XdQU2wLt+WNLZOe7RQ4UdolkprwDwVZs20a3vj5SMNX/ne6tHt8fr4MpmTvCIOCX4fb4KVoMck9a
AdQApRvzftHNJHy28Hsc8LIRf/H7P/pnazBhjkw7YajgaYSeBUHlh6OkHMph7uGa4v6CcnUmptVd
2Qmk7BMcHa55X9jjH46vX28w/jx2vh7HPIGXl6TJ79zIzTiMLXhEAuTmlKqkbEY72RPTiC+lhfi9
rcdIL6/JsNc//f5v/bfrSiPOyovxrPcL3oVMKYl6wkg4Hf3aQesX+/GBlN60xkWDSP/3n/br3awc
0KbwAJbhNfvlWwS9DP1IhWCmKSyKrPkcW13bbeYxX5i9kWy0iQSEGPhl/ofn6F8uMCcITy5kav5Q
+6f7p+zYbE8Jvo9kdGxCasdkHfQkf6RB/JnFvUf8IPfV7/9adSr8dM8qeI/hkHItLd7dP95H46x3
TmpW2bIkwPuTDYYC7ioAoD98zK9foaWDctRt6fDDNFE/fkwOZQtX54iq1uZ4wLkcNkh2u/kz5Tp0
sN//Tb++Z3UuHx9j2xZnr/vzgcCYiEhgQeBNH1vxkwQPGqDq1rstRUzXkJvnWMmqTcMwWcSdCTd5
QO3kLpkYARQtlMwhC/PhG6jhvzgekI9zSgpiYnmBGD8d0Imr00n6DCQ6eIrTlY7ikibcS4ZTFOGx
+f01+PWC88Jh7aes/qxefv6wedKtcAxUmmIJUQURHJyjwAxDJAZD+fL7z/r1HlIvN8ABOKJ5YGzv
xy/X4QSKeUYYFESdtzXjgXsoK8ug/AOm4Ncn80J3Ulg7vlUoBT9+TusbpMYiNVnWA+rSeNKYCgyD
vUpntBwL4h6DNx3dIXwWoDN/+Oxfz1tJJCH+OsXA4mWjrvd3h1+bN0E7lkoyIgVvty7CPiEAcTKs
FbHAAFEKXj3/9XWVECYEmRXYvn55aCrDDZzcd7IlPsoRWVWaPnHyuqvff8ovp87XopQ3CceeoD79
8S/7qSh1iQ87gamxDpd6dMSX/GDw8H5lcP7HZ+GCrvjh3OFsldJ11DZRfaq63t9dT3BZvWb2I3L7
1Au9K9/ES8WOjYSrJpzdHQGsxNCy+koH4A0dN9SUOsHnKM/yXaP3s7ePdVAL5CXGxvyHr/rybPzw
u/FFgwJxTPorBKA/1zP4V712YhS2nO2y2LqC8QS8CTsgckpZwyWRm1eYRhlxZIGHfBLCbxP3kHij
OXmPpAcv0YaaV6xds4v+9Fz/8hAokiacVSHUGUc48I8Xrh+j2Y3NbCZZJ3Y/1MTlfpzJOQUTPqXR
HdhgTT9FqcaNSZ1IGWjMNZ3qNAsJiLs0P9hyyHcCE61ceUEvDlL6gMbZlaJeaZhUgd+ZS45kchFI
XgforbIKWI1BSONijaupzJPPRc3NtOxBl8+bCawEOct5JsplqSFJXFjIqBuMX6N+GpzRfe8zIx93
DYwJ4hBpq4ZNCeqIRdNE07omCzE9BJPXRTCVeLZqPcaNXYYjv4TXtfcjos9b3fRzxJgRqbn6MKb4
YtJJ9WqQdd2R1ImlxTXx8f33420BBhTl7WiSXhJYFRE/Jaq7VTvjGn2JnXhEJ2KO7fr3j9HP3wun
uuToUww8QoX574/fCwYGJNdoKZYaIG6k6EvcU9aqcLo/HArqbcE/9d39qRJFQc9Iyn3PZAt/Ybl8
9+zEf7NahBU54etXSosxTkWDIyhCeTPXTN1+IrTgv8fwo/toRJq2No/OGNjf6CyB44W3CKQ2aRIe
kaKyNxWOkzAriS1YUH+DWUwePEYmGdq6Oc9SbImZIGlA0VmGNvo4i17T4KezXyNb3VkX5ZAyUSn1
16GZdsVYxd+4LMBlhofI6sHIUPC4uIxd1hVhKVAmTQZIZaeq7tSRGOEJ8a2d78vytpqF2x+/Y7DE
sLJZMYB9JpCL9fFX9ApGXwIFfQmDhMTTZNDXqFLk3YWskkClExDLnM1XnorvaVW5/ZmiYjC6+oBz
aF+S+jW/8qX/xUupCChooHWaFkIg3jzEk6RZf9b/QEIx2D84O2+GPPbfAlD8LrjpvLIyt3Xq4v/9
GXvi9zk8me9AJ63ZmCAZ5NjdXtgmht2ne4f75JiTPHjQWpTetYdV1IShwcXXr/PJqpelpcXbyO1Q
aKJPauv1f+SZ1DB/7tmDQ8zougqWYISk/4IxafXK+E8IEyOG2o0PwWWbOv+NMPHq1IOmYUnxFWGS
ZbZ9T0ziUC/mLnDIuPkbXzJOsnCXBV5dsWXpaSTXqV++/c0qYdM6TNvv4SSuaTyVA6SiLRtzsSnj
Ur/7B0uiBaWpRPhvtcKSYFNgt9xH8+InLomPnD5hIwmKxCqIx3W4EdsVpxa5QMmPFBJEKS0DXj+B
VRJFtTwr+Ego/DY40LSQBPr/xB7BfwRG+CfuSGdY8wkryjfmyFxHL70Z4oSL6wffxAH1r5QRriq4
Vy3f/8MXGTi40NlBPvwOLjL3nv1ZxN7MerZojXTVMMK8KbGt+ARU/IUSCexhXkcpXtw5Gev1BSDS
j4Z2I+rwtkjJBPwRIiK94KEExHsH4iP6HPZOts8LFO9tc/Yimxi1b+SQcpxfE1ljfcN20H+k2vns
WbzcRq3/VI+V9YwTQHI/W9b+wgjp++x+9IIblub5P4AQiBgDqhJAHPPnOo8eFQ4kHAz8ku50mPTg
xCEVLP4CgVSzUTEYxjnMOPklCLweCYy4MbQmWrZ2uYnz+dGU7bjEYXcVOOMJR1DK25SVnmaYW2TE
X7rJXpWueGGx8UkPo0eWyTYC6IJleUcuRfM3iyMheIn67n4057OrJ+TmoP2EOq0liwuAo8jBicRN
cCy5x9IQuU1t3AObdoE09NWxyMxFbZQt/nqYgX/zNlJr4huaMQCHcXCk/CQnMi0Y85QOAVn4YK7Z
00D+JJZ+YeD+4xN0+4AeUP8KysgyzJ5hri0rbOrXP1EyhhZJQZ4gbzHjczA42x/5GF2UQp4nMlOY
PENuXpAU8Y2I4Yjo3Q1Da0/1ZruruhJWg3fb/syO3kRGmmnj5za122e7NfKDD//naDF4XSqahQGM
aDWMmrf7m2TRa2J8uBAsWD88KnrFLOt6XZPFseV8xv6KGmcs5z3VxGluetwvFXK12SjZsXnWOhXZ
VW80zwQCHRpYfwBIcNUq7gSOKkDzpvSWF+BEgHFkXRK7do3h8lEyUcTgbuh8MZk8I15i1d10j3Fr
bDQ7uEupv/4BSySx+xY4RI1wxgZHrbLbdamFb40IiHMQnIh5LqeFrEldQQZkrzyMYqe4LC+giAp3
3cEDrYYTO//iavBh+OzoC+1huLRSX19f6BAoMfMrvJIZ6ade+mDZbfo4+xXQEoGvtVdoB73MAWti
s1spksOc6Fuq5m05CJY9jngXmUcUlcFQo2NFf4LxSSJKORF5YZHe1T9keXls/+IwjIrwSLjPUgsl
5kTIC8aUEjcXpuYe3RuIBdLFMaj5xHwBVPBTpuv/TlJwnGlpFePpQlGAZPdYJDQXLvoHF4dXnISH
SrOP89jfiRCbVtf118JKrhNJPsfcU3EytSAzvP9SzG2B83c6hmxIFn9zDoYgLBAC618c9ud4sZH+
XP0JbECVIfdsNu9MFP/mBixqtfiBaCBHZGAcONVCA/t5/R/4BVbdDBoS36JbYSwiWteeLeC1crqu
munQ1h5q+O4bpKCM5o9+HwGsMwJe4qYTy5UiEBiR0E/WSKyvSJUBbe7uhoybktEFLs4khdYTAcbM
e78nNE3ZACBaElIcXyAClZ5sQxdir4WAiHyA+0R4vMkJD1rWZfY6aJ4EypR/1iOtXTAN8DZA8nA1
4fUkg7vGZWHe5NTRy2Hwz05eHR2yffBrOAVe9vIVo+IVO6LxJvGTbmcHloFkl9QGbdI+9KUTnb4a
9EufpOoMBTIDBuXI19OzL4lJHiCM48a3wEDggz3JMF7rbs3bOM+75QDrdQEfHb35N6N91Idvjoz2
gWJDkN9ytpFrLiCJyv1gw3lvsCMtqowxXC1SFShaop3+3kJv1+LW/eqfr2zL34xVs3VM7cmna1NW
eUNY5IRIwr7YiVqQn5hofBYpvqWouJp1bVsrTIYGwXDxve+dqfKjnvmf45xYpm9mdwsiRlHIh8HO
bubGBnOaJS+ynleVOTySMcDRzRu2KYy11WNNbUWtfEvpLfPTdDN2fbEWGXqhf2zrRsfXoQzrJNg3
13E8gFRElA5lDzWbP+y8kbsgys1taBNJEwz1Q1UhpwPJtHGZp2HVRH5H4NGT3rrOQo7YNDAmikBe
WxnjJmfUroyijQk9TdqDM5l4EXqLtXwaXGkkAW0Le+YCtTDtF5rjfYyY9qx9XMiMxUx7NXrTLbr8
K9bK0ATH/rrPSWCebI29XRwfCxcqInTCD25W3YKKyPFXOYDjICGYOhEpkkylmoD2nTn52mNEV3IO
XLCGXcm4SO57vbp3He1sI2hoGwaEo2N9iaTb04aatG5SfsSqgUjJYQk5SGhynTmfCILM2fkH7MZl
/8J4/bVrXQJwa6KMyTM/O4MhFmgHN0WezttxHuMDMohzErgPYQieZLSqO/Y3dzIYi2uYDzXGpPmj
BUikbksBEwHtbGrK+zEF3SIb319nQXmrJRE0Yn9MmZBKEtK67RQDdkT2arP0sMEj2fIm8nu8sYVT
bVi33BVV/Cmp0S9OWnhTsGVdgzhJoTw31RdW7Xd4pDj8mSMtMCs8Nboy/k0YQs3hziBmbl8iT3rU
DJxrYiBaLfUDlFtGMx76Yb5ppd2imUM5Ywcx6GDg1nLhhtVrnHVHkZYnoj7loZo1f2XS9awAIUU6
+GU9OYFLmK/GqH9p89RZktDFOYeObuYIPUqPDTtefiff+Ui8CEgeD20Lc1qG0U3V+jd40w9DT7Jw
mcWwgYqWt84EDUuzhgTBfzksDDcUMAWhc+hirqGIoKCN68RYeDFhS3OzQ4/JccbJstAruZ4yLcda
RKo5c4/V3OWPRaa9z3bl3upBE550t5oOhazEJov4msfC0NapMwQns682pN7vw0EQ62hqL/A0ybSA
jeZlCECx7JDvk2q3sZtv3GZ6Cvr2CZVIsxymYC8l2VYTQIqWkK1mNI+oF++KDnqAKKujOftrz8bW
k0w5/LSSIge28n3nyTNODGtpz/VtpdvPU+7deKgw4TEYe8h8LX41d0R9MKzjoHnEevxoRJV+VbnF
3eAG95VR3GfdRIjjHL3ofbXFgJktZphtfcr+uWjEAYHyYZ7HtVtB5kYEQ4C42PCq3oQtDCmkrRur
q7cD4hHmGHusbgYvlia/du1CwHZw8+koakhVVe/to8y/M6wcm5McEyYm/t4rkZpmw1OWZu4qSI01
QZtbbUxcOmXjSwtwlWe3NBYhSv+1TCVMhdRgsbaofaED7Sx6UyV1iaRYsXwfnI021ASDJ/bgPSLP
bwH4+SFAHV1LMiQcJD4vtDgmfWKBgWC+tlMK6HvnsuKfWi9tdnbSh6cKc+vdGBTVl6bA0brQ6oaS
sTIj81qkdcE0K2otDUc6Mx/AJrb4zCTHftL6bIR9Eg7XrekASDTwdD2V0O5vysjV/aVuRFqKWaYT
t6AyfV7WRu87e6DS6RozPPJYHim3Qq46dOuyM85Fj0Lj2NmtPDtlG94KpsqrLphuZuGfPXe6M5jw
fyKqjnwn95XzDhfb9Mms55tB1oREViI+OAqTuDBC8BQbXdfbl5ELxB3WIF5GeUzHG/Z3tsi6DSFl
hBMC7ovDk68F59GClol4YjmCdfCN/8vdefW2kaxp+K8M9r6BzgHYHWCZxKAsW5J906BkTudU1fnX
70NKliVbluccD4zjvRnAI7LJYldX1Rfe55WTdGzO9cC7IBEMrl10GHSD0epD+s9omY1P9H7vXhX4
0r+zwjg5C2MMKGMnmcaFinVt7M7o/r6rhOvMaeHsVtgilKztRWfyptGaqgpzd2oJdhk6M9ZI5Ok+
RwRwVuRi0zbtDY0nGIFU2IIJR/+Qu+W140Qk4XBCJGMTOndxbynEHDBFKVONm8iD1R474U2YoOKf
aEJt8WyhwTaV1nWKKc0VCspbPeOBZW4UFn65zdSE8j3DRJJe4TauQJ4UOYiydtRQ8gYokmZhS6dl
BvTPke1KMapLuuLPasw0Z2GvQ1Q3LNxx4+II76n+KiyVrD1u+ibfEpcFd1Uu3PO0TKpFH7npZVDi
TjhGPbZ7NSY0ousgjmmzIXDXIZTV874Fn6CIYDjCTJX1LNaIpPBtPMYmwLriAd9K0Z9HnObP8r2I
fOJ6RTIHgqa8JxAm4+pT2LnCW3xcsS2KiWBjfYdAgfZs3MnOHacZ1s7o3Ywq2F9Xc84DI74xuQ8b
ukGLeeh447ViZ0wEDm3g6KWrvoelBkQjTMJ5h3Hce28EXgoTxLqCZsIQ4GiNCC/cVV9XHvw8uwNd
4IX3ruvY91ZrtdfNoYmqNq8rTXU3YZSlNGcp++7QPj5JXSCHrI84SEaxChS/7yfeoG9c0TbTvrTQ
wiNHUPG1XzWyv48decJtoYLWiS2V7XQmrPKig+i/LUOyTzwxi6z3aMrD3nBDeSSfi6rMVmgDmpVL
E/Ayav1yWZRWSycqPgpT4dm3uganueIQPeUopS1MD3OFiaM3c0xRkzlNNfOI1BCKjkFfGrntTiEp
2y0sSzrcB0AmLUA9NAwJQh/ZLngAE7qwPLBYNMZOhCtvu6H7KzbyxeAa+L9zVoQtouvg+AxjlhaD
jI8GYErFVSAgJcwy3RYnNU6h3cQwWvW9acF+0qHWl5PAiz+QJBnKSWerPQgDS9voUa8eAaojf6YM
zTSsm/PB4CSdWna6anGkndUWeJRJJfp20aqlXA6l5cz6rMOZp9RTZVUMdnwqMrtcRwEuCGBKh2IB
agu5oRsEV46aWCd53BwrGe29tmGlH9I6Cj/kMqY9GrLCQMnNUbdIDcTCI3G8cz1Vo0hg9O2kQUG4
9bw4NI9j6Ztz6uh7j0shtftyn2kmtV8hxvYbDio8O4E57fUwZkIOlgdrg7Mgx8V+KG1jUY5NSwLJ
dep9L3ZvKs5FoUZ5jmWQyYRcDkKQqVDIWvN840g3DerY245qO4BrKsfQO5ACSn+tYbZRrFq/psFy
VMntrrUaM9JdXXctT2+NFRBdy2MuwMsI0d0aHqqfUw31d3Dn6bheHqtjbUerLmtwgFQpK1zLrD5U
JWxWuwbzXAXejluqUzYJapEDp35sVBsV+Fblw1pgr7ALQiA7iK7UzLTvgPnY5xUBf7B0DuUEgbtk
vOJ4OuDem+Vy2ah0Jl+k9Mm12Be3jrHwa+AAywLIyU2BTCSc5onN/+jb3ohrzJOo8pMIwURiHer9
APdvaAxAV1LvzX7diYEWfVqY+/N0aGII141qLMO2hQUkrBCaXUPekXw2/CD1LqsydYpe1i12ta5I
82xobTObx1ZGF2abWGowq4JO6ReiLxBGkJbPWjgwNjBZipcZen4XL+CJgwAhWRuRX7vzmKzqTCg6
0tX2CI+Di8FEjsqGeJc5zpGhd0dQly57PKZui5j0s6fdKx1dvIU8E0m5aIW0aTEqWW48rVoiS7Iu
RtKtM1eGGja74YeQU20Ia8it0TXAxhg/yBRluOuW+EugWk5GcndEXOQb5gMtfrO67+zZEJNwYVJ2
4cIsSodQ86NAcRVMVVuhbBRIbUEU70P0ROsLz+hT5AEbUbqPMJLt08Ju4RR4PRbBsL55i3kl6B55
h5uxda1qZbxsrP4OFjpbd4hHZsVpe04IFTZIOnRnXfBdJ3HiuNxi0pRzKYycfF3Seh4QcRWxw0UH
TtuZxV7LatALe6DfvYWZg8675xGxK5AgtDPmd4HZBdUUH5kWZa3sMoNcw74HcKF1etwt0ekR0JtW
IlzUFCjnad439vTE1mxo/tZT74im0cE8jqp4KOZV6VreNBS45eL7VQEqBWEPGrbI9TxbMGFcuTDa
PbQRuY9infnoquylXkSKMzcVWgz8HD/TE60NVHvTlapRrLi90bjUWoROM7+v+d6OU9E2Rs8IVVi6
OYJuUVR4FF9wYu6Dd3U6pMZx0qssBah3+O/AKuSiUy68emaUEqrcmPvHgu73etHnngwXoWWW6t76
NXAnhUhwG820cTCuEAcJbePVFmp17HLGbgkkLykrvET3y0Trxk32sbXtKjo3URNlJ3gEgWtTOzrX
44lRBriXeAgblBOan/UILAEd68SAYbrRajCqoGOqs8AURFi6g6TcKjK2RDORZ8zhEfuP1qiVuUGj
QnfdeDkgVNHjSuIpoVxmCmFgmjalf56opVjSR9btaz7XSAZxRPEx6ZyJjuplwLnzdAzyaEUt7i/P
GW/YUgmyOIBvKmEMZyze9SYy7U3euukSmKp9RLvCvvOjI5djWPVRphcjPpdQOJBEmiAtPc5Gudmt
QqmgddwX34eeuhawj8b41LixsqBm7t/6uU7vKGm18Bb5I+ZHsqMpiShfiHhJCpqzZYu8/zgHJceh
DvvPpSWNaoP5FYmgMLW9U0BS0CMiVxJ0ebFFGJL7qN1xNJ0xlzm5Z1iav9sz3xcNLea3vUg8prnh
5veVkgzzRljH6BiBJAbacKFonn7RyqiLjjqXNmBHGYPVqKpXjY7btWKp0YL2DCjvVepE5LykD1PN
k+CWG32Nw71arXsCsiMds5o0gA2VeH51pQudqIaEnMlIhhF+WiE+ety0qxB0+8ckyvEuhsg3q3MT
KqRjIdZTC4XfdID/Ns8H0lujUE04FQaMEM3vzx0i1XOHeTfF1uzGzEcdE0i70e9SsggUzpxan5mB
ObxPMMW4DoEdXySac2t0JHawtHLnWd/6F0hsMNNL3OEcbpvKygBLydHz8sQVwiFZX6N29JrOJ5XH
fUJnmMzCXCZY4Hk1eno78e46HLqOyrYrjrUul6cGPlUThwwl0TdCfRvLqIlehdea6hsbp2zuRIK0
lFa/lRP5/fHQV/aMHaM+Be1qrGkvKmcZd3vrRAlkZa1C+pUIZFoTquMtRvFNYMxR+/rRzHIM865R
wqCZKl5eaSBuMmZY0tnDlqb2uMMBW9EJ++Po3KNwdxuaQ33bpS7bhKFeIFI0TgxttM8ag8oQB4x8
BMWLXchsoGR22nEUWUglbz+ZViUv8jGU54po1rHmkDcC+uIsSSiQtbIEoqSJFltmOE2K0fgQVqM7
qQe3mhsFejhpBupSOPQBIIlia55qTZwcZbGazm0adVA/IJH7GPo2lN2wUBG/UteeNHVZsq66DY1c
ZY8qJ9Rres70zRiSM9y7vZAmyXDy6kpLJbvfofxshevOdPTqV4aKb/NAR+URBUmPol7o60dhqhOz
O0qK1KHLx8VoqtVJoLTizhmwzsB5atfgswy5txpXxDTQBuECRzMjU9QVohiMuKGPTJD4WhstIpfl
j6p1ZFZdBA9+9M2LXne6D6UsdQ/kOPgw3VOtyzxAk+yJMp2PY+6eksBx4aj4y9Yal8Rv0UKqWM6X
an9JT4jybrDz+kKAzef4GhUL5j/tEcDJF1UaGTdSs/aRG1qnVYChpJz0feFc+hH+LG4RpytPtN6y
RDC/bGKkYXbkYaipFmse2RU6mPED3XRktQNyj2psiwvF9OUMYH5HRCtj+FlGp912lh6cWkmE2tTQ
Q/I4tn6m9xBN7X1+Vcuy+KixcEBWC3oLaMcLpx4HfGI7CVo9Go0jP0ya8xE1BseM1Gf+h97O6Hz5
KUvyHf5jSKIr8J9trDunVWFWclLuvdkd2fA5exqwbtLFT0l86nbISYmB0/XgyIWLlyfcWJjxODb1
kE9X1p5674AG0PUOKIsTlVNMPj5IPY7nNJK8xxD23qppMykUvN+H0pxYuXqMiAXFVTvSL+jrCmei
CkMLGoOyeqFk+/ONoqSzfMjLKXmV/hhWDomosQ8vSYXnm15NL1tOzi0QTHtWSMIJpaEcadB2uy6A
3pNqGgiZg0wZwo0UVbTw2hb3BzusuRGsiR6a2OMkI4eVtuPVqCLKSVhE5y2TGOdVSSuV6s2Dxnzn
IFbK6BdbWK4G3xUbes5e2vtaS5ak2uM1jmQfS6khxee32SkF+1FkdJE5tY0BymzZaZMS0zbKBXIc
sknUu+FaGTPvxs8wV5yozhDxDg2ontlmErQKrORZ07GTTSoLH+pUIawuUAy9O9iV6U2HMy7b80SE
TbI8OJWRv5JnElO2iYZKDpRZFm7cxMkBM0XNKZIwcuiknQfTVY/IKRKEEHZB4gFKMnqojrBELd89
cyNLM2tRsAsuzFHHdk4BHlqSezkJNJtcsJqREow0OdWk423qXLALWoF1qaKTO/7iMZaRqbxVbGU1
DMq6GBpVn7VxAZ5kbySC+WLUWNl5s3cUs2NQpoAytGUlFPkemby2EZXqHhdBVX0ieaxuvviF+UaE
r3kA4IYOLwXeaFpRdQA4TtEnQF5Vx9myfPKqZDGMeECNZD6kubfQdcWCgpxY9Tn8dAURFGULAHka
+vHSPffpOMXYg1yYHoz9iDE7/pOqXm5dhKLHMmU7XMihLZZOiVQ3Mod4WvdDfefVVPlxQSM/Xdos
z5m+sXtCrxPM3/rLAB8c6IWgPrVpS6p3rbSkGvdHRipARTv3Kw1tNeqcI3Im2trpUmWCk5uKvIUG
rLgjs7lIUinXdg8TFcLV4K6LBAdZitzFx4GVpl/yVHtXoANSnBfKrJ+FjkRHVjcIAYceQ17MBur5
QLsaHO2hhvP1qrwK9A2aezJ3j9qqgJwKNP+9pMoMdPWvg5yqFpzJ2iE01felZcuLzvxGRBVXbnbS
E2JdvCGiollgxP6B4tjrAqqWNH6xepBN2W2gkb8ORGvOlBpHaduu1b1zNKZ4g5GHzfw1LVTvulQa
6loFuS+9NmbKR4UK3PmL8omuON2dHURPnq3JzTO9U2qN9IARN3a0/KJykvXokE8YHxVOydAU5woK
fvfdAYxiD3TGQQB7wqGYoya0a5OeCg5PsR2sD3ATInLbWB4gJmqZRRgPhAUlD7NvLUw62lIbphrw
rZ1axy11UQerrDJM1rqRa3eG7Kp17Y2sD5bRU8UwxuPSowYYpG1+glrfv9HH8S7sc5eKPLVv2Ecb
H2rKcZI4/anRq8nCKZWupDS4j5LN4pPpdqtaLX3I+fFJ4TQfoCcpZBNfskmq3kwIbMoyg0+dyvzM
omMqmH8BkGi+UkHjiMgsHcAjqM6LI/z/9n45Q1YwJiSik1BxTTjCzhfOiLSsbo6wUZ5ArRAAzhKV
8hUSBVqyMdB+hTNi9O6952COfOCMZJVW38RfECNpDeiTdBQCQZ9GiANeZKj6AOTCZ7RI0sew2POu
aBcjQpzFASSijNwkJawBiVDFUDY4Xmfv2oLYc2ZnnYvpGlSQEYu0c9crQQ5UA84Ba9ZVarRYBiBv
hwphUx/FyaKdZAjx3Hkf1fFKBjlndP6mziWLNAXkDAs0SC3+hIAkWLa2YYiZpXbw32ksWZD+U5pp
3pmXHWXGBRIK6kOOSRNWb31sDZStbP7UN+CGOUsiLAiMedQtNaNMOTi4uFeA5SlvjcaioArRz7kV
lhIIOieG7OTAj+rUnu/Boc+n5kW8/MiOkhehQUpTpgM50CYvxlVEAvaHTZfftFzSpWOrGAwbkIzo
Aefvz1oui6KpzVbgnXJopx9dMfTTLrPteEJinqYekyMCa9Y+6qwdfzUgKN5SrHcoBNdSIJDxiIKX
6ApTZmyf0+DKatife1QkOY3FfZ5Mxtpo9FmJH6qyywBbujhJFln30D/8/0b29ziQ2bbezmlaqIeL
ZreX8UkiIfkZDwXaNv10+HO0k//KC75/gT92h09bffqf/0Lw9+J1e0Hhw0c/vGb/7z9fmG3/9/5b
P/vj4d9oxg7f8/HtjwP79qu/+KzPg/r8P5fRTmzFfTgc/jA8fsvTbYbf998Cdx1Gtf8K3/iDP4kg
3/qM5Ta7a14SwWB1GSg8vgz337vycdHtxB9X2754KbfUuTzqoJ+9/GUYEQ7gaa6cb9MtVOxtvft8
1f1NRim414/87Me85Zz+kz/9ROyy3QvpKrowm17wn/3Ok51AdP35OvsfA8c2xF8oCX720u/CRqDA
+cpyVcOpVdV//upX92G6kzie4xGWynr31SA0U8O18h/4mMOcVP43D7dp/flyh59JQ/fjoY/52Z/p
21mPcJdLoyn42UufglcM/zjMfuVmJ+uSQXx9O2xoof/AI3ayu0/SXb5fHw4f9QdsaVar/OuPcyxH
/wduy3In5YtHGOGNa7n/wKyd8KVhIH690KFm22/3P39P3rQhfnOVeG3T+PPF7jLfv//lLvjDFzzt
o+dbwXx75RI/fsXnDeqVSzzO4f0Tg2LXZKY9bTWHj3q5i5EjLsqn+/qwU91T32f5znn6nt767IM+
X2D/CQYyMtZEXvb4Wz173dc/y6M67XuD/ttDQvKyRzc8fbVXRnVVbz/Vf7xcaV/ZhXksnq7y7Is/
H+DT2vyLh+jtl9KnL/fdIX51QPj3xvh4pPiFI3w4w7w1vB8P7NnP851798ia+EUz8/Hk9NagTqPd
p52Q2/tQfjlavHLP/uOGdqDQvjWy7x+Gf4fhPRxG3xrfZchx5+E8+9c2Hf/epvSfMS1dWEHPJtRr
S8l2K/Zj+41G9WXfedhVXhnVy9GUDHD3sKH9ovXgMVx4a1a9jDF+gyfFAQLicJw0HNNDOm6YjvH2
1Hp1GU+Le07F9fDsrd95VDjAgLZ53Ap/0X1jjI5nObjV24RNEH3UHxyhXjtm/ItD/Hyg+UVDfH6o
+e7z89qwXqRdfnz7fu0GTBD3EIG+9ch9P4j9DR6/hzCVCPjNET4cL74KoH+b0RHw/Y3RvVzc/8On
5WPA/9awyBt8EvszxiGU54jxW50PaZN+SDK8NcTn+YrrQpRFRrriKQ/2O8zPzwmPt0Z5SJP8XqN6
TLO8NapXUjS/xQ2zgKL8IFUw2Q6/1zR83FS/u2/Pdk0tSdV+c6D/isn4dL+/f/Z6TB79+FTyo1eQ
0Nq/5D7dbcWf/wcAAP//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891227</xdr:colOff>
      <xdr:row>10</xdr:row>
      <xdr:rowOff>133685</xdr:rowOff>
    </xdr:from>
    <xdr:ext cx="7205023" cy="9890244"/>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97627" y="2356185"/>
              <a:ext cx="7205023" cy="9890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10</v>
      </c>
    </row>
    <row r="2" spans="1:2" x14ac:dyDescent="0.2">
      <c r="A2" s="2" t="s">
        <v>11</v>
      </c>
    </row>
    <row r="4" spans="1:2" x14ac:dyDescent="0.2">
      <c r="A4" s="3"/>
      <c r="B4" s="4"/>
    </row>
    <row r="5" spans="1:2" ht="30" customHeight="1" x14ac:dyDescent="0.2">
      <c r="A5" s="3" t="s">
        <v>12</v>
      </c>
      <c r="B5" s="4" t="s">
        <v>13</v>
      </c>
    </row>
    <row r="6" spans="1:2" ht="32" x14ac:dyDescent="0.2">
      <c r="A6" s="3" t="s">
        <v>14</v>
      </c>
      <c r="B6" s="4" t="s">
        <v>15</v>
      </c>
    </row>
    <row r="7" spans="1:2" ht="16" x14ac:dyDescent="0.2">
      <c r="A7" s="3" t="s">
        <v>16</v>
      </c>
      <c r="B7" s="4" t="s">
        <v>17</v>
      </c>
    </row>
    <row r="8" spans="1:2" ht="16" x14ac:dyDescent="0.2">
      <c r="A8" s="3" t="s">
        <v>18</v>
      </c>
      <c r="B8" s="4" t="s">
        <v>19</v>
      </c>
    </row>
    <row r="9" spans="1:2" x14ac:dyDescent="0.2">
      <c r="A9" s="3"/>
      <c r="B9" s="4"/>
    </row>
    <row r="10" spans="1:2" x14ac:dyDescent="0.2">
      <c r="A10" s="3" t="s">
        <v>20</v>
      </c>
      <c r="B10" s="4"/>
    </row>
    <row r="11" spans="1:2" ht="30" customHeight="1" x14ac:dyDescent="0.2">
      <c r="A11" s="3" t="s">
        <v>21</v>
      </c>
      <c r="B11" s="4" t="s">
        <v>22</v>
      </c>
    </row>
    <row r="12" spans="1:2" ht="30" customHeight="1" x14ac:dyDescent="0.2">
      <c r="A12" s="3" t="s">
        <v>23</v>
      </c>
      <c r="B12" s="4" t="s">
        <v>24</v>
      </c>
    </row>
    <row r="13" spans="1:2" ht="30" customHeight="1" x14ac:dyDescent="0.2">
      <c r="A13" s="3" t="s">
        <v>25</v>
      </c>
      <c r="B13" s="4" t="s">
        <v>26</v>
      </c>
    </row>
    <row r="14" spans="1:2" ht="16" x14ac:dyDescent="0.2">
      <c r="A14" s="3" t="s">
        <v>27</v>
      </c>
      <c r="B14" s="4" t="s">
        <v>28</v>
      </c>
    </row>
    <row r="15" spans="1:2" ht="30" customHeight="1" x14ac:dyDescent="0.2">
      <c r="A15" s="3" t="s">
        <v>29</v>
      </c>
      <c r="B15" s="4" t="s">
        <v>30</v>
      </c>
    </row>
    <row r="16" spans="1:2" ht="30" customHeight="1" x14ac:dyDescent="0.2">
      <c r="A16" s="3" t="s">
        <v>31</v>
      </c>
      <c r="B16" s="4" t="s">
        <v>32</v>
      </c>
    </row>
    <row r="17" spans="1:2" ht="30" customHeight="1" x14ac:dyDescent="0.2">
      <c r="A17" s="3" t="s">
        <v>33</v>
      </c>
      <c r="B17" s="4" t="s">
        <v>34</v>
      </c>
    </row>
    <row r="18" spans="1:2" ht="30" customHeight="1" x14ac:dyDescent="0.2">
      <c r="A18" s="3" t="s">
        <v>35</v>
      </c>
      <c r="B18" s="4" t="s">
        <v>36</v>
      </c>
    </row>
    <row r="19" spans="1:2" ht="16" x14ac:dyDescent="0.2">
      <c r="A19" s="3" t="s">
        <v>37</v>
      </c>
      <c r="B19" s="4" t="s">
        <v>38</v>
      </c>
    </row>
    <row r="20" spans="1:2" ht="16" x14ac:dyDescent="0.2">
      <c r="A20" s="3" t="s">
        <v>39</v>
      </c>
      <c r="B20" s="4" t="s">
        <v>40</v>
      </c>
    </row>
    <row r="21" spans="1:2" ht="16" x14ac:dyDescent="0.2">
      <c r="A21" s="3" t="s">
        <v>41</v>
      </c>
      <c r="B21" s="4" t="s">
        <v>42</v>
      </c>
    </row>
    <row r="22" spans="1:2" ht="30" customHeight="1" x14ac:dyDescent="0.2">
      <c r="A22" s="3" t="s">
        <v>43</v>
      </c>
      <c r="B22" s="4" t="s">
        <v>44</v>
      </c>
    </row>
    <row r="23" spans="1:2" x14ac:dyDescent="0.2">
      <c r="A23" s="3"/>
      <c r="B23" s="4"/>
    </row>
    <row r="24" spans="1:2" ht="30" customHeight="1" x14ac:dyDescent="0.2">
      <c r="A24" s="3" t="s">
        <v>45</v>
      </c>
      <c r="B24" s="4" t="s">
        <v>46</v>
      </c>
    </row>
    <row r="25" spans="1:2" ht="30" customHeight="1" x14ac:dyDescent="0.2">
      <c r="A25" s="3" t="s">
        <v>47</v>
      </c>
      <c r="B25" s="4" t="s">
        <v>48</v>
      </c>
    </row>
    <row r="26" spans="1:2" x14ac:dyDescent="0.2">
      <c r="A26" s="3"/>
      <c r="B26" s="4"/>
    </row>
    <row r="27" spans="1:2" ht="30" customHeight="1" x14ac:dyDescent="0.2">
      <c r="A27" s="3" t="s">
        <v>49</v>
      </c>
      <c r="B27" s="4" t="s">
        <v>50</v>
      </c>
    </row>
    <row r="28" spans="1:2" x14ac:dyDescent="0.2">
      <c r="A28" s="3"/>
      <c r="B28" s="4"/>
    </row>
    <row r="29" spans="1:2" x14ac:dyDescent="0.2">
      <c r="A29" s="3" t="s">
        <v>51</v>
      </c>
      <c r="B29" s="4"/>
    </row>
    <row r="30" spans="1:2" ht="16" x14ac:dyDescent="0.2">
      <c r="A30" s="3" t="s">
        <v>52</v>
      </c>
      <c r="B30" s="4" t="s">
        <v>53</v>
      </c>
    </row>
    <row r="31" spans="1:2" ht="16" x14ac:dyDescent="0.2">
      <c r="A31" s="3" t="s">
        <v>54</v>
      </c>
      <c r="B31" s="4" t="s">
        <v>55</v>
      </c>
    </row>
    <row r="32" spans="1:2" ht="16" x14ac:dyDescent="0.2">
      <c r="A32" s="3" t="s">
        <v>56</v>
      </c>
      <c r="B32" s="4" t="s">
        <v>57</v>
      </c>
    </row>
    <row r="33" spans="1:2" ht="16" x14ac:dyDescent="0.2">
      <c r="A33" s="3" t="s">
        <v>58</v>
      </c>
      <c r="B33" s="4" t="s">
        <v>59</v>
      </c>
    </row>
    <row r="34" spans="1:2" ht="16" x14ac:dyDescent="0.2">
      <c r="A34" s="3" t="s">
        <v>60</v>
      </c>
      <c r="B34" s="4" t="s">
        <v>61</v>
      </c>
    </row>
    <row r="35" spans="1:2" ht="16" x14ac:dyDescent="0.2">
      <c r="A35" s="3" t="s">
        <v>62</v>
      </c>
      <c r="B35" s="4" t="s">
        <v>63</v>
      </c>
    </row>
    <row r="36" spans="1:2" ht="16" x14ac:dyDescent="0.2">
      <c r="A36" s="3" t="s">
        <v>64</v>
      </c>
      <c r="B36" s="4" t="s">
        <v>65</v>
      </c>
    </row>
    <row r="37" spans="1:2" ht="16" x14ac:dyDescent="0.2">
      <c r="A37" s="3" t="s">
        <v>66</v>
      </c>
      <c r="B37" s="4" t="s">
        <v>67</v>
      </c>
    </row>
    <row r="38" spans="1:2" ht="16" x14ac:dyDescent="0.2">
      <c r="A38" s="3" t="s">
        <v>68</v>
      </c>
      <c r="B38" s="4" t="s">
        <v>69</v>
      </c>
    </row>
    <row r="39" spans="1:2" ht="16" x14ac:dyDescent="0.2">
      <c r="A39" s="3" t="s">
        <v>70</v>
      </c>
      <c r="B39" s="4" t="s">
        <v>71</v>
      </c>
    </row>
    <row r="40" spans="1:2" ht="16" x14ac:dyDescent="0.2">
      <c r="A40" s="3" t="s">
        <v>72</v>
      </c>
      <c r="B40" s="4" t="s">
        <v>73</v>
      </c>
    </row>
    <row r="41" spans="1:2" ht="16" x14ac:dyDescent="0.2">
      <c r="A41" s="3" t="s">
        <v>74</v>
      </c>
      <c r="B41" s="4" t="s">
        <v>75</v>
      </c>
    </row>
    <row r="42" spans="1:2" ht="16" x14ac:dyDescent="0.2">
      <c r="A42" s="3" t="s">
        <v>76</v>
      </c>
      <c r="B42" s="4" t="s">
        <v>77</v>
      </c>
    </row>
    <row r="43" spans="1:2" ht="16" x14ac:dyDescent="0.2">
      <c r="A43" s="3" t="s">
        <v>78</v>
      </c>
      <c r="B43" s="4" t="s">
        <v>79</v>
      </c>
    </row>
    <row r="44" spans="1:2" x14ac:dyDescent="0.2">
      <c r="A44" s="3"/>
      <c r="B44" s="4"/>
    </row>
    <row r="45" spans="1:2" ht="30" customHeight="1" x14ac:dyDescent="0.2">
      <c r="A45" s="3" t="s">
        <v>80</v>
      </c>
      <c r="B45" s="4" t="s">
        <v>81</v>
      </c>
    </row>
    <row r="46" spans="1:2" ht="30" customHeight="1" x14ac:dyDescent="0.2">
      <c r="A46" s="3" t="s">
        <v>82</v>
      </c>
      <c r="B46" s="4" t="s">
        <v>83</v>
      </c>
    </row>
    <row r="47" spans="1:2" ht="16" x14ac:dyDescent="0.2">
      <c r="A47" s="3" t="s">
        <v>84</v>
      </c>
      <c r="B47" s="4" t="s">
        <v>85</v>
      </c>
    </row>
    <row r="48" spans="1:2" ht="30" customHeight="1" x14ac:dyDescent="0.2">
      <c r="A48" s="3" t="s">
        <v>86</v>
      </c>
      <c r="B48" s="4" t="s">
        <v>87</v>
      </c>
    </row>
    <row r="49" spans="1:2" ht="30" customHeight="1" x14ac:dyDescent="0.2">
      <c r="A49" s="3" t="s">
        <v>88</v>
      </c>
      <c r="B49" s="4" t="s">
        <v>89</v>
      </c>
    </row>
    <row r="50" spans="1:2" ht="16" x14ac:dyDescent="0.2">
      <c r="A50" s="3" t="s">
        <v>90</v>
      </c>
      <c r="B50" s="4" t="s">
        <v>91</v>
      </c>
    </row>
    <row r="52" spans="1:2" ht="48" x14ac:dyDescent="0.2">
      <c r="A52" s="3" t="s">
        <v>240</v>
      </c>
      <c r="B52" s="4" t="s">
        <v>241</v>
      </c>
    </row>
    <row r="53" spans="1:2" ht="48" x14ac:dyDescent="0.2">
      <c r="B53" s="4"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92</v>
      </c>
    </row>
    <row r="2" spans="1:11" x14ac:dyDescent="0.2">
      <c r="A2" s="2" t="s">
        <v>93</v>
      </c>
    </row>
    <row r="4" spans="1:11" ht="30" customHeight="1" x14ac:dyDescent="0.2">
      <c r="A4" s="5" t="s">
        <v>94</v>
      </c>
      <c r="B4" s="5" t="s">
        <v>95</v>
      </c>
      <c r="C4" s="5" t="s">
        <v>96</v>
      </c>
      <c r="D4" s="5" t="s">
        <v>97</v>
      </c>
      <c r="E4" s="5" t="s">
        <v>98</v>
      </c>
      <c r="F4" s="5" t="s">
        <v>99</v>
      </c>
      <c r="G4" s="5" t="s">
        <v>100</v>
      </c>
      <c r="H4" s="5" t="s">
        <v>101</v>
      </c>
      <c r="I4" s="5" t="s">
        <v>102</v>
      </c>
      <c r="J4" s="5" t="s">
        <v>103</v>
      </c>
      <c r="K4" s="5" t="s">
        <v>104</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105</v>
      </c>
    </row>
    <row r="2" spans="1:31" x14ac:dyDescent="0.2">
      <c r="A2" s="2" t="s">
        <v>106</v>
      </c>
    </row>
    <row r="4" spans="1:31" x14ac:dyDescent="0.2">
      <c r="A4" s="11" t="s">
        <v>107</v>
      </c>
      <c r="B4" s="48">
        <v>2016</v>
      </c>
      <c r="C4" s="33"/>
      <c r="D4" s="33"/>
      <c r="E4" s="48">
        <v>2017</v>
      </c>
      <c r="F4" s="33"/>
      <c r="G4" s="33"/>
      <c r="H4" s="48">
        <v>2018</v>
      </c>
      <c r="I4" s="33"/>
      <c r="J4" s="33"/>
      <c r="K4" s="48">
        <v>2019</v>
      </c>
      <c r="L4" s="33"/>
      <c r="M4" s="33"/>
      <c r="N4" s="48">
        <v>2020</v>
      </c>
      <c r="O4" s="33"/>
      <c r="P4" s="33"/>
      <c r="Q4" s="48">
        <v>2021</v>
      </c>
      <c r="R4" s="33"/>
      <c r="S4" s="33"/>
      <c r="T4" s="48">
        <v>2022</v>
      </c>
      <c r="U4" s="33"/>
      <c r="V4" s="33"/>
      <c r="W4" s="48">
        <v>2023</v>
      </c>
      <c r="X4" s="33"/>
      <c r="Y4" s="33"/>
      <c r="Z4" s="48">
        <v>2024</v>
      </c>
      <c r="AA4" s="33"/>
      <c r="AB4" s="33"/>
      <c r="AC4" s="48">
        <v>2025</v>
      </c>
      <c r="AD4" s="33"/>
      <c r="AE4" s="33"/>
    </row>
    <row r="5" spans="1:31" ht="30" customHeight="1" x14ac:dyDescent="0.2">
      <c r="A5" s="5" t="s">
        <v>107</v>
      </c>
      <c r="B5" s="5" t="s">
        <v>96</v>
      </c>
      <c r="C5" s="5" t="s">
        <v>97</v>
      </c>
      <c r="D5" s="5" t="s">
        <v>108</v>
      </c>
      <c r="E5" s="5" t="s">
        <v>96</v>
      </c>
      <c r="F5" s="5" t="s">
        <v>97</v>
      </c>
      <c r="G5" s="5" t="s">
        <v>108</v>
      </c>
      <c r="H5" s="5" t="s">
        <v>96</v>
      </c>
      <c r="I5" s="5" t="s">
        <v>97</v>
      </c>
      <c r="J5" s="5" t="s">
        <v>108</v>
      </c>
      <c r="K5" s="5" t="s">
        <v>96</v>
      </c>
      <c r="L5" s="5" t="s">
        <v>97</v>
      </c>
      <c r="M5" s="5" t="s">
        <v>108</v>
      </c>
      <c r="N5" s="5" t="s">
        <v>96</v>
      </c>
      <c r="O5" s="5" t="s">
        <v>97</v>
      </c>
      <c r="P5" s="5" t="s">
        <v>108</v>
      </c>
      <c r="Q5" s="5" t="s">
        <v>96</v>
      </c>
      <c r="R5" s="5" t="s">
        <v>97</v>
      </c>
      <c r="S5" s="5" t="s">
        <v>108</v>
      </c>
      <c r="T5" s="5" t="s">
        <v>96</v>
      </c>
      <c r="U5" s="5" t="s">
        <v>97</v>
      </c>
      <c r="V5" s="5" t="s">
        <v>108</v>
      </c>
      <c r="W5" s="5" t="s">
        <v>96</v>
      </c>
      <c r="X5" s="5" t="s">
        <v>97</v>
      </c>
      <c r="Y5" s="5" t="s">
        <v>108</v>
      </c>
      <c r="Z5" s="5" t="s">
        <v>96</v>
      </c>
      <c r="AA5" s="5" t="s">
        <v>97</v>
      </c>
      <c r="AB5" s="5" t="s">
        <v>108</v>
      </c>
      <c r="AC5" s="5" t="s">
        <v>96</v>
      </c>
      <c r="AD5" s="5" t="s">
        <v>97</v>
      </c>
      <c r="AE5" s="5" t="s">
        <v>108</v>
      </c>
    </row>
    <row r="6" spans="1:31" x14ac:dyDescent="0.2">
      <c r="A6" s="12" t="s">
        <v>109</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110</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111</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112</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113</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114</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115</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116</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117</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118</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119</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108</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19" zoomScale="111" workbookViewId="0">
      <selection activeCell="B46" sqref="B46"/>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120</v>
      </c>
    </row>
    <row r="2" spans="1:14" x14ac:dyDescent="0.2">
      <c r="A2" s="2" t="s">
        <v>121</v>
      </c>
    </row>
    <row r="4" spans="1:14" ht="30" customHeight="1" x14ac:dyDescent="0.2">
      <c r="A4" s="5" t="s">
        <v>122</v>
      </c>
      <c r="B4" s="5" t="s">
        <v>123</v>
      </c>
      <c r="C4" s="5" t="s">
        <v>124</v>
      </c>
      <c r="D4" s="5" t="s">
        <v>99</v>
      </c>
      <c r="E4" s="5" t="s">
        <v>100</v>
      </c>
      <c r="F4" s="5" t="s">
        <v>125</v>
      </c>
      <c r="G4" s="5" t="s">
        <v>126</v>
      </c>
      <c r="H4" s="5" t="s">
        <v>98</v>
      </c>
      <c r="I4" s="5" t="s">
        <v>127</v>
      </c>
      <c r="J4" s="5" t="s">
        <v>128</v>
      </c>
      <c r="K4" s="5" t="s">
        <v>129</v>
      </c>
      <c r="L4" s="5" t="s">
        <v>130</v>
      </c>
      <c r="M4" s="5" t="s">
        <v>103</v>
      </c>
      <c r="N4" s="5" t="s">
        <v>131</v>
      </c>
    </row>
    <row r="5" spans="1:14" x14ac:dyDescent="0.2">
      <c r="A5" s="6" t="s">
        <v>132</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251</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260</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135</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252</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137</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253</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254</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7">
        <v>157</v>
      </c>
    </row>
    <row r="13" spans="1:14" x14ac:dyDescent="0.2">
      <c r="A13" s="6" t="s">
        <v>255</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257</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256</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143</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144</v>
      </c>
      <c r="B17" s="7">
        <v>32698</v>
      </c>
      <c r="C17" s="7">
        <v>22709</v>
      </c>
      <c r="D17" s="7">
        <f t="shared" si="0"/>
        <v>9989</v>
      </c>
      <c r="E17" s="9">
        <f t="shared" si="1"/>
        <v>0.43986965520278304</v>
      </c>
      <c r="F17" s="7">
        <v>23337</v>
      </c>
      <c r="G17" s="7">
        <v>9361</v>
      </c>
      <c r="H17" s="8">
        <f t="shared" si="2"/>
        <v>0.28628662303504804</v>
      </c>
      <c r="I17" s="7">
        <v>310</v>
      </c>
      <c r="J17" s="7">
        <v>8930</v>
      </c>
      <c r="K17" s="7" t="s">
        <v>145</v>
      </c>
      <c r="L17" s="10" t="s">
        <v>145</v>
      </c>
      <c r="M17" s="10" t="s">
        <v>145</v>
      </c>
      <c r="N17" s="10" t="s">
        <v>145</v>
      </c>
    </row>
    <row r="18" spans="1:14" x14ac:dyDescent="0.2">
      <c r="A18" s="13" t="s">
        <v>108</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146</v>
      </c>
    </row>
    <row r="22" spans="1:14" x14ac:dyDescent="0.2">
      <c r="A22" s="2" t="s">
        <v>243</v>
      </c>
    </row>
    <row r="23" spans="1:14" x14ac:dyDescent="0.2">
      <c r="A23" s="2" t="s">
        <v>244</v>
      </c>
    </row>
    <row r="24" spans="1:14" x14ac:dyDescent="0.2">
      <c r="A24" s="2" t="s">
        <v>245</v>
      </c>
    </row>
    <row r="25" spans="1:14" x14ac:dyDescent="0.2">
      <c r="A25" s="2" t="s">
        <v>246</v>
      </c>
    </row>
    <row r="28" spans="1:14" x14ac:dyDescent="0.2">
      <c r="A28" s="16" t="s">
        <v>247</v>
      </c>
    </row>
    <row r="29" spans="1:14" x14ac:dyDescent="0.2">
      <c r="A29" s="2" t="s">
        <v>248</v>
      </c>
    </row>
    <row r="30" spans="1:14" ht="60" x14ac:dyDescent="0.2">
      <c r="A30" s="5" t="s">
        <v>249</v>
      </c>
      <c r="B30" s="5" t="s">
        <v>250</v>
      </c>
      <c r="C30" s="5" t="s">
        <v>123</v>
      </c>
      <c r="D30" s="5" t="s">
        <v>129</v>
      </c>
      <c r="E30" s="5" t="s">
        <v>130</v>
      </c>
      <c r="F30" s="5" t="s">
        <v>228</v>
      </c>
      <c r="G30" s="5" t="s">
        <v>283</v>
      </c>
    </row>
    <row r="31" spans="1:14" x14ac:dyDescent="0.2">
      <c r="A31" t="e" vm="1">
        <v>#VALUE!</v>
      </c>
      <c r="B31" t="s">
        <v>132</v>
      </c>
      <c r="C31" s="7">
        <f>B5</f>
        <v>76079</v>
      </c>
      <c r="D31" s="7">
        <f t="shared" ref="D31:E33" si="5">K5</f>
        <v>11245898</v>
      </c>
      <c r="E31" s="9">
        <f t="shared" si="5"/>
        <v>6.7650444633234272</v>
      </c>
      <c r="F31" s="16">
        <f>E5</f>
        <v>3.3148646079469837E-2</v>
      </c>
      <c r="G31" s="7">
        <f>MAX(0,('01_Timeseries'!$B$14/83577140*1000-E31)*D31/1000)</f>
        <v>17521.209687314018</v>
      </c>
    </row>
    <row r="32" spans="1:14" x14ac:dyDescent="0.2">
      <c r="A32" t="e" vm="2">
        <v>#VALUE!</v>
      </c>
      <c r="B32" t="s">
        <v>133</v>
      </c>
      <c r="C32" s="7">
        <f>B6</f>
        <v>144501</v>
      </c>
      <c r="D32" s="7">
        <f t="shared" si="5"/>
        <v>13248928</v>
      </c>
      <c r="E32" s="9">
        <f t="shared" si="5"/>
        <v>10.906618256209105</v>
      </c>
      <c r="F32" s="16">
        <f>E6</f>
        <v>4.0796041401067441E-2</v>
      </c>
      <c r="G32" s="7">
        <f>MAX(0,('01_Timeseries'!$B$14/83577140*1000-E32)*D32/1000)</f>
        <v>0</v>
      </c>
    </row>
    <row r="33" spans="1:7" x14ac:dyDescent="0.2">
      <c r="A33" t="e" vm="3">
        <v>#VALUE!</v>
      </c>
      <c r="B33" t="s">
        <v>134</v>
      </c>
      <c r="C33" s="7">
        <f>B7</f>
        <v>27777</v>
      </c>
      <c r="D33" s="7">
        <f t="shared" si="5"/>
        <v>6242012</v>
      </c>
      <c r="E33" s="9">
        <f t="shared" si="5"/>
        <v>4.4500074655415593</v>
      </c>
      <c r="F33" s="16">
        <f>E7</f>
        <v>0.1563150445425027</v>
      </c>
      <c r="G33" s="7">
        <f>MAX(0,('01_Timeseries'!$B$14/83577140*1000-E33)*D33/1000)</f>
        <v>24175.599256255959</v>
      </c>
    </row>
    <row r="34" spans="1:7" x14ac:dyDescent="0.2">
      <c r="A34" t="e" vm="4">
        <v>#VALUE!</v>
      </c>
      <c r="B34" t="s">
        <v>134</v>
      </c>
      <c r="C34" s="7">
        <f>B7</f>
        <v>27777</v>
      </c>
      <c r="D34" s="7">
        <f>K7</f>
        <v>6242012</v>
      </c>
      <c r="E34" s="9">
        <f>L7</f>
        <v>4.4500074655415593</v>
      </c>
      <c r="F34" s="16">
        <f>E7</f>
        <v>0.1563150445425027</v>
      </c>
      <c r="G34" s="7">
        <f>MAX(0,('01_Timeseries'!$B$14/83577140*1000-E34)*D34/1000)</f>
        <v>24175.599256255959</v>
      </c>
    </row>
    <row r="35" spans="1:7" x14ac:dyDescent="0.2">
      <c r="A35" t="e" vm="5">
        <v>#VALUE!</v>
      </c>
      <c r="B35" t="s">
        <v>138</v>
      </c>
      <c r="C35" s="7">
        <f>B11</f>
        <v>78772</v>
      </c>
      <c r="D35" s="7">
        <f>K11</f>
        <v>8709370</v>
      </c>
      <c r="E35" s="9">
        <f>L11</f>
        <v>9.044511830362012</v>
      </c>
      <c r="F35" s="16">
        <f>E11</f>
        <v>8.8266581932221658E-2</v>
      </c>
      <c r="G35" s="7">
        <f>MAX(0,('01_Timeseries'!$B$14/83577140*1000-E35)*D35/1000)</f>
        <v>0</v>
      </c>
    </row>
    <row r="36" spans="1:7" x14ac:dyDescent="0.2">
      <c r="A36" t="e" vm="6">
        <v>#VALUE!</v>
      </c>
      <c r="B36" t="s">
        <v>135</v>
      </c>
      <c r="C36" s="7">
        <f>B8</f>
        <v>22099</v>
      </c>
      <c r="D36" s="7">
        <f>K8</f>
        <v>1862565</v>
      </c>
      <c r="E36" s="9">
        <f>L8</f>
        <v>11.864820825045031</v>
      </c>
      <c r="F36" s="16">
        <f>E8</f>
        <v>2.2391857506361322E-2</v>
      </c>
      <c r="G36" s="7">
        <f>MAX(0,('01_Timeseries'!$B$14/83577140*1000-E36)*D36/1000)</f>
        <v>0</v>
      </c>
    </row>
    <row r="37" spans="1:7" x14ac:dyDescent="0.2">
      <c r="A37" t="e" vm="7">
        <v>#VALUE!</v>
      </c>
      <c r="B37" t="s">
        <v>136</v>
      </c>
      <c r="C37" s="7">
        <f>B9</f>
        <v>49741</v>
      </c>
      <c r="D37" s="7">
        <f>K9</f>
        <v>6280793</v>
      </c>
      <c r="E37" s="9">
        <f>L9</f>
        <v>7.9195413700149011</v>
      </c>
      <c r="F37" s="16">
        <f>E9</f>
        <v>3.0175627537072321E-2</v>
      </c>
      <c r="G37" s="7">
        <f>MAX(0,('01_Timeseries'!$B$14/83577140*1000-E37)*D37/1000)</f>
        <v>2534.3755905143462</v>
      </c>
    </row>
    <row r="38" spans="1:7" x14ac:dyDescent="0.2">
      <c r="A38" t="e" vm="8">
        <v>#VALUE!</v>
      </c>
      <c r="B38" t="s">
        <v>138</v>
      </c>
      <c r="C38" s="7">
        <f>B11</f>
        <v>78772</v>
      </c>
      <c r="D38" s="7">
        <f>K11</f>
        <v>8709370</v>
      </c>
      <c r="E38" s="9">
        <f>L11</f>
        <v>9.044511830362012</v>
      </c>
      <c r="F38" s="16">
        <f>E11</f>
        <v>8.8266581932221658E-2</v>
      </c>
      <c r="G38" s="7">
        <f>MAX(0,('01_Timeseries'!$B$14/83577140*1000-E38)*D38/1000)</f>
        <v>0</v>
      </c>
    </row>
    <row r="39" spans="1:7" x14ac:dyDescent="0.2">
      <c r="A39" t="e" vm="9">
        <v>#VALUE!</v>
      </c>
      <c r="B39" t="s">
        <v>137</v>
      </c>
      <c r="C39" s="7">
        <f>B10</f>
        <v>18752</v>
      </c>
      <c r="D39" s="7">
        <f>K10</f>
        <v>1573597</v>
      </c>
      <c r="E39" s="9">
        <f>L10</f>
        <v>11.916647019535498</v>
      </c>
      <c r="F39" s="16">
        <f>E10</f>
        <v>9.3283582089552244E-2</v>
      </c>
      <c r="G39" s="7">
        <f>MAX(0,('01_Timeseries'!$B$14/83577140*1000-E39)*D39/1000)</f>
        <v>0</v>
      </c>
    </row>
    <row r="40" spans="1:7" x14ac:dyDescent="0.2">
      <c r="A40" t="e" vm="10">
        <v>#VALUE!</v>
      </c>
      <c r="B40" t="s">
        <v>139</v>
      </c>
      <c r="C40" s="7">
        <f>B12</f>
        <v>144750</v>
      </c>
      <c r="D40" s="7">
        <f>K12</f>
        <v>18034454</v>
      </c>
      <c r="E40" s="9">
        <f>L12</f>
        <v>8.0263034300899836</v>
      </c>
      <c r="F40" s="16">
        <f>E12</f>
        <v>7.5113081842287044E-2</v>
      </c>
      <c r="G40" s="7">
        <f>MAX(0,('01_Timeseries'!$B$14/83577140*1000-E40)*D40/1000)</f>
        <v>5351.7238459942337</v>
      </c>
    </row>
    <row r="41" spans="1:7" x14ac:dyDescent="0.2">
      <c r="A41" t="e" vm="11">
        <v>#VALUE!</v>
      </c>
      <c r="B41" t="s">
        <v>140</v>
      </c>
      <c r="C41" s="7">
        <f>B13</f>
        <v>30113</v>
      </c>
      <c r="D41" s="7">
        <f>K13</f>
        <v>5141710</v>
      </c>
      <c r="E41" s="9">
        <f>L13</f>
        <v>5.8566119053777825</v>
      </c>
      <c r="F41" s="16">
        <f>E13</f>
        <v>6.4138808396353095E-2</v>
      </c>
      <c r="G41" s="7">
        <f>MAX(0,('01_Timeseries'!$B$14/83577140*1000-E41)*D41/1000)</f>
        <v>12681.726944114149</v>
      </c>
    </row>
    <row r="42" spans="1:7" x14ac:dyDescent="0.2">
      <c r="A42" t="e" vm="12">
        <v>#VALUE!</v>
      </c>
      <c r="B42" t="s">
        <v>140</v>
      </c>
      <c r="C42" s="7">
        <f>B13</f>
        <v>30113</v>
      </c>
      <c r="D42" s="7">
        <f>K13</f>
        <v>5141710</v>
      </c>
      <c r="E42" s="9">
        <f>L13</f>
        <v>5.8566119053777825</v>
      </c>
      <c r="F42" s="16">
        <f>E13</f>
        <v>6.4138808396353095E-2</v>
      </c>
      <c r="G42" s="7">
        <f>MAX(0,('01_Timeseries'!$B$14/83577140*1000-E42)*D42/1000)</f>
        <v>12681.726944114149</v>
      </c>
    </row>
    <row r="43" spans="1:7" x14ac:dyDescent="0.2">
      <c r="A43" t="e" vm="13">
        <v>#VALUE!</v>
      </c>
      <c r="B43" t="s">
        <v>142</v>
      </c>
      <c r="C43" s="7">
        <f>B15</f>
        <v>13696</v>
      </c>
      <c r="D43" s="7">
        <f>K15</f>
        <v>6142699</v>
      </c>
      <c r="E43" s="9">
        <f>L15</f>
        <v>2.2296387955848074</v>
      </c>
      <c r="F43" s="16">
        <f>E15</f>
        <v>0.16790312953014411</v>
      </c>
      <c r="G43" s="7">
        <f>MAX(0,('01_Timeseries'!$B$14/83577140*1000-E43)*D43/1000)</f>
        <v>37430.011853037802</v>
      </c>
    </row>
    <row r="44" spans="1:7" x14ac:dyDescent="0.2">
      <c r="A44" t="e" vm="14">
        <v>#VALUE!</v>
      </c>
      <c r="B44" t="s">
        <v>141</v>
      </c>
      <c r="C44" s="7">
        <f>B14</f>
        <v>2168</v>
      </c>
      <c r="D44" s="7">
        <f>K14</f>
        <v>2135597</v>
      </c>
      <c r="E44" s="9">
        <f>L14</f>
        <v>1.0151728064798742</v>
      </c>
      <c r="F44" s="16">
        <f>E14</f>
        <v>0.35415365396627108</v>
      </c>
      <c r="G44" s="7">
        <f>MAX(0,('01_Timeseries'!$B$14/83577140*1000-E44)*D44/1000)</f>
        <v>15606.68789131813</v>
      </c>
    </row>
    <row r="45" spans="1:7" x14ac:dyDescent="0.2">
      <c r="A45" t="e" vm="15">
        <v>#VALUE!</v>
      </c>
      <c r="B45" t="s">
        <v>143</v>
      </c>
      <c r="C45" s="7">
        <f>B16</f>
        <v>54471</v>
      </c>
      <c r="D45" s="7">
        <f>K16</f>
        <v>2959517</v>
      </c>
      <c r="E45" s="9">
        <f>L16</f>
        <v>18.405368173252594</v>
      </c>
      <c r="F45" s="16">
        <f>E16</f>
        <v>0.12881566677028286</v>
      </c>
      <c r="G45" s="7">
        <f>MAX(0,('01_Timeseries'!$B$14/83577140*1000-E45)*D45/1000)</f>
        <v>0</v>
      </c>
    </row>
    <row r="46" spans="1:7" x14ac:dyDescent="0.2">
      <c r="A46" t="s">
        <v>258</v>
      </c>
      <c r="B46" t="s">
        <v>142</v>
      </c>
      <c r="C46" s="7">
        <f>B15</f>
        <v>13696</v>
      </c>
      <c r="D46" s="7">
        <f>K15</f>
        <v>6142699</v>
      </c>
      <c r="E46" s="9">
        <f>L15</f>
        <v>2.2296387955848074</v>
      </c>
      <c r="F46" s="16">
        <f>E15</f>
        <v>0.16790312953014411</v>
      </c>
      <c r="G46" s="7">
        <f>MAX(0,('01_Timeseries'!$B$14/83577140*1000-E46)*D46/1000)</f>
        <v>37430.011853037802</v>
      </c>
    </row>
    <row r="48" spans="1:7" x14ac:dyDescent="0.2">
      <c r="A48" s="2" t="s">
        <v>259</v>
      </c>
    </row>
    <row r="49" spans="1:1" x14ac:dyDescent="0.2">
      <c r="A49" s="2" t="s">
        <v>284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147</v>
      </c>
    </row>
    <row r="2" spans="1:9" x14ac:dyDescent="0.2">
      <c r="A2" s="2" t="s">
        <v>148</v>
      </c>
    </row>
    <row r="4" spans="1:9" ht="30" customHeight="1" x14ac:dyDescent="0.2">
      <c r="A4" s="5" t="s">
        <v>149</v>
      </c>
      <c r="B4" s="5" t="s">
        <v>150</v>
      </c>
      <c r="C4" s="5" t="s">
        <v>151</v>
      </c>
      <c r="D4" s="5" t="s">
        <v>152</v>
      </c>
      <c r="E4" s="5" t="s">
        <v>153</v>
      </c>
      <c r="F4" s="5" t="s">
        <v>154</v>
      </c>
      <c r="G4" s="5" t="s">
        <v>155</v>
      </c>
      <c r="H4" s="5" t="s">
        <v>156</v>
      </c>
      <c r="I4" s="5" t="s">
        <v>157</v>
      </c>
    </row>
    <row r="5" spans="1:9" x14ac:dyDescent="0.2">
      <c r="A5" s="6" t="s">
        <v>158</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159</v>
      </c>
      <c r="B6" s="17">
        <v>6.7</v>
      </c>
      <c r="C6" s="17">
        <v>6.56</v>
      </c>
      <c r="D6" s="17">
        <v>6.11</v>
      </c>
      <c r="E6" s="17">
        <v>6.01</v>
      </c>
      <c r="F6" s="17">
        <v>6.16</v>
      </c>
      <c r="G6" s="17">
        <v>6.45</v>
      </c>
      <c r="H6" s="17">
        <v>6.87</v>
      </c>
      <c r="I6" s="9">
        <f t="shared" si="0"/>
        <v>2.5373134328358304E-2</v>
      </c>
    </row>
    <row r="7" spans="1:9" x14ac:dyDescent="0.2">
      <c r="A7" s="6" t="s">
        <v>160</v>
      </c>
      <c r="B7" s="17">
        <v>1.47</v>
      </c>
      <c r="C7" s="17">
        <v>1.55</v>
      </c>
      <c r="D7" s="17">
        <v>1.46</v>
      </c>
      <c r="E7" s="17">
        <v>1.35</v>
      </c>
      <c r="F7" s="17">
        <v>1.32</v>
      </c>
      <c r="G7" s="17">
        <v>1.45</v>
      </c>
      <c r="H7" s="17">
        <v>1.62</v>
      </c>
      <c r="I7" s="9">
        <f t="shared" si="0"/>
        <v>0.10204081632653073</v>
      </c>
    </row>
    <row r="8" spans="1:9" x14ac:dyDescent="0.2">
      <c r="A8" s="6" t="s">
        <v>161</v>
      </c>
      <c r="B8" s="17">
        <v>2.89</v>
      </c>
      <c r="C8" s="17">
        <v>3.04</v>
      </c>
      <c r="D8" s="17">
        <v>3.14</v>
      </c>
      <c r="E8" s="17">
        <v>3.12</v>
      </c>
      <c r="F8" s="17">
        <v>3.27</v>
      </c>
      <c r="G8" s="17">
        <v>3.44</v>
      </c>
      <c r="H8" s="17">
        <v>3.38</v>
      </c>
      <c r="I8" s="9">
        <f t="shared" si="0"/>
        <v>0.16955017301038056</v>
      </c>
    </row>
    <row r="9" spans="1:9" x14ac:dyDescent="0.2">
      <c r="A9" s="6" t="s">
        <v>162</v>
      </c>
      <c r="B9" s="17">
        <v>0.75</v>
      </c>
      <c r="C9" s="17">
        <v>0.81</v>
      </c>
      <c r="D9" s="17">
        <v>0.87</v>
      </c>
      <c r="E9" s="17">
        <v>0.87</v>
      </c>
      <c r="F9" s="17">
        <v>0.9</v>
      </c>
      <c r="G9" s="17">
        <v>0.91</v>
      </c>
      <c r="H9" s="17">
        <v>0.9</v>
      </c>
      <c r="I9" s="9">
        <f t="shared" si="0"/>
        <v>0.19999999999999996</v>
      </c>
    </row>
    <row r="10" spans="1:9" x14ac:dyDescent="0.2">
      <c r="A10" s="6" t="s">
        <v>163</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164</v>
      </c>
    </row>
    <row r="14" spans="1:9" ht="30" customHeight="1" x14ac:dyDescent="0.2">
      <c r="A14" s="5" t="s">
        <v>165</v>
      </c>
      <c r="B14" s="5" t="s">
        <v>166</v>
      </c>
    </row>
    <row r="15" spans="1:9" x14ac:dyDescent="0.2">
      <c r="A15" s="6" t="s">
        <v>167</v>
      </c>
      <c r="B15" s="19">
        <f>H6/H10</f>
        <v>9.8706896551724146</v>
      </c>
    </row>
    <row r="16" spans="1:9" x14ac:dyDescent="0.2">
      <c r="A16" s="6" t="s">
        <v>168</v>
      </c>
      <c r="B16" s="19">
        <f>H8/H10</f>
        <v>4.8563218390804597</v>
      </c>
    </row>
    <row r="17" spans="1:2" x14ac:dyDescent="0.2">
      <c r="A17" s="6" t="s">
        <v>169</v>
      </c>
      <c r="B17" s="16">
        <f>H10/H6</f>
        <v>0.10131004366812227</v>
      </c>
    </row>
    <row r="18" spans="1:2" x14ac:dyDescent="0.2">
      <c r="A18" s="6" t="s">
        <v>170</v>
      </c>
      <c r="B18" s="16">
        <f>H10/H8</f>
        <v>0.2059171597633136</v>
      </c>
    </row>
    <row r="19" spans="1:2" x14ac:dyDescent="0.2">
      <c r="A19" s="6" t="s">
        <v>171</v>
      </c>
      <c r="B19" s="19">
        <f>H6-H8</f>
        <v>3.49</v>
      </c>
    </row>
    <row r="20" spans="1:2" x14ac:dyDescent="0.2">
      <c r="A20" s="6" t="s">
        <v>172</v>
      </c>
      <c r="B20" s="19">
        <f>H8-H10</f>
        <v>2.6840000000000002</v>
      </c>
    </row>
    <row r="22" spans="1:2" x14ac:dyDescent="0.2">
      <c r="A22" s="2" t="s">
        <v>173</v>
      </c>
    </row>
    <row r="24" spans="1:2" x14ac:dyDescent="0.2">
      <c r="A24" s="18" t="s">
        <v>174</v>
      </c>
    </row>
    <row r="25" spans="1:2" x14ac:dyDescent="0.2">
      <c r="A25" s="2" t="s">
        <v>175</v>
      </c>
    </row>
    <row r="26" spans="1:2" ht="18" customHeight="1" x14ac:dyDescent="0.2">
      <c r="A26" s="5" t="s">
        <v>176</v>
      </c>
      <c r="B26" s="5" t="s">
        <v>177</v>
      </c>
    </row>
    <row r="27" spans="1:2" x14ac:dyDescent="0.2">
      <c r="A27" s="6" t="s">
        <v>158</v>
      </c>
      <c r="B27" s="17">
        <f>H5</f>
        <v>69.13</v>
      </c>
    </row>
    <row r="28" spans="1:2" x14ac:dyDescent="0.2">
      <c r="A28" s="6" t="s">
        <v>178</v>
      </c>
      <c r="B28" s="17">
        <f>H6</f>
        <v>6.87</v>
      </c>
    </row>
    <row r="29" spans="1:2" x14ac:dyDescent="0.2">
      <c r="A29" s="6" t="s">
        <v>179</v>
      </c>
      <c r="B29" s="17">
        <f>H8</f>
        <v>3.38</v>
      </c>
    </row>
    <row r="30" spans="1:2" x14ac:dyDescent="0.2">
      <c r="A30" s="6" t="s">
        <v>180</v>
      </c>
      <c r="B30" s="17">
        <f>H9</f>
        <v>0.9</v>
      </c>
    </row>
    <row r="31" spans="1:2" x14ac:dyDescent="0.2">
      <c r="A31" s="6" t="s">
        <v>181</v>
      </c>
      <c r="B31" s="17">
        <f>H10</f>
        <v>0.69599999999999995</v>
      </c>
    </row>
    <row r="33" spans="1:8" x14ac:dyDescent="0.2">
      <c r="A33" s="18" t="s">
        <v>274</v>
      </c>
    </row>
    <row r="34" spans="1:8" x14ac:dyDescent="0.2">
      <c r="A34" s="2" t="s">
        <v>275</v>
      </c>
    </row>
    <row r="35" spans="1:8" x14ac:dyDescent="0.2">
      <c r="A35" s="5" t="s">
        <v>276</v>
      </c>
      <c r="B35" s="5">
        <v>2019</v>
      </c>
      <c r="C35" s="5">
        <v>2020</v>
      </c>
      <c r="D35" s="5">
        <v>2021</v>
      </c>
      <c r="E35" s="5">
        <v>2022</v>
      </c>
      <c r="F35" s="5">
        <v>2023</v>
      </c>
      <c r="G35" s="5">
        <v>2024</v>
      </c>
      <c r="H35" s="5">
        <v>2025</v>
      </c>
    </row>
    <row r="36" spans="1:8" x14ac:dyDescent="0.2">
      <c r="A36" s="6" t="s">
        <v>178</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179</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163</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94</v>
      </c>
      <c r="B39" s="5">
        <v>2019</v>
      </c>
      <c r="C39" s="5">
        <v>2020</v>
      </c>
      <c r="D39" s="5">
        <v>2021</v>
      </c>
      <c r="E39" s="5">
        <v>2022</v>
      </c>
      <c r="F39" s="5">
        <v>2023</v>
      </c>
      <c r="G39" s="5">
        <v>2024</v>
      </c>
      <c r="H39" s="5">
        <v>2025</v>
      </c>
    </row>
    <row r="40" spans="1:8" x14ac:dyDescent="0.2">
      <c r="A40" s="6" t="s">
        <v>277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182</v>
      </c>
    </row>
    <row r="2" spans="1:11" x14ac:dyDescent="0.2">
      <c r="A2" s="2" t="s">
        <v>183</v>
      </c>
    </row>
    <row r="4" spans="1:11" ht="30" customHeight="1" x14ac:dyDescent="0.2">
      <c r="A4" s="5" t="s">
        <v>184</v>
      </c>
      <c r="B4" s="5" t="s">
        <v>129</v>
      </c>
      <c r="C4" s="5" t="s">
        <v>185</v>
      </c>
      <c r="D4" s="5" t="s">
        <v>186</v>
      </c>
      <c r="E4" s="5" t="s">
        <v>187</v>
      </c>
      <c r="F4" s="5" t="s">
        <v>188</v>
      </c>
      <c r="G4" s="5" t="s">
        <v>189</v>
      </c>
      <c r="H4" s="5" t="s">
        <v>190</v>
      </c>
      <c r="I4" s="5" t="s">
        <v>191</v>
      </c>
      <c r="J4" s="5" t="s">
        <v>192</v>
      </c>
      <c r="K4" s="5" t="s">
        <v>193</v>
      </c>
    </row>
    <row r="5" spans="1:11" x14ac:dyDescent="0.2">
      <c r="A5" s="6" t="s">
        <v>194</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195</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196</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197</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198</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199</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200</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201</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202</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203</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204</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205</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206</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207</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208</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209</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210</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211</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topLeftCell="A57" zoomScale="110" workbookViewId="0">
      <selection activeCell="B63" sqref="B6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212</v>
      </c>
    </row>
    <row r="2" spans="1:7" x14ac:dyDescent="0.2">
      <c r="A2" s="2" t="s">
        <v>213</v>
      </c>
    </row>
    <row r="4" spans="1:7" x14ac:dyDescent="0.2">
      <c r="A4" s="18" t="s">
        <v>214</v>
      </c>
    </row>
    <row r="5" spans="1:7" ht="30" customHeight="1" x14ac:dyDescent="0.2">
      <c r="A5" s="5" t="s">
        <v>107</v>
      </c>
      <c r="B5" s="5" t="s">
        <v>215</v>
      </c>
      <c r="C5" s="5" t="s">
        <v>156</v>
      </c>
      <c r="D5" s="5" t="s">
        <v>99</v>
      </c>
      <c r="E5" s="5" t="s">
        <v>100</v>
      </c>
      <c r="F5" s="5" t="s">
        <v>216</v>
      </c>
      <c r="G5" s="5" t="s">
        <v>217</v>
      </c>
    </row>
    <row r="6" spans="1:7" x14ac:dyDescent="0.2">
      <c r="A6" s="6" t="s">
        <v>109</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110</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111</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112</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113</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114</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115</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116</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117</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118</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119</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218</v>
      </c>
    </row>
    <row r="20" spans="1:8" ht="30" customHeight="1" x14ac:dyDescent="0.2">
      <c r="A20" s="5" t="s">
        <v>122</v>
      </c>
      <c r="B20" s="5" t="s">
        <v>123</v>
      </c>
      <c r="C20" s="5" t="s">
        <v>129</v>
      </c>
      <c r="D20" s="5" t="s">
        <v>130</v>
      </c>
      <c r="E20" s="5" t="s">
        <v>219</v>
      </c>
      <c r="F20" s="5" t="s">
        <v>98</v>
      </c>
      <c r="G20" s="5" t="s">
        <v>220</v>
      </c>
      <c r="H20" s="5" t="s">
        <v>221</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222</v>
      </c>
    </row>
    <row r="36" spans="1:2" x14ac:dyDescent="0.2">
      <c r="A36" s="2" t="s">
        <v>223</v>
      </c>
    </row>
    <row r="37" spans="1:2" ht="28" customHeight="1" x14ac:dyDescent="0.2">
      <c r="A37" s="5" t="s">
        <v>107</v>
      </c>
      <c r="B37" s="5" t="s">
        <v>224</v>
      </c>
    </row>
    <row r="38" spans="1:2" x14ac:dyDescent="0.2">
      <c r="A38" s="6" t="s">
        <v>109</v>
      </c>
      <c r="B38" s="26">
        <f t="shared" ref="B38:B48" si="6">D6</f>
        <v>298</v>
      </c>
    </row>
    <row r="39" spans="1:2" x14ac:dyDescent="0.2">
      <c r="A39" s="6" t="s">
        <v>110</v>
      </c>
      <c r="B39" s="26">
        <f t="shared" si="6"/>
        <v>-2576</v>
      </c>
    </row>
    <row r="40" spans="1:2" x14ac:dyDescent="0.2">
      <c r="A40" s="6" t="s">
        <v>111</v>
      </c>
      <c r="B40" s="26">
        <f t="shared" si="6"/>
        <v>1123</v>
      </c>
    </row>
    <row r="41" spans="1:2" x14ac:dyDescent="0.2">
      <c r="A41" s="6" t="s">
        <v>112</v>
      </c>
      <c r="B41" s="26">
        <f t="shared" si="6"/>
        <v>2145</v>
      </c>
    </row>
    <row r="42" spans="1:2" x14ac:dyDescent="0.2">
      <c r="A42" s="6" t="s">
        <v>113</v>
      </c>
      <c r="B42" s="26">
        <f t="shared" si="6"/>
        <v>12863</v>
      </c>
    </row>
    <row r="43" spans="1:2" x14ac:dyDescent="0.2">
      <c r="A43" s="6" t="s">
        <v>114</v>
      </c>
      <c r="B43" s="26">
        <f t="shared" si="6"/>
        <v>16524</v>
      </c>
    </row>
    <row r="44" spans="1:2" x14ac:dyDescent="0.2">
      <c r="A44" s="6" t="s">
        <v>115</v>
      </c>
      <c r="B44" s="26">
        <f t="shared" si="6"/>
        <v>-3</v>
      </c>
    </row>
    <row r="45" spans="1:2" x14ac:dyDescent="0.2">
      <c r="A45" s="6" t="s">
        <v>116</v>
      </c>
      <c r="B45" s="26">
        <f t="shared" si="6"/>
        <v>-39109</v>
      </c>
    </row>
    <row r="46" spans="1:2" x14ac:dyDescent="0.2">
      <c r="A46" s="6" t="s">
        <v>117</v>
      </c>
      <c r="B46" s="26">
        <f t="shared" si="6"/>
        <v>-18304</v>
      </c>
    </row>
    <row r="47" spans="1:2" x14ac:dyDescent="0.2">
      <c r="A47" s="6" t="s">
        <v>118</v>
      </c>
      <c r="B47" s="26">
        <f t="shared" si="6"/>
        <v>25992</v>
      </c>
    </row>
    <row r="48" spans="1:2" x14ac:dyDescent="0.2">
      <c r="A48" s="6" t="s">
        <v>119</v>
      </c>
      <c r="B48" s="26">
        <f t="shared" si="6"/>
        <v>53506</v>
      </c>
    </row>
    <row r="49" spans="1:2" x14ac:dyDescent="0.2">
      <c r="A49" s="13" t="s">
        <v>108</v>
      </c>
      <c r="B49" s="27">
        <f>SUM(B38:B48)</f>
        <v>52459</v>
      </c>
    </row>
    <row r="51" spans="1:2" x14ac:dyDescent="0.2">
      <c r="A51" s="18" t="s">
        <v>225</v>
      </c>
    </row>
    <row r="52" spans="1:2" x14ac:dyDescent="0.2">
      <c r="A52" s="12" t="s">
        <v>123</v>
      </c>
      <c r="B52" s="14">
        <f>'01_Timeseries'!B14</f>
        <v>695617</v>
      </c>
    </row>
    <row r="53" spans="1:2" x14ac:dyDescent="0.2">
      <c r="A53" s="12" t="s">
        <v>226</v>
      </c>
      <c r="B53" s="27">
        <f>'01_Timeseries'!F14</f>
        <v>8909</v>
      </c>
    </row>
    <row r="54" spans="1:2" x14ac:dyDescent="0.2">
      <c r="A54" s="12" t="s">
        <v>227</v>
      </c>
      <c r="B54" s="15">
        <f>'01_Timeseries'!G14</f>
        <v>1.297349091608078E-2</v>
      </c>
    </row>
    <row r="55" spans="1:2" x14ac:dyDescent="0.2">
      <c r="A55" s="12" t="s">
        <v>228</v>
      </c>
      <c r="B55" s="15">
        <f>'01_Timeseries'!B14/'01_Timeseries'!B5-1</f>
        <v>8.1564716601519427E-2</v>
      </c>
    </row>
    <row r="56" spans="1:2" x14ac:dyDescent="0.2">
      <c r="A56" s="12" t="s">
        <v>229</v>
      </c>
      <c r="B56" s="16">
        <f>'01_Timeseries'!E14</f>
        <v>0.34725287047326331</v>
      </c>
    </row>
    <row r="57" spans="1:2" x14ac:dyDescent="0.2">
      <c r="A57" s="12" t="s">
        <v>230</v>
      </c>
      <c r="B57" s="28">
        <f>('01_Timeseries'!E14-'01_Timeseries'!E5)*100</f>
        <v>-2.0630293539312117</v>
      </c>
    </row>
    <row r="58" spans="1:2" x14ac:dyDescent="0.2">
      <c r="A58" s="12" t="s">
        <v>231</v>
      </c>
      <c r="B58" s="16">
        <f>'02_Age_Gender'!AE16/'01_Timeseries'!B14</f>
        <v>0.4401171909254662</v>
      </c>
    </row>
    <row r="59" spans="1:2" x14ac:dyDescent="0.2">
      <c r="A59" s="12" t="s">
        <v>232</v>
      </c>
      <c r="B59" s="16">
        <f>SUM('02_Age_Gender'!AE6:AE8)/'01_Timeseries'!B14</f>
        <v>6.1525235869738661E-2</v>
      </c>
    </row>
    <row r="60" spans="1:2" x14ac:dyDescent="0.2">
      <c r="A60" s="12" t="s">
        <v>233</v>
      </c>
      <c r="B60" s="15">
        <f>SUM('02_Age_Gender'!AE6:AE8)/SUM('02_Age_Gender'!D6:D8)-1</f>
        <v>-2.6278069756330624E-2</v>
      </c>
    </row>
    <row r="61" spans="1:2" x14ac:dyDescent="0.2">
      <c r="A61" s="12" t="s">
        <v>234</v>
      </c>
      <c r="B61" s="14">
        <f>'01_Timeseries'!I14</f>
        <v>721</v>
      </c>
    </row>
    <row r="62" spans="1:2" x14ac:dyDescent="0.2">
      <c r="A62" s="12" t="s">
        <v>235</v>
      </c>
      <c r="B62" s="24">
        <f>'01_Timeseries'!B14/83577140*1000</f>
        <v>8.3230534091020587</v>
      </c>
    </row>
    <row r="63" spans="1:2" x14ac:dyDescent="0.2">
      <c r="A63" s="12" t="s">
        <v>236</v>
      </c>
      <c r="B63" s="24">
        <f>'04_Funnel'!B15</f>
        <v>9.8706896551724146</v>
      </c>
    </row>
    <row r="64" spans="1:2" x14ac:dyDescent="0.2">
      <c r="A64" s="12" t="s">
        <v>237</v>
      </c>
      <c r="B64" s="19">
        <f>'04_Funnel'!B19</f>
        <v>3.49</v>
      </c>
    </row>
    <row r="65" spans="1:3" x14ac:dyDescent="0.2">
      <c r="A65" s="12" t="s">
        <v>238</v>
      </c>
      <c r="B65" s="24">
        <f>'05_Europe'!H6</f>
        <v>53.307071937218645</v>
      </c>
    </row>
    <row r="67" spans="1:3" x14ac:dyDescent="0.2">
      <c r="A67" s="16" t="s">
        <v>263</v>
      </c>
    </row>
    <row r="68" spans="1:3" x14ac:dyDescent="0.2">
      <c r="A68" t="s">
        <v>264</v>
      </c>
      <c r="B68" s="7">
        <f>'20_Dashboard'!D5</f>
        <v>2024</v>
      </c>
    </row>
    <row r="69" spans="1:3" x14ac:dyDescent="0.2">
      <c r="A69" t="s">
        <v>265</v>
      </c>
      <c r="B69" s="7">
        <f>INDEX('01_Timeseries'!$B$5:$B$14,MATCH($B$68,'01_Timeseries'!$A$5:$A$14,0))</f>
        <v>686708</v>
      </c>
    </row>
    <row r="70" spans="1:3" x14ac:dyDescent="0.2">
      <c r="A70" t="s">
        <v>266</v>
      </c>
      <c r="B70" s="12">
        <f>INDEX('01_Timeseries'!$E$5:$E$14,MATCH($B$68,'01_Timeseries'!$A$5:$A$14,0))</f>
        <v>0.35144340826086196</v>
      </c>
    </row>
    <row r="71" spans="1:3" x14ac:dyDescent="0.2">
      <c r="A71" t="s">
        <v>267</v>
      </c>
      <c r="B71" s="7">
        <f>SUM(INDEX('02_Age_Gender'!$B$6:$AE$8,0,($B$68-2016)*3+3))</f>
        <v>42247</v>
      </c>
    </row>
    <row r="72" spans="1:3" x14ac:dyDescent="0.2">
      <c r="A72" t="s">
        <v>268</v>
      </c>
      <c r="B72" s="12">
        <f>INDEX('02_Age_Gender'!$B$16:$AE$16,($B$68-2016)*3+3)/$B$69</f>
        <v>0.4349810982251554</v>
      </c>
    </row>
    <row r="73" spans="1:3" x14ac:dyDescent="0.2">
      <c r="A73" t="s">
        <v>269</v>
      </c>
      <c r="B73" s="7">
        <f>'01_Timeseries'!B14-$B$69</f>
        <v>8909</v>
      </c>
    </row>
    <row r="74" spans="1:3" x14ac:dyDescent="0.2">
      <c r="A74" t="s">
        <v>270</v>
      </c>
      <c r="B74" s="12">
        <f>'01_Timeseries'!B14/$B$69-1</f>
        <v>1.2973490916080799E-2</v>
      </c>
    </row>
    <row r="75" spans="1:3" x14ac:dyDescent="0.2">
      <c r="A75" t="s">
        <v>271</v>
      </c>
      <c r="B75" s="12">
        <f>('01_Timeseries'!E14-$B$70)*100</f>
        <v>-0.41905377875986471</v>
      </c>
    </row>
    <row r="76" spans="1:3" x14ac:dyDescent="0.2">
      <c r="A76" t="s">
        <v>272</v>
      </c>
      <c r="B76" s="12">
        <f>($B$58-$B$72)*100</f>
        <v>0.51360927003107903</v>
      </c>
    </row>
    <row r="77" spans="1:3" x14ac:dyDescent="0.2">
      <c r="A77" t="s">
        <v>273</v>
      </c>
      <c r="B77" s="12">
        <f>SUM('02_Age_Gender'!AE6:AE8)/$B$71-1</f>
        <v>1.304234620209721E-2</v>
      </c>
    </row>
    <row r="79" spans="1:3" x14ac:dyDescent="0.2">
      <c r="A79" s="17" t="s">
        <v>279</v>
      </c>
    </row>
    <row r="80" spans="1:3" x14ac:dyDescent="0.2">
      <c r="A80" s="5" t="s">
        <v>280</v>
      </c>
      <c r="B80" s="5">
        <v>2016</v>
      </c>
      <c r="C80" s="5">
        <v>2025</v>
      </c>
    </row>
    <row r="81" spans="1:3" x14ac:dyDescent="0.2">
      <c r="A81" s="6" t="s">
        <v>127</v>
      </c>
      <c r="B81" s="7">
        <f>SUM('02_Age_Gender'!D6:D8)</f>
        <v>43953</v>
      </c>
      <c r="C81" s="7">
        <f>SUM('02_Age_Gender'!AE6:AE8)</f>
        <v>42798</v>
      </c>
    </row>
    <row r="82" spans="1:3" x14ac:dyDescent="0.2">
      <c r="A82" s="6" t="s">
        <v>281</v>
      </c>
      <c r="B82" s="7">
        <f>SUM('02_Age_Gender'!D9:D12)</f>
        <v>90282</v>
      </c>
      <c r="C82" s="7">
        <f>SUM('02_Age_Gender'!AE9:AE12)</f>
        <v>121811</v>
      </c>
    </row>
    <row r="83" spans="1:3" x14ac:dyDescent="0.2">
      <c r="A83" s="6" t="s">
        <v>282</v>
      </c>
      <c r="B83" s="7">
        <f>SUM('02_Age_Gender'!D13:D15)</f>
        <v>256276</v>
      </c>
      <c r="C83" s="7">
        <f>SUM('02_Age_Gender'!AE13:AE15)</f>
        <v>224855</v>
      </c>
    </row>
    <row r="84" spans="1:3" x14ac:dyDescent="0.2">
      <c r="A84" s="6" t="s">
        <v>119</v>
      </c>
      <c r="B84" s="7">
        <f>'02_Age_Gender'!D16</f>
        <v>252647</v>
      </c>
      <c r="C84" s="7">
        <f>'02_Age_Gender'!AE16</f>
        <v>306153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125" zoomScaleNormal="234" workbookViewId="0">
      <selection activeCell="G18" sqref="G18"/>
    </sheetView>
  </sheetViews>
  <sheetFormatPr baseColWidth="10" defaultColWidth="8.83203125" defaultRowHeight="15" x14ac:dyDescent="0.2"/>
  <cols>
    <col min="1" max="1" width="2" customWidth="1"/>
    <col min="2" max="12" width="17" customWidth="1"/>
    <col min="13" max="13" width="2" customWidth="1"/>
  </cols>
  <sheetData>
    <row r="2" spans="2:13" x14ac:dyDescent="0.2">
      <c r="B2" s="44" t="s">
        <v>0</v>
      </c>
      <c r="C2" s="38"/>
      <c r="D2" s="38"/>
      <c r="E2" s="38"/>
      <c r="F2" s="38"/>
      <c r="G2" s="38"/>
      <c r="H2" s="38"/>
      <c r="I2" s="38"/>
      <c r="J2" s="38"/>
      <c r="K2" s="38"/>
      <c r="L2" s="38"/>
    </row>
    <row r="3" spans="2:13" x14ac:dyDescent="0.2">
      <c r="B3" s="38"/>
      <c r="C3" s="38"/>
      <c r="D3" s="38"/>
      <c r="E3" s="38"/>
      <c r="F3" s="38"/>
      <c r="G3" s="38"/>
      <c r="H3" s="38"/>
      <c r="I3" s="38"/>
      <c r="J3" s="38"/>
      <c r="K3" s="38"/>
      <c r="L3" s="38"/>
    </row>
    <row r="4" spans="2:13" x14ac:dyDescent="0.2">
      <c r="B4" s="36" t="s">
        <v>1</v>
      </c>
      <c r="C4" s="33"/>
      <c r="D4" s="33"/>
      <c r="E4" s="33"/>
      <c r="F4" s="33"/>
      <c r="G4" s="33"/>
      <c r="H4" s="33"/>
      <c r="I4" s="33"/>
      <c r="J4" s="33"/>
      <c r="K4" s="33"/>
      <c r="L4" s="33"/>
    </row>
    <row r="5" spans="2:13" ht="25" x14ac:dyDescent="0.2">
      <c r="B5" s="16" t="s">
        <v>261</v>
      </c>
      <c r="D5" s="30">
        <v>2024</v>
      </c>
      <c r="F5" s="2" t="s">
        <v>262</v>
      </c>
    </row>
    <row r="6" spans="2:13" ht="16" customHeight="1" x14ac:dyDescent="0.2">
      <c r="B6" s="37" t="s">
        <v>2</v>
      </c>
      <c r="C6" s="38"/>
      <c r="D6" s="37" t="str">
        <f>"GROWTH vs "&amp;'06_Metrics'!B68</f>
        <v>GROWTH vs 2024</v>
      </c>
      <c r="E6" s="38"/>
      <c r="F6" s="39" t="s">
        <v>3</v>
      </c>
      <c r="G6" s="40"/>
      <c r="H6" s="39" t="s">
        <v>4</v>
      </c>
      <c r="I6" s="40"/>
      <c r="J6" s="39" t="str">
        <f>"UNDER 19 vs "&amp;'06_Metrics'!B68</f>
        <v>UNDER 19 vs 2024</v>
      </c>
      <c r="K6" s="40"/>
      <c r="L6" s="41"/>
      <c r="M6" s="42"/>
    </row>
    <row r="7" spans="2:13" ht="22" customHeight="1" x14ac:dyDescent="0.2">
      <c r="B7" s="46">
        <f>'06_Metrics'!B52</f>
        <v>695617</v>
      </c>
      <c r="C7" s="35"/>
      <c r="D7" s="45">
        <f>'06_Metrics'!B74</f>
        <v>1.2973490916080799E-2</v>
      </c>
      <c r="E7" s="35"/>
      <c r="F7" s="34">
        <f>'06_Metrics'!B56</f>
        <v>0.34725287047326331</v>
      </c>
      <c r="G7" s="35"/>
      <c r="H7" s="34">
        <f>'06_Metrics'!B58</f>
        <v>0.4401171909254662</v>
      </c>
      <c r="I7" s="35"/>
      <c r="J7" s="34">
        <f>'06_Metrics'!B77</f>
        <v>1.304234620209721E-2</v>
      </c>
      <c r="K7" s="35"/>
      <c r="L7" s="47"/>
      <c r="M7" s="35"/>
    </row>
    <row r="8" spans="2:13" ht="22" customHeight="1" x14ac:dyDescent="0.2">
      <c r="B8" s="33"/>
      <c r="C8" s="33"/>
      <c r="D8" s="33"/>
      <c r="E8" s="33"/>
      <c r="F8" s="33"/>
      <c r="G8" s="33"/>
      <c r="H8" s="33"/>
      <c r="I8" s="33"/>
      <c r="J8" s="33"/>
      <c r="K8" s="33"/>
      <c r="L8" s="33"/>
      <c r="M8" s="33"/>
    </row>
    <row r="9" spans="2:13" x14ac:dyDescent="0.2">
      <c r="B9" s="43"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3"/>
      <c r="D9" s="33"/>
      <c r="E9" s="33"/>
      <c r="F9" s="33"/>
      <c r="G9" s="33"/>
      <c r="H9" s="33"/>
      <c r="I9" s="33"/>
      <c r="J9" s="33"/>
      <c r="K9" s="33"/>
      <c r="L9" s="33"/>
      <c r="M9" s="33"/>
    </row>
    <row r="11" spans="2:13" x14ac:dyDescent="0.2">
      <c r="B11" s="29" t="s">
        <v>239</v>
      </c>
      <c r="H11" s="29" t="s">
        <v>5</v>
      </c>
    </row>
    <row r="29" spans="2:8" x14ac:dyDescent="0.2">
      <c r="B29" s="29" t="s">
        <v>6</v>
      </c>
      <c r="H29" s="29" t="s">
        <v>7</v>
      </c>
    </row>
    <row r="47" spans="2:8" x14ac:dyDescent="0.2">
      <c r="B47" s="29" t="s">
        <v>8</v>
      </c>
      <c r="H47" s="29" t="s">
        <v>9</v>
      </c>
    </row>
    <row r="67" spans="2:12" x14ac:dyDescent="0.2">
      <c r="B67" s="32" t="s">
        <v>285</v>
      </c>
      <c r="C67" s="33"/>
      <c r="D67" s="33"/>
      <c r="E67" s="33"/>
      <c r="F67" s="33"/>
      <c r="G67" s="33"/>
      <c r="H67" s="33"/>
      <c r="I67" s="33"/>
      <c r="J67" s="33"/>
      <c r="K67" s="33"/>
      <c r="L67" s="33"/>
    </row>
    <row r="68" spans="2:12" x14ac:dyDescent="0.2">
      <c r="B68" s="33"/>
      <c r="C68" s="33"/>
      <c r="D68" s="33"/>
      <c r="E68" s="33"/>
      <c r="F68" s="33"/>
      <c r="G68" s="33"/>
      <c r="H68" s="33"/>
      <c r="I68" s="33"/>
      <c r="J68" s="33"/>
      <c r="K68" s="33"/>
      <c r="L68" s="33"/>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2026-09-24T23:22:11Z</dcterms:modified>
</cp:coreProperties>
</file>