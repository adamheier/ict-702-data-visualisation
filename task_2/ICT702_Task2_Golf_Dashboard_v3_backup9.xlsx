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4924CE74-839A-2247-9604-CCD216513F75}" xr6:coauthVersionLast="47" xr6:coauthVersionMax="47" xr10:uidLastSave="{00000000-0000-0000-0000-000000000000}"/>
  <bookViews>
    <workbookView xWindow="0" yWindow="660" windowWidth="29400" windowHeight="1718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6.0" hidden="1">'03_States'!$A$31:$A$46</definedName>
    <definedName name="_xlchart.v6.1" hidden="1">'03_States'!$E$30</definedName>
    <definedName name="_xlchart.v6.2" hidden="1">'03_States'!$E$31:$E$46</definedName>
    <definedName name="_xlchart.v6.3" hidden="1">'06_Metrics'!$A$20</definedName>
    <definedName name="_xlchart.v6.4" hidden="1">'03_States'!$A$31:$A$46</definedName>
    <definedName name="_xlchart.v6.5" hidden="1">'03_States'!$E$30</definedName>
    <definedName name="_xlchart.v6.6" hidden="1">'03_States'!$E$31:$E$46</definedName>
    <definedName name="_xlchart.v6.7"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8" i="12" l="1"/>
  <c r="J6" i="15"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L7" i="15"/>
  <c r="H7" i="15"/>
  <c r="F7" i="15"/>
  <c r="B7" i="15"/>
  <c r="B70" i="12" l="1"/>
  <c r="B75" i="12" s="1"/>
  <c r="B69" i="12"/>
  <c r="B72" i="12" s="1"/>
  <c r="B76" i="12" s="1"/>
  <c r="B71" i="12"/>
  <c r="B77" i="12" s="1"/>
  <c r="J7" i="15" s="1"/>
  <c r="D6" i="15"/>
  <c r="B74" i="12" l="1"/>
  <c r="D7" i="15" s="1"/>
  <c r="B73" i="12"/>
  <c r="B9" i="15"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<sst xmlns="http://schemas.openxmlformats.org/spreadsheetml/2006/main" count="369" uniqueCount="280">
  <si>
    <t>GROWING GOLF IN GERMANY   —   Participation Dashboard 2016–2025</t>
  </si>
  <si>
    <t>Audience: German Golf Federation (DGV), state associations and facility operators   |   Players as at 30 Sep 2025, facilities 31 Dec 2025   |   Sources: DGV; Allensbach/AWA; The R&amp;A; Destatis</t>
  </si>
  <si>
    <t>PLAYERS 2025</t>
  </si>
  <si>
    <t>FEMALE SHARE</t>
  </si>
  <si>
    <t>AGED 61+</t>
  </si>
  <si>
    <t>INTERESTED / MEMBER</t>
  </si>
  <si>
    <t>2   The participation gap: 6.9m interested, 0.7m registered</t>
  </si>
  <si>
    <t>3   Where growth comes from and where it leaks (orange = net loss)</t>
  </si>
  <si>
    <t>4   The female share keeps sliding while male membership grows</t>
  </si>
  <si>
    <t>5   Domestic headroom: penetration varies eighteenfold (red line = national average, 8.3)</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</si>
  <si>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</si>
  <si>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</si>
  <si>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</si>
  <si>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</si>
  <si>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</si>
  <si>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German Golf Federation (DGV), the state golf associations and facility operators in decisions aimed at increasing participation in golf.</t>
  </si>
  <si>
    <t>AUDIENCE</t>
  </si>
  <si>
    <t>DGV executive board, state golf associations, golf facility operators.</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</si>
  <si>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</si>
  <si>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</si>
  <si>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</si>
  <si>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</si>
  <si>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</si>
  <si>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</si>
  <si>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</si>
  <si>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</si>
  <si>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</si>
  <si>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</si>
  <si>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</si>
  <si>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</si>
  <si>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</si>
  <si>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</si>
  <si>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</si>
  <si>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</si>
  <si>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</si>
  <si>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</si>
  <si>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</si>
  <si>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</si>
  <si>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</si>
  <si>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</si>
  <si>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</si>
  <si>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</si>
  <si>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</si>
  <si>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</si>
  <si>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</si>
  <si>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</si>
  <si>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</si>
  <si>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</si>
  <si>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</si>
  <si>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</si>
  <si>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</si>
  <si>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</si>
  <si>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</si>
  <si>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</si>
  <si>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</si>
  <si>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</si>
  <si>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</si>
  <si>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</si>
  <si>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</si>
  <si>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</si>
  <si>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</si>
  <si>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</si>
  <si>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</si>
  <si>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</si>
  <si>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</si>
  <si>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</si>
  <si>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</si>
  <si>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</si>
  <si>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</si>
  <si>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</si>
  <si>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</si>
  <si>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</si>
  <si>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</si>
  <si>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</si>
  <si>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</si>
  <si>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</si>
  <si>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</si>
  <si>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</si>
  <si>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</si>
  <si>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</si>
  <si>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</si>
  <si>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</si>
  <si>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</si>
  <si>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</si>
  <si>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</si>
  <si>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</si>
  <si>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</si>
  <si>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</si>
  <si>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</si>
  <si>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</si>
  <si>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</si>
  <si>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</si>
  <si>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</si>
  <si>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</si>
  <si>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</si>
  <si>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</si>
  <si>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</si>
  <si>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</si>
  <si>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</si>
  <si>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</si>
  <si>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</si>
  <si>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</si>
  <si>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</si>
  <si>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</si>
  <si>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</si>
  <si>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</si>
  <si>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</si>
  <si>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</si>
  <si>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</si>
  <si>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</si>
  <si>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</si>
  <si>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</si>
  <si>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</si>
  <si>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</si>
  <si>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</si>
  <si>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</si>
  <si>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</si>
  <si>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</si>
  <si>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</si>
  <si>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</si>
  <si>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</si>
  <si>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</si>
  <si>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</si>
  <si>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</si>
  <si>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</si>
  <si>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</si>
  <si>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</si>
  <si>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</si>
  <si>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</si>
  <si>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</si>
  <si>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</si>
  <si>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</si>
  <si>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</si>
  <si>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</si>
  <si>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</si>
  <si>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</si>
  <si>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</si>
  <si>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</si>
  <si>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</si>
  <si>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</si>
  <si>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</si>
  <si>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</si>
  <si>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</si>
  <si>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</si>
  <si>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</si>
  <si>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</si>
  <si>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</si>
  <si>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</si>
  <si>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</si>
  <si>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</si>
  <si>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</si>
  <si>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</si>
  <si>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</si>
  <si>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</si>
  <si>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</si>
  <si>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</si>
  <si>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</si>
  <si>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</si>
  <si>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</si>
  <si>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</si>
  <si>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</si>
  <si>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</si>
  <si>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</si>
  <si>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</si>
  <si>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</si>
  <si>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</si>
  <si>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</si>
  <si>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</si>
  <si>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</si>
  <si>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</si>
  <si>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</si>
  <si>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</si>
  <si>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</si>
  <si>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</si>
  <si>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</si>
  <si>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</si>
  <si>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</si>
  <si>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</si>
  <si>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</si>
  <si>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</si>
  <si>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</si>
  <si>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</si>
  <si>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</si>
  <si>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</si>
  <si>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</si>
  <si>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</si>
  <si>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</si>
  <si>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</si>
  <si>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</si>
  <si>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</si>
  <si>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</si>
  <si>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</si>
  <si>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</si>
  <si>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</si>
  <si>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</si>
  <si>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</si>
  <si>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</si>
  <si>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</si>
  <si>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</si>
  <si>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</si>
  <si>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</si>
  <si>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</si>
  <si>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</si>
  <si>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</si>
  <si>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</si>
  <si>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</si>
  <si>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</si>
  <si>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</si>
  <si>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</si>
  <si>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</si>
  <si>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</si>
  <si>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</si>
  <si>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</si>
  <si>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</si>
  <si>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</si>
  <si>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</si>
  <si>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</si>
  <si>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</si>
  <si>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</si>
  <si>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</si>
  <si>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</si>
  <si>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</si>
  <si>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</si>
  <si>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</si>
  <si>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</si>
  <si>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</si>
  <si>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</si>
  <si>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</si>
  <si>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</si>
  <si>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</si>
  <si>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</si>
  <si>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</si>
  <si>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</si>
  <si>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</si>
  <si>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</si>
  <si>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</si>
  <si>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</si>
  <si>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</si>
  <si>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</si>
  <si>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</si>
  <si>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</si>
  <si>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</si>
  <si>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</si>
  <si>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</si>
  <si>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</si>
  <si>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</si>
  <si>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</si>
  <si>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</si>
  <si>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</si>
  <si>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</si>
  <si>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</si>
  <si>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</si>
  <si>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</si>
  <si>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</si>
  <si>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</si>
  <si>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</si>
  <si>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</si>
  <si>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</si>
  <si>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</si>
  <si>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</si>
  <si>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</si>
  <si>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</si>
  <si>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</si>
  <si>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</si>
  <si>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</si>
  <si>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</si>
  <si>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</si>
  <si>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</si>
  <si>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</si>
  <si>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</si>
  <si>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</si>
  <si>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</si>
  <si>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</si>
  <si>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</si>
  <si>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</si>
  <si>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</si>
  <si>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Indexed development, 2019 = 100</t>
  </si>
  <si>
    <t>Select A35:H38, then Insert &gt; Line with Markers. Grey = context, orange = the leak, blue = membership.</t>
  </si>
  <si>
    <t>Stage</t>
  </si>
  <si>
    <t>Play grew 17.0% between 2019 and 2025 while DGV membership grew 8.2%. People playing without a membership rose from 2.25m to 2.68m — an increase of 437,000 in six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</si>
</sst>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0" fontId="13" fillId="0" borderId="0" xfId="0" applyFont="1" applyAlignment="1">
      <alignment vertical="top" wrapText="1" indent="1"/>
    </xf>
    <xf numFmtId="0" fontId="0" fillId="0" borderId="0" xfId="0"/>
    <xf numFmtId="164" fontId="11" fillId="5" borderId="0" xfId="0" applyNumberFormat="1" applyFont="1" applyFill="1" applyAlignment="1">
      <alignment horizontal="center" vertical="center"/>
    </xf>
    <xf numFmtId="0" fontId="0" fillId="5" borderId="0" xfId="0" applyFill="1"/>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10" fillId="7" borderId="0" xfId="0" applyFont="1" applyFill="1" applyAlignment="1">
      <alignment horizontal="center" vertical="center"/>
    </xf>
    <xf numFmtId="0" fontId="0" fillId="7" borderId="0" xfId="0" applyFill="1"/>
    <xf numFmtId="0" fontId="2" fillId="0" borderId="0" xfId="0" applyFont="1"/>
    <xf numFmtId="0" fontId="9" fillId="2" borderId="0" xfId="0" applyFont="1" applyFill="1" applyAlignment="1">
      <alignment horizontal="left" vertical="center" indent="1"/>
    </xf>
    <xf numFmtId="165"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Indexed development of each stage, 2019 = 100</a:t>
            </a:r>
          </a:p>
        </c:rich>
      </c:tx>
      <c:overlay val="1"/>
    </c:title>
    <c:autoTitleDeleted val="0"/>
    <c:plotArea>
      <c:layout/>
      <c:lineChart>
        <c:grouping val="standard"/>
        <c:varyColors val="1"/>
        <c:ser>
          <c:idx val="0"/>
          <c:order val="0"/>
          <c:tx>
            <c:strRef>
              <c:f>'04_Funnel'!$A$36</c:f>
              <c:strCache>
                <c:ptCount val="1"/>
                <c:pt idx="0">
                  <c:v>Interested in golf</c:v>
                </c:pt>
              </c:strCache>
            </c:strRef>
          </c:tx>
          <c:spPr>
            <a:ln w="22000">
              <a:solidFill>
                <a:srgbClr val="999999"/>
              </a:solidFill>
              <a:prstDash val="solid"/>
            </a:ln>
          </c:spPr>
          <c:marker>
            <c:symbol val="circle"/>
            <c:size val="6"/>
            <c:spPr>
              <a:solidFill>
                <a:srgbClr val="999999"/>
              </a:solidFill>
              <a:ln>
                <a:solidFill>
                  <a:srgbClr val="999999"/>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'04_Funnel'!$B$36:$H$36</c:f>
              <c:numCache>
                <c:formatCode>General</c:formatCode>
                <c:ptCount val="7"/>
                <c:pt idx="0">
                  <c:v>100</c:v>
                </c:pt>
                <c:pt idx="1">
                  <c:v>97.910447761194021</c:v>
                </c:pt>
                <c:pt idx="2">
                  <c:v>91.194029850746276</c:v>
                </c:pt>
                <c:pt idx="3">
                  <c:v>89.701492537313428</c:v>
                </c:pt>
                <c:pt idx="4">
                  <c:v>91.940298507462686</c:v>
                </c:pt>
                <c:pt idx="5">
                  <c:v>96.268656716417908</c:v>
                </c:pt>
                <c:pt idx="6">
                  <c:v>102.53731343283583</c:v>
                </c:pt>
              </c:numCache>
            </c:numRef>
          </c:val>
          <c:smooth val="0"/>
          <c:extLst>
            <c:ext xmlns:c16="http://schemas.microsoft.com/office/drawing/2014/chart" uri="{C3380CC4-5D6E-409C-BE32-E72D297353CC}">
              <c16:uniqueId val="{00000000-46AD-6A4D-B178-3157CB8694D9}"/>
            </c:ext>
          </c:extLst>
        </c:ser>
        <c:ser>
          <c:idx val="1"/>
          <c:order val="1"/>
          <c:tx>
            <c:strRef>
              <c:f>'04_Funnel'!$A$37</c:f>
              <c:strCache>
                <c:ptCount val="1"/>
                <c:pt idx="0">
                  <c:v>Play golf at all</c:v>
                </c:pt>
              </c:strCache>
            </c:strRef>
          </c:tx>
          <c:spPr>
            <a:ln w="30000">
              <a:solidFill>
                <a:srgbClr val="E69F00"/>
              </a:solidFill>
              <a:prstDash val="solid"/>
            </a:ln>
          </c:spPr>
          <c:marker>
            <c:symbol val="circle"/>
            <c:size val="6"/>
            <c:spPr>
              <a:solidFill>
                <a:srgbClr val="E69F00"/>
              </a:solidFill>
              <a:ln>
                <a:solidFill>
                  <a:srgbClr val="E69F00"/>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'04_Funnel'!$B$37:$H$37</c:f>
              <c:numCache>
                <c:formatCode>General</c:formatCode>
                <c:ptCount val="7"/>
                <c:pt idx="0">
                  <c:v>100</c:v>
                </c:pt>
                <c:pt idx="1">
                  <c:v>105.19031141868511</c:v>
                </c:pt>
                <c:pt idx="2">
                  <c:v>108.65051903114187</c:v>
                </c:pt>
                <c:pt idx="3">
                  <c:v>107.9584775086505</c:v>
                </c:pt>
                <c:pt idx="4">
                  <c:v>113.14878892733564</c:v>
                </c:pt>
                <c:pt idx="5">
                  <c:v>119.03114186851211</c:v>
                </c:pt>
                <c:pt idx="6">
                  <c:v>116.95501730103805</c:v>
                </c:pt>
              </c:numCache>
            </c:numRef>
          </c:val>
          <c:smooth val="0"/>
          <c:extLst>
            <c:ext xmlns:c16="http://schemas.microsoft.com/office/drawing/2014/chart" uri="{C3380CC4-5D6E-409C-BE32-E72D297353CC}">
              <c16:uniqueId val="{00000001-46AD-6A4D-B178-3157CB8694D9}"/>
            </c:ext>
          </c:extLst>
        </c:ser>
        <c:ser>
          <c:idx val="2"/>
          <c:order val="2"/>
          <c:tx>
            <c:strRef>
              <c:f>'04_Funnel'!$A$38</c:f>
              <c:strCache>
                <c:ptCount val="1"/>
                <c:pt idx="0">
                  <c:v>DGV-registered members</c:v>
                </c:pt>
              </c:strCache>
            </c:strRef>
          </c:tx>
          <c:spPr>
            <a:ln w="30000">
              <a:solidFill>
                <a:srgbClr val="0072B2"/>
              </a:solidFill>
              <a:prstDash val="solid"/>
            </a:ln>
          </c:spPr>
          <c:marker>
            <c:symbol val="circle"/>
            <c:size val="6"/>
            <c:spPr>
              <a:solidFill>
                <a:srgbClr val="0072B2"/>
              </a:solidFill>
              <a:ln>
                <a:solidFill>
                  <a:srgbClr val="0072B2"/>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'04_Funnel'!$B$38:$H$38</c:f>
              <c:numCache>
                <c:formatCode>General</c:formatCode>
                <c:ptCount val="7"/>
                <c:pt idx="0">
                  <c:v>100</c:v>
                </c:pt>
                <c:pt idx="1">
                  <c:v>101.24416796267496</c:v>
                </c:pt>
                <c:pt idx="2">
                  <c:v>104.82115085536547</c:v>
                </c:pt>
                <c:pt idx="3">
                  <c:v>106.22083981337479</c:v>
                </c:pt>
                <c:pt idx="4">
                  <c:v>106.06531881804044</c:v>
                </c:pt>
                <c:pt idx="5">
                  <c:v>106.84292379471229</c:v>
                </c:pt>
                <c:pt idx="6">
                  <c:v>108.2426127527216</c:v>
                </c:pt>
              </c:numCache>
            </c:numRef>
          </c:val>
          <c:smooth val="0"/>
          <c:extLst>
            <c:ext xmlns:c16="http://schemas.microsoft.com/office/drawing/2014/chart" uri="{C3380CC4-5D6E-409C-BE32-E72D297353CC}">
              <c16:uniqueId val="{00000002-46AD-6A4D-B178-3157CB8694D9}"/>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25"/>
          <c:min val="95"/>
        </c:scaling>
        <c:delete val="0"/>
        <c:axPos val="l"/>
        <c:title>
          <c:tx>
            <c:rich>
              <a:bodyPr/>
              <a:lstStyle/>
              <a:p>
                <a:pPr>
                  <a:defRPr/>
                </a:pPr>
                <a:r>
                  <a:rPr lang="en-GB"/>
                  <a:t>Index (2019 = 100)</a:t>
                </a:r>
              </a:p>
            </c:rich>
          </c:tx>
          <c:overlay val="1"/>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'06_Metrics'!$D$5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'06_Metrics'!$A$6:$A$16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_xlchart.v6.0</cx:f>
        <cx:nf>_xlchart.v6.3</cx:nf>
      </cx:strDim>
      <cx:numDim type="colorVal">
        <cx:f>_xlchart.v6.2</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_xlchart.v6.1</cx:f>
              <cx:v>Players per 1,000 pop.</cx:v>
            </cx:txData>
          </cx:tx>
          <cx:dataPt idx="4"/>
          <cx:dataPt idx="7"/>
          <cx:dataPt idx="11"/>
          <cx:dataPt idx="12"/>
          <cx:dataLabels>
            <cx:visibility seriesName="0" categoryName="0" value="1"/>
          </cx:dataLabels>
          <cx:dataId val="0"/>
          <cx:layoutPr>
            <cx:geography cultureLanguage="en-GB" cultureRegion="DE" attribution="Powered by Bing">
              <cx:geoCache provider="{E9337A44-BEBE-4D9F-B70C-5C5E7DAFC167}">
                <cx:binary>7HpHk91Gsu5fUXD9QJU3E6O7KADHte8mm01uEM1mswpAwQMF8+tfHpkZitKVZvY3gsHgIVyZrPxM
5j9fln+8+Nfn/oel8vXwj5flpzduHNt//Pjj8OJeq+fhbZW/9M3QfB3fvjTVj83Xr/nL649f+uc5
r+2PBGH244t77sfX5c3//BPeZl+b5Hl8TusxH9e76bVf71+HyY/DX179Xy7+8Prza96t7etPb56/
VHmd5MPY5y/jm18vHb/89EYhxiUTb3748dvX/HrD9XMFz5rX3uf1nz70+jyMP73B9K0USBGtCedU
YqTf/DC//noFacy0pkQJDH/hNz/UTT+6n95w8lZIJbjkFEuqfr40NNOvlyhVmihCiOCC8H+tzm3j
V9vU/1qPX3//UE/VbZPX4/DTG0re/ND+ctt5fhJhqQXCmhDKESYYcbj+8nwPOwB34/8nvIz44qop
7tesiVdOc8NkUxiPqyXOVJMlZO7yuMgJ3rVFXRunRW5Qpm5E0X5uSj7Fs7Snsle3TUVIgliUimBV
Ijfr0xqrbUejlZoGb3d1M4SPaqbjqXP8WLvpHnfVJRfjvpjFEFfrOsfED4eymM03W/In01R/M0vY
0W9nOU5r31RROcWinLJjj7K7WnfHkYQ57sJiupkW8eT85V9/leI/rK5CCCnJsOCEaoXZ7787qzxb
/VSFWObrkx3a1nQLuhQtrCihURXrSY1GdVWetFO+7Ja2z5OpmJ9I1X1w+GFtZZY6nL8XI31vR1TG
K0bOLE6maiiOmWrfUe13TZS/uHxT6VxEu74uPyk2VyZ0jpgurJ/YNMyppf5+Lkpptj7bL6EsjfL6
y1Aun8aSfNjo8I4FKkyN5bNwaDKSVtesXPNbgqL5rmyyj9i5x5GQr2NWkngRVdp19WsrHYu1RDqx
eOv2K8pYErT2e0QVPRDczkb31eU62SdclqdAZTKteog3vq3x6vpPFmdP5xdV25InW+FUoqknCY66
OR5ENsOp7S5VWbu70koVd3jIr5Rm7HbN8ddCiZDyzuHYi43FEg9Z4qLCxlvP1juNRbjjuVZmrglO
tfNbYsfxEaHBG+rHPu3LRu2dcrmpOW5MtBGUFhnL0mmwT5nFIt4qIWEwXsfr5NwF49ViijVEaeUQ
SaUr8iSw5l6XY+LmjJ3QQjN4N9lMvhW3Gw+18QPeiTCXRjfzDk6ZNbxZXVr4wZp6a+c4qxtvFLfd
bV95b8Jo3+lzSFRL78wwhmpfz3a5VLmz+2HYbAJ7PcZ98Kefh8NZdLco9nVqvnol56u5l9wsZd6b
ZUTPfUVZImQrTaSISLO8P0JArs/5OF1XildGaISNXug7FagyHIs89tEAWyGu9Uofps1edlVxYG4l
8Ta0+c7rsEdDbjZGW0MKf8eY7i975clx5OO6p3CCzztasiI3pWZTGhVbeRwgzJqMrSmiszfnwBMT
nZIy8/hOeCZNwAPfLZEPheny0Sd9Jcujr/yThpPFDWLbVcOzqxVHn8emb5OZ6GOxrgnjudpZsqaD
Q0kRsiumyC2koofFy9oEmjNTdP6TJfO+0u6Rcn+D9fhZZbkwJNu84VuEUlWpm5mJRzq7/Sb1IRQL
bFTQrzPsn7HrIOKxCmyHVEhsWWZxyHpu8IRSVqwf2OyiOHPdA6q79lY51CT94ErTuQ6S5Tw+QA5M
Vr46U49Fuyslu6428VSisjbrlF0PVB+2KHucI/yVenbBQ7gui8zFs8/iqq17mGDWmULjq7mFBVJ0
SJdt3EEQxLPOID/zpjK2h91Z3Ge/TifXYpFKu/m4cLUyRQ4nPurdoVsniPZsa2My4Iu128rYu+lq
ylt3kduhvOxQGOMZMC+to3G82kan9qRF5a6x7ZLafJCmWMblJotmI6IxvG+yGiJZQjbRSyGOdRfZ
wxy21gyFzZKeNsHM1D9GedN/QLh8v5VWGTVO4TG0AAW9W92F3cp+PzUi+uyWrIHcFPCSCu4yo0TZ
7XgYy/fnaPZtObyIukZmmASCbC5OCE8w6aWPWdHIuxHhOKuesmFpjLLdmIhsokmE3K3V3CZzY6/r
elhiuXXeTCob4p9T/o+/0I/fAexL0659bt2v/ONfP//nXVPBn3+en/n3f54JzL9/Xf3GfP7yrv1r
c+YYw/c3/e7NgPa/ju5Mjn734w9M6VsS859e/M+IEqaUAq/532nS4bn6PPX2W5706zO/siT0lhIO
qUIzyhlhgOC/kCT1lkqJlRZUEIqYUHDlN5JE32rBMFwEnoQ1UKU3P/xGkuhbyApKKC6Q1Bhh8d+w
pDMJ+h1JQlQLDmRQMwlDYN/B+EjpmiOOqjiv+gdVNFeNFnEe8NU3K/InLOVPPyM5IRoWUzD13WfK
frYVl6SC6MQvdtQqtkzvpo42f0OHyPlNf5gQ8EsBa0aZ4mfe8g3rK22JYQCsiteepmMz5THDRWEi
ul72QPXixi+rmSP17OrSGcvmeGTTUdX1VT0Xp0gspt/au77gIp031hhfDKvp1vpaNR7FyNF3pO1u
G1FgE1UL+pvhyz8bPdBphTEXHAn0+9G3Qo7rvOIqnvh4M0GqzAoXr6rOTCjoI4x9+ZsPYgik79ZL
SsKAxlPCOOLiu52Jtmq2mMoqHrN1McK2jema0YzUnTaqsrjLojWtCPIms46a2tZd3G4h7P86QDD7
w9QxhDTDjCiklILR/H7qUytZXTdLG+PZ43jsAtvXVaj37bqUccvIaKxf7jDNmiOlEYtt3q1N3LlB
A/GTJ4eLdKFLlLguwvFaZJGRaruyNovqmNp6TgcOWqAo+yFhmcsgR/IpAtbJ+eVMard3AT01UaFO
Cxq6vbWlPfaYL7tmZa/1tlxuDfb7rejURYFWCfRF0eXD0KrCaMjmDzKLtljwcHKTXdII8sAJZ+Oh
G4i7aKPhSrqlMJNmbSIGfKi0NtbaFPA22m9ld5sXeNgVY41PJfZql/NAYjSM3U0TQLJYkbuDX8fG
kGXuH6q2nR5QM4Y5IRhnyPQlgJ0Kjb/V7YTiyG/zi1LZapDNtidBsuYrHVoK1Lwm/pTzgvK0b7BN
2lyVB5w1w5hM2C0Xyk71SY25uOUrmWNhix74w/osZtkBaSAVnJkZtVuTrmstryMUbdZ4T/u4Y20X
ex++ilLdcGBRMeNiSWXGSyNGPgNRpOh+y9lm6DBo0EV5lI4lRFOvZHfHh6pNmn5YDFlbFbu2Lw7r
NFdXo5ToXVnPIKI25i9CgcSncprq3szrKmPXtMUtoWMUbyGf4nrLTJYVVWOqyobHch4+BdizD0Pn
Yrxif1irZvtazDJ7LpwQcTdvvY+3mUd7Sad71TblDrC7vVq7ptsPuOjiaSbtqakZ0NdtaY5L3067
BsLwQKM6pGO7PCJSgvpZR5tEDC2nGdh5DAe8f+hdFPYNQ1Xyf1D8H3kW+Ge5+U1mOROD33kWDy/O
vw5zbqND44fx9Tv/4rcX/IrM+C2ABEeAzBiAFEnIOb9As3yruJZESyEU+CTojL+/QTN/i7iSWktG
z9r3DJnfQLNgSEuuOcGAcuy/gebz179LzRTMCykpDI0SQK3fZ0SrtmryUdPEJa5BrYCQASiLczeL
ndbbReO2l6z7WS7GKmqDmRaI5bJwY+Jt35hpnLjxuQU5i/r5q+Qjfpbd9KQaXcS29uvV2BT8HOT9
u35Ql2JwdSwQgZBn4iqvpNzl2+Iv80n2T3WIVLK1jqVuafLTyPpq76XS137cSLpkkH1XR3gydvUn
PwYg8tHC20NOVntQIDgqg73tLpmo8tyMatJGCtAVMuw6reaE4VAeZyHWXdNGfSI9CMp5HVKmRHWg
y1aYuaL2oMuBxYRXL2HA3WFc5Ccg4ewIyqO+KwukUDwjLpd4qmj7eQYP6sq5mb5DC2HYOGqnGBjX
cK8mwlICaFqnQ+ajtI0K8gtb/h1Z/tZ9+jMeQgQTAkwxpZXk3/kyVdRH/baVTcwnhR691cxQra80
I3Mya+WNA8WZ4LqhRwx6b8dXpj5GUYYBXmqWjFqQxPOlTwavr1BPnpHPrugkyWpWBCylo9mH1mbh
w7qy7N28FBdYg4f2d7B8pkvf0SnKKEKYIgKzEWf68A2dCjOo/mlyVRzZDZ1tCPR+swuPq2qZknEa
puPcjpuZQw6cIVQg6fqBG95P+pBnbku+Ocu3v3z321U9H7vvhiOAHQlNJMYaoPm7Ve2zstEdIg0Y
KL4/1kjhT4VrmstuqCfTg8I1gH0HoRsa2yYvTY6nCbScWI9lMRqczcWjn1b2GLicDA59OFSz7+M6
7+aDbuvoqit4flU00/yIO/BSWsvVzoNVOMk2aQl2g1nPvDGqYb6TXOYU467cTLmMxctfzxXTP8wV
8g4jAlINpwyp7/xLLxoZjd3UxKrYKOjtogSqOrSm8szFdTvBgjtOkm1q8UN+RqWprnFMic1PmCyH
IlLi8a+HBLLnu9UHVxVpRKkERYP+EAw5ISGqXBv3tQonFTXbHkl/ov1UmpX7JtaNmgxdV51sain/
jqr+2ecJyCgE7vHZcTxbod/E4tTNAfdn0scRWDgRD2VKC3AAsBUVOE8NAm9IgqVRjJ38MIf6axPV
zwgcmJvAtuvcseh+XpBMqLZ1HLrNPQ1oFvd9tAyx11u0++vVwmey/vuzA5KKaZBvwGopKKzfjxeo
1NRuWwTLkn0KSNgT53kXy3IDptpWl7SWRZy1/N041C/jFkV/s15/INQIDomQgHBCAt383v/eVoFt
4fI27sDxPtRCfoQUEh3slM3AC/ttL4MQF389Z3I+gN/NGUskpAD9Atni7Pt/u0clmI1lqSFoI9A3
j0XfkVjUMyQ6H/LnOaLb48AE2bM+ZBDIC/DjzH0Bs3O/1mu7X4b25OfotaqK+gMla72vIpGGtnnc
FJIGgd0WAxUtjS23gw9dl9iqu2J5935Brvgbj1ug7ybDGAVOIKRkgHpwEtl3J3BcyDbYaejiDkLS
1MAkUoH67kK5LY+nXm0juIBYmMxTcignTe70RMbClAMaX5qFgnL0kcgeNSJfpl6WJ1aG7Z11PIqH
vCiTmeL5ogJMPGRaT2ndTf4ycmtBDeiD9qFHvNzBcYwBxJ0zLsr7dCItSyYyNyYMrrkRc0MT1heg
p30fks6TYBrXQs4Qk77EkOv20nJ+CJ30d9jpNuZZw03QfZPOI8BqI2v6QaCRXw21GE6lrtZznhzz
47LMJIEqx2gkA3etnB0Co3db5I7lTWaWVr2virzZd7kA2uCn5oPfXNGbrOy6yxEsvHcC1Vlcon55
Gcp6Sju2ykRN1B9DY5c9PLGCw73kg9mauogLWoHJWVkS00JVCRuK4qmGc3XLBfzfspLyEuSVSjqI
x/uItjKtch5d2cKqCxeVApK1y+mxxjUc8RUqD4cBLEtrslyGYxHR5saOm43nQMePFV3DBa3avo/J
yjPDO7sos1BVGtcNjWkzQovdIovliHmhTzRY/HFe5/aaEFTeCw2vM7Ql+QO3PXdxcA0/aV5E0mQ8
R/DqsD1PIjR5XI0WV+k2DN0Qu2GlMe639TjKontcVJDv+7BEN21X29turNTJA6SBZtg21e3xWrSH
sCwb6BQils7MjndXTb/INoYBjvtQbX0yF0v9LGVw7xfcQJFkm+jFokG9bGBoTgY10VCbdlXi0FIy
Xwy4XJFhWclAWnL/ZbajvEX9ip5l2RbvF8XX3Ey2LPpkqxd7YnjLLoMq16uyYi6NKhEuxzqCmg/i
7LbNaHEX+DyxS5STEKAkIHsIWLHOj5kn9lLVvns/Iiovuw7LOmm7uT/QfHS3+aLITUaiHDzMMX+I
hqI2dvL8VFM7X2dyQvvBi+G698+Y9f0xHyObDFjb956NzLTczTdd8CS1Koh9IHV53xQ1va9QhWLQ
qctj1HR8M0Xkpi7Jtz6qr5GgOglDK58KX1Vf4Dy8dHqzd8s5RPwEcpgWH0GK5v4IcTsBSuRCPiko
NFwuvCnvNVODqQq1AHnoqu6x2db7xU4BGLP7Kt148ITV100jQsICsY/zRPsDX8J44gDfBm/LmmLR
Z5NhCGoxXoJRD3i6HlCZ4VfOimxf8JEkHVhpKQRFvyMEJOi8aXdoiKMfubOvUNGoEyh8VYmoVZHW
YdziHqax6yuXEZPPyx7XjO+qEag2VMmcIaxYzAALX/jeJRBJD9XgbzgR1dXWDsd1nFXa5Sip6xHY
ZVYWKY220sdhGsR9vfLuSKKuv6x6G8YkC7V4njZ3M4R+MW5WIqnK0B5EZbt9pMvoCNRkTc7y6KZs
e7qXmn4kM1eXnldr7MN2Pa4LZP9IrfHAp8FYOBKGWwBuN/vPVrjKmUD482LXRxvozRgtd7prqus8
iPwdOGLlB7VhcRx0GVubp07huM5CGoUnYTkyVnWfQb3sIdz3em7vgYaWyh6g6lWleUTaXVO0RreP
3QLKha67aC5iSpsrCetYwtXZ1qauu+GxcuHGQcWk1aA2Qpfxu81CIVgNDl+0vH728/bOhel1LPlT
0QtksgLekVFWHhrc3gw+T5hSrZGRb01Z4ou6ZcVmBp7DqNe5mJNxmUUS5TO9YH6C7BNlQ6biolir
tHFcGZm7kAbguyTIrDLA02OUjTFUFF9s/2UcvlIxxdm0fKkg9V7zIYPcztqdDba7QSJiD9hN/p2e
EXvUi1RXMxHRocu2Ou4aOqdhgwqJ8R2Rp17MMLJo2qGliPucLJCqubqeOxHlxtO6Txm27fWAR3EC
OVdBPau5B9KVfwmM9++r3MmroW/7z1lQ7W0GJtwVkbXaVzmqEyF6u1OsbF4kGztnsM56bIa6mh7r
ni1drFQ/g8QYQhyprE9p3h5r6qv9UAGGqiIL77di/kzXBSKjRieJlg/Y6ueutQ8t4fLDqB17yPMt
v9AVICyEwX2TF+1JR86bLpKrKWxV76eajUdQ9Oup7jco8qC+fQ+CM+kXsT1IHN6veR6dSt/ld3W2
wmK2RE0XKstsFVtccsO6/Jj3UYC07NqbiISd7bvwKRp0dafqzr2QNfh3mGL4bAZ64bA6jBI2uuwK
bwinAeZvvBuj1GnIjtM5geeMf9QYr1coyqqP/SbtpaBt91gsziYlr/rLqJ8JBP/sL2Y8Vpcyo+vd
PN01uJBt2k+BhHiuyPq1XsVwTpbbhSNI7pzbyGmLdASF936KtRvbuKjEUMdw/op9xCd501d6PaLM
yshkIkAJc2HZwzoOGQjkoJbY9fAi2HR9amd0siMZb0gR6GWgHirpKxqPisrhmAe2fAqV0FcRjfiJ
D1o8r64R2b4po+q40FJe18usX0GjZDZpIqpPq/Z9UmC6K7fIXuWb60/SIr2LhgwlVkgPJcVqakze
c3aQfH1Fmxt2RA3TR8nm8lFFY3kaNXHI4GK1g2E9x8eBZ+46j0K5o46wI2MtvRpxjw6MM99ArgnR
xQbFzU+6qtG+wTx7KECD3fmi6W4cHmsN0U4mHbfriF6LtYFkxGQOlYACaFhh+MLuci637EK7qel3
7GwEXdVTIW8sl+FdXVIA6jpbbqKoaK5rQZePdm3Yp0lL2xicQzPGvvTR2BpbD9teVHMBrEHUORwI
YAzPnNVlFUO3AihXCdbrqps+FWc3VsHZu5Vnh1ZD2f9CFVgOyYgKf8g3SAMV1PFVQlQ77dt6IYlz
7RKZeujVZ8R69LQGu/XGVtAZwhla4wby1AVtRAW0zq01SUZnsw/ZWPYPuAYXaMQRTkoX3uNiIB9x
66qU2Ty7cGeregXP2gcdLua16HZ26GvYhKGKaUfDochGdqqHoTwUrMaFyehG4eD6HGxzuF1d0Hry
e+iLuDx3D1xaq6LDfHbd67P/HvCmL4JD8rLSbRTTn8162s1DkncjgCYCQ3wd4YNBaQlmEgDxrnJ6
i9HSRzAVuyQY5WljoyjFAzByM0J/lE1ED84R9JwA9U6tp+LmZ+nzf/XRv2skw4yDHP9GJ/7RlH1e
mnr9tkAK6v2Xh341YsFTpYqD08GgpsnBMPvNiMX4rZJYMHBbCT4baqDBfjNi8VuhgLBJzsEVOCu0
fxux6C2WQMWFOlcCofdL/zdG7NlX+FbTQg1FUrCDlYJ2Mqx+1rzf+A6LL6GNLDR1HF37sKugnORT
ljRi+hvBDkP8vk56/hTj0E2nQbaD6Xu24775lNa9K/QMPuwizk1C9HoD7IfslcqhjAPq7pWI3kXT
kEy2StpthVYES75CG56Pu5zu6o57U6LuwWKdbi2krtk+8KyEnqf5GUo42MxbmkX5xVY/FbMVxily
UKw4Du1yG7HljqwDMhMur5apTfHy1C5HInbjsgucvIiOGK6nq8b6RyxB6zQ+2gHz5SBf+RyHIbop
qwwsaKsenItkbPs+EWGLG30Ne3pX9VufIgSsqFqKo9cs7sBGYu28L6puT2ZAXl4goF59ukb2ODVA
FAIF7dNAPW3Zk7Hbe2djh66Lpn2onIvLjgJEoyxW65jg8rqy7W1U5j4essWbQsijbyYoI7pXBjyr
juDf7RNDzZ4iIBme3nW9u9+YeAFj0yz2OSLNDaH5DfT8Jc3Cb4ZGdDuh+V2Y1niss33NvmikTQei
PA/ro6D+ph9BJlBQOsLdliXMzdoj1IvxAUDwerXtY1s8k9BB189YfxhLEIBFcc+wv9NZdgY3dQK5
cGALuRB6V5Jnto5fPHscRrzr1vZL76EjpGLHCDidwTOfEoDBxUzdhC4jYAOGifUla/Sdzyyw6y6/
3Baw3vKMxG2JWhPm7WaWRQVJeP2wjbk3CzRLQS/jRdaOBk1L6uuGXG0ySnzeXA/QOpYrC+WsShqp
yTNt67gc1G1bg0bvovmOROVXPshEz+KhyMc+RkTfcEVPCJo8TyxC7F6AsVW2QJlrtx6yOt8uyog9
uaCimIcowfqQVV8F3a26NWv1mDW3BS6hdecZr9A4pktT/CxBaL2rNl+ZgoY8jwMUAY8dEjcyH1xK
JnXB2hwqiGG4iIBAxMrbm7YHGa2r09Cs445g28SbQ8Hk8iOU4tLV16Wp6sQvTw7Cq30Zwvg4ZmNa
sKSkgOTvhnAoe7wv132ZTWneX4ZiA3n7CEaGN1C7BtnGb5ZqSLr6cWhelzFZKQP34EmTtBcHUR6X
GT12mc/NohYQUBIcm/YLLj7S8gmqRtCLoG6y6lQLH3saI0WSpdvLAWjMXddetPMXS27AjgSvR+4n
vEZmXCtm9KhSq4d0c7VpGhZvK0+k/FIVwjTb9C6fsi/1HG6GrTJdTY+0UVcd5ScZyI6DgDBl4ONV
NYVjtYz3utEpaO2ncm6ugHWfGjV4IPz1njl/rfz0wVPoH8xFoUBjh25Xgsdk8kJ2CYVfIFSPTevj
Fkqs2OP3lNXbPewz2Hw+2utKDqZWM9C+IbTJspB9GW2Ql1j+vur6h2Ghl3IDQoWnBE9P2l9F2VU2
gwOaFhytppmrYy3tTvN1hHPfXkKDxbTaU18FQ0X+iTZdzOX7LLKmYJ//Pztn1iOrzi7pX2SJwWB8
y5RDVWbWPKwbtEYDBmwwxsCv78hP5+Kcllrqvu+7Le2916rKBDveiCde6s5S/Rm3n1aTM6Khl7Xq
fi1rXMRUltE+Pfn78KY69qHXo/PfPUvpCR/nmHrBUFL5HnE156t82GtwAcK8e+qfrPjFzFU69qKc
5yBJq8Ce4HcWapTFmKjnmh73pr1CaL9I1742lZclvcs80pwx+qfeMh7iuUvxrew7eK1Wn3oo3EWC
Fgl9vBTeH8kCHGFfentSJjgbslySUV9E9+r3Oo2SKh1GntOhSYNuzqIAP6158YI1C114RkyXhuFv
ismQDyodvCDlVXIJ4S1AhuLL9wthJzzgc5as/rHaL84Ea3of/xGODWll/We59qXeXIppPmf2DUPZ
he9+mlj9L3JjCqX50LvxHI7VWdyHe+RpyPe8h5aMXsqXV6T3xa7MRzDZwwzvLIFGI8A8WcUGnO6h
ODUEP5rGaP7NMR0azJmkDk4tHw6V2zM/DkUW+V2fw95KwcqB38t8on4kU5iUFBbwwYxhMaw422Jw
GXr1L+0+FG7Zyo1uOa+ydVhSWJb+rWHtaY3Fb6+BvqzobwmHdlHqtVr9Q7Pii4/WlPlBkyXzfjFJ
ku5meAApl9JtK9vFTkB4Mfs3/rU26rzGwdMonqegAiAUHUID8YnxWFn+k/FhLDC1p5xJKEtz9kku
9i8Eqxcgg8UaraLgdj819d0qiqdzIHQaumqAM+PSBCDRaU6G8Oce/13V9DOEjSTUdbN+STogSkCN
00DmG0iDAf9K9bBZHMCQ2hRLI/4svYiKPdmjb8yF4an1Kfy/57nludq9A23+YIwBX2FLFnYknbp9
TbWx1zhczJlaMx+kiUiqksiYdFJgR/pFVs8dC35yw889A0Zqk2PtUfnsKo+cwzqmpzhRL1OIr2ay
z9sCItPu0W1bpnyecNglU8Zga8ltexGQ+WzDsw/J/qq7JDpu2/jPRrDrVhcCzoQ3s5bjGu6528b+
tROt/4yZ3KVEgjm+z6upEvMZXhBC2aRcwSHN0RqnC/sZTd06lWY3wI5tlfRPK+bRmxs7AbcWpmbK
KZiMdkYsmkk8hJi7II3+huxm90uYjKVfX0KcX7F/aOMtY9t52+OXYCT2pV/HJRUGR2ZV56IL0rAf
sw035hYN+eipk4/CQLNhrBAuC0HxhvprgbdZdf0pUlNae78dfECYzpnczZXrLUBIreHBt7c+WNai
AePT1fIxaT3Iue0XgsbzOLeZNiEMjuQdKXhZRXEpK+/ixj5rV8DNw7oejOYZ87hNt7h/cpFJ4Vmd
nL89V7t5mVaQ3JR8kiouu02+ItqG576ueJFlbmAqpKMh8jnRHO5F0jzi1tWXPqBBSmiVLwzvwBSm
wRi/8QaXeDg+jiG4okoFQ9YC/qoW+4rRG3fiB3j6IQ1MBRcSysCbvGcKfxC/Z3MLeKHnAAjVkAOi
d2VHcsKuQI7zOBjew63LvFDnQ0w+RwtXGRgAOa69H/1mO9GPLem3z97/BO56ok1y8HVE32aQ7Q++
Ef1PdE1oNi+fOrRfdqo/58U7MLhGQ7dgnhU9P0Xey4A3HnkJ4B1qt3K3S1rBwff/zhgWTvukn6dR
Mnymfr5XYkz5Nn1LE/SpbGZ66O/qFUhRhRH6UwAt6xN3kMlxruWz7E+jeV3tce7O+3wxS4cz127n
sIuKzl9Stq9e2SaY5SflwCawNNjF0a9ZKmnyEip+4Hy8MaPb1OtlRnb2OUaAeZONnaaw3tMYAbla
D+iWvOqEvHHR8tSNy1O18DoNA8BHjLdIKANF1lzSoUbAuh3Gij22qqVpI/D6E6revYbBKcbd5k/k
qhONNg/9DJCDVChjkFF8hsLP2IjTtYIQaO2vBO6cX215CIIYUwYDKL7ws5n6vofmf5ur4JXATANY
TrfULG0hY+9TNV3ysPjSngTj3YPvJabQbABj4prxiRlUP9I55p+yC/FfxG+9BmTRsLMBwXiqGKT5
3va/EemoL9+6U8SGc+SP2xOoetxHOCBb+u7tI6oFTQDfixWs5xjPr+sQHdiOw5CAqWZyG3PYXFu+
C/8Xnu8PK7Yb7WFbyzcG2yFe9QuzC78az8vudG5qgPjlM4AAUY8DpiS8LdEDXZ7HtsmcMScUJEo1
By88wku82WS9iI3aX2bFI7WIId/NK74FYGWDjIvJLH05xFvaG0hbLrmXunnAyFMplZtqWMp2YuOh
lzjzLKCPB3DqS2m85Pc6IYLoDPoC9V6Xk+Y5IfizQNLZst9gA8JedMDYzHqZpueuu6GrcIQb85Co
Ph+aNl3jx8CqA7f9cddB4Tl9i/+T0+hLEz0tnperMMwrzC9eJ8s1LGQgcjjgBVpK320yZ523fOwL
+jWTg0fEo5uycb7uFLCnF4A2WfCoL031aIMv85+HeV3BUA7P0wS8vOnW/tT3uHr3HqNBLfzhYd37
NjVU6mM4eUneNMgYWQ1I3a7pHV31urouFoLnBG5rdYgQXC1BnEbk1gwhIEcxPvD9ky/0XyPYoaLN
LTJdd5ljLxK4eIPDzPtioTG6ALQ+Qk2q27LFCYxfbdOEe7gyjOkOsfagdFgzpHvkP4iK5e08qWwl
skMkNCDpG1ix9uIoxfAdmzYDuP8yNJ/GVNlGg+kc6uVt21Xp1Qaa3Lxvo3d3k9ipDoK3dWnSGIcy
vf9NNvbBDWMSHZQ8elzLXFX+R7THEhdWXxXCNFGmlK4+AYA3H24NFIacoEMiYYa7+OPAYhx7CjF5
7tXiHxyCmpP0xwneWLMsb8mArIkmA66SDjSUCe0lmvsbKl0Pwqu+vXjkRzLRKUu0k5klAhYf9e9f
D9LghtTetxsmfSR69tJaht+aNrxoqoo+xEPA65xHKLMFKlTZFDaIO6MRaFVkRE5rRVJ/mPzfdYIY
F45t84w8qUqp9qefoNblrSU+6K2VQD1hlsQwT3Sb13oUhQvCdzXs/Vu1NPySODMeaz5uZzVrhI3t
JFJLR3FaBC7QOlzIk4k6miKTZr+9kCRp3DpdNBRpN/1tqhnpisRnZrT9mscYD9ZAqr8hFTyNJOZX
fKrJCaQp4IUkaVFCgUTvxwQpDd/8Q5BQDNAGLbGESXdPiXXXZFzD3Exa097GYaFNagz+WkUhHxG6
t2nT4U+jFapYleVz1iStfb2jfZ9+5+0PHnNhLpagO/YNyl6y62F268GUE/Dxa9woglOy9e3BBO18
on3QPCS9rg/G63aMkDhfECKLhx7wwLsdOvnDWJz0cra4uEYEdyOosUMfAkenuvrwZhZmVuCq2jw+
5ffWwEH0BjTu0jaFs3V7pd38BcEHOBWkwKMjPSQCrUf1MLX9fmjU0n2OI+ZioTGV2LWO8Cax6eQn
PSzoXgfvOLH7fLT1VvYrtw+d6pB3o3b3u5FVe4wa/w+f1Y9YKXXsR5q8mY7oTwvrJhMRGOA9CkpU
sHhmTTtlBvjAhc7CXVQFR7ba56AIoIEzjxlXyrV7E4hBQAfHPTR0C06BgTUvZL8JPHKeg72PT6ZG
9kyaK3CU5LQN3oaHqk2KTsYMEwk+EUZUUuA5IZ+TrOoXqSaXR+YuQ3B3oHC1JOVecf1Yd+RHK0MJ
7VyLo1i0PKjWvwqHKyRTU3BnjVf/xFcveuo7ja8Ogw8tRJDwo6L46mofty10OMm8qcfv48l2vQHU
+7MjAs51V20nxMvbObF4esY6Xn/DM3ypE5rgvtnYZeMhQ9oKWSCTwBVNDbi8j8coawLb5R3qApOA
aJY6fgSYyTPjT4/BYH51Ez4enFe0aGBsH3HULE+e5qgtMfez870bxqooHwF7XgcWPXqRoe+939tH
g3yidJ17F64LIowP1B2Yrnz8/TPKSbqDqlGxd1YilLfZq3DeD/1z7zd4lGdmyo7uLxtyPTygE3/V
nomykVvzTFXwZ6JLXHqL1x0nEOr4W9obH9Yu98Mpys3e3HqgDGUP4ZitoxOncJp+RFP4Fsn5zYX1
gNEuwTQvAXsLzr4NH5YMg93Z22qZUwkkauR+vqyDzXlL3pQBTRev2yuUhz703bKAJXHXua6H0opW
X0dzQewDBHyN/pKI+ykoeJfiF28OhFgUQvsggwxYTjVZEfTS7pvPQXUIdvVBvaCq0wTVL6T7gARD
Ee7nySMsF4TTvOqV94cPG6h+JOBdtrEeZTSmUZGzQqGIKuV7r+nUpFNtcG8ij6LogKrhHto7L19m
FRfoNtLTEtDxa1S7KWMt0wXT8mVbR/Q9bXDqKxyGeN+HG6fLN77iEWBQAHeW+1s+ru+zDXHb728Y
3chhRTdRu/o1sTRKpyUcihDF2dTs/HOXQ1UwdUfqVdXeOiq+SI+vfOTjIRnbU+iQ7JJheGiVf0vW
EXzZhDtRh7JogqGYuwAPdjP+iSN15AlGsQRhkMB7gLtS40aokcFHMAM6JKY5AmGT8mSCbFnrx6rx
Tqi9fcw4p/IYCE4M8VjE/Tinm5ovdSKWrA6G1yUeARXNIiWWcTgPlTm1Tn1K2DEQ21efViRfJD7G
robmZs1FUUVOIOWe+gb/K1gSlN9i2aRLFR5pj6p2wNavwfVnH0n70KB10NZhmLU4aqC8iU53X37G
PaxwR9sudYmc74NPfepa0EI1enlvdm0v8VpTiI0KNjBo7pzu5FlHwVs1YWqkC+uzehjABcHy7iW+
Z2jMnDK4rZOrFTwFD0UYYGy7P9UZmbrj0kdPaF7Ej9PKz9aBGaK0eQYfqYpklg/aIOZttvE4TrAA
kT8l13pY/BK+nj3gAHxF6ZwVKhCocqoj0lCVoQ0Md3LHAUIq+almWtp6uQRwlJttwqUcX5LZExgQ
+HFDBg6NtubEdJhAGpwP8dY82Hp44mP0o/PW58a6s62mH+Dm+ltIIMpVb16GRMonpONhKgPvBgxh
OTqgz3TXt8pbunzVfunuLanVq642GU6Er0u6KJ2kRDUlJQphdgxWtqv/80/bLejVo5zDB4+3L57z
f8fAOgDcbnshFxpmdR+tpxgex5tpYSjzZL+1rY8KSICcYXPDg1r7v9AHGONG2GiL1x6C0Nxoje6K
38T1NSLtiKfIvNtqP9aVOFcD6kBRXO9lxWG5Ik/+Djt3dRo6QoBZw0fh8K5x9iSH4UBm7ym2pk7n
NUnycItxEv9DDv0FFfoSxuSBVPQnn/ex4G2vM2bj5x3E75wEfr5OVU55/zHQ9tAhbMosJqRspVY3
MOHsnM1NFH16Y2OyRDUxyIV7W6QjR7yFqFdjmGh7NyE2nkTGverP5Jr7w9o9W68Oii6SY6pHNJBW
vaUAJGCyjv3fcN9B4Kwaj7B+5NFYCBq9xjX/u5D15uP0XJj3OEb1SVKcmRqyrt28xw6lKBTGy9Xt
PwfES1nNu7zxvIPcl6vBw22sKqq4OsMO7nMwqWvW7vEETaPXcx+yJ7IFNZYgAMxU5HnccGLOxC6v
nLqkZD14mE7vp4DtqFhDrKSQgEiSBjC1s5/Onf5c9LhjE8AKrdb6oKXV5hfED76t9BCZz8OrwdXf
q9u+qBl4hgxyvkMCET2VLWwJ2PVAeCScrwiUOYd7GqAzHiq4n2YUP5g3ZXjDA3gPBnO4d0FFCvyd
t/FjG88SBrzBX2dH+gfomEt3GN1AEa/9qNENMySHFLoxBmvMWgmHg0sBF6faS8GaDMrkN4JpCZoC
g8pq7J/aIiYYxglWY8veufPPexAie9mHGodW2+F7D/4BkYBJU1V/wRsGxe5kAwPcO47ozmd67v5F
0Ya1HBtWS/Qdf7NhfI5rVJdpSNIWoAhGmOGj1zgmGydohlH+nx9thfYUSChHfxHw6chjJOCVMHxn
XS/PvP4bqQbD5DzXWTvhhPTjZC6boWtxaqoOFrcKH1sPJGyqF2MAWEJEJ/CBU0I2AnNqcvtnPKHk
7LV519PMYQZMKANZlpSTZ0qfmNsYL1/MkRzdie+h4g9AkxYk+7+CCN2FjhW+iE4Tc37W4xpMe/RP
MAqGKfDzr7lPdBbPHmAlpDlqjm8afncx9FP7BNIjbul3FZqnQK3wU1p4XStEGScnQ9wPq81rDdR0
oEPm4PitZEl3r0x0jehSHmZ7krOAYJ0eZbwu12VQvzddoxe47KnHnpAgw8tCp/2d4Qda90sz62/i
TZ+dojAvE3IlSa+OzbDhqUnSifV7Ck3YHMOtIu/NMvhv/x8G+L9raCG79pBa/5/r0m+1RZokmp//
kwf4r//vv3gA7IiJQiDzCUOfKkyQ3/9XMYsDB0j8kFNQAhT7Xe5Q/X/jAWLs3kAv67+Wzvx3HiDw
AuyD4SGKrhHY9P8XHuDeDfvfkAA/8vFDxAzAHX4+MAj/M6cHIjlXvQM3mMRYJ6A2W8REbWcYlOrB
eVzM6Yr6YznNz7Z5g7Hpn8Jq1EUyRsMzNDu6mve+loie2nG7sr357JIwpW4Qaa2TrwYgS0acfG1F
i90IaqkBC+HQCeDYlA5FsLPyBhjkSiA7kwM1Rc/9qohD96/xGZIA9Z1IlKGoQ9xbJcxLg0Q9wLw1
WRtjfOkjGLXrPHzAI51P1iropriabbk7SsvYgGQU0tICxulYMpq0vwV443yoMFdOSBxTCJCnSfSq
NIB8HrdIk6fI26fLBKe/sKyHYvV+jDH9p4dP0SRXi/rlROobqUdkJYzc2mG5+C1sm2j7vfOumGbv
KLcKF0r0w1LzaC2ufU0T/xcAj+cK1VkXztjGckUp6Gvo47cFlHA2rwNQAtyh/6HWlxYH9JhMK6YA
/5UM619KvS/BYP1MQgvkHxvSDMWeICqfhxULQsYF40TDYApDX8KgwnDTLO2LH0BujwyEfBAVjfLh
augo34R88diSNIC1ut9M1gfQiJgLAgMIia0xz3yff+18ywbGr/WI0ddpcWuCGZNKB7wgGfGvBgGm
zqvvG3qiUyVCXYbIFUSNFoFYF/METBGuLcyWy0axmQIjofcSK687eVhOkvvKDwrcDX7OJBZxIGuv
jnFtgocJOFkdg47Cmg2c/w3fyN8AuuoAR8Iveh3DDou7+TTaVkGFeTtcs6rHogi/6SpsuIjjVG6L
xmYOjI0gcUwODY+VIKNmj9HOEHVE9fQoNsFgN4mmTDxT3SAa1LtWtXhowciUAdDC53rqkDs0FqoQ
zY5zLSlPtwZXnBvGFoN8m9W2BbAvAR9MMSpDQb90T6jCp0aNyVm28fS1kAgdzxiiIxqQTSOXel+E
DY6V25BUqf2ReUqXvkwiWA8BOYKO/imNfAkdNTnmVPSfJLrO0QJkEI2oqIGMF0i2P3B4PIM9gpcU
NNduSFiJrT2vMZZHPaJFp4uo3jtsECLe6yx6mm9UvE0Y0c5exH8hEdqBiLT5rPVPjyChUJUGV26S
KYWHRbAVZzkHOjkPuO9jEMMlvUsAv1f/RqQvWbMBBr3LhP4uGHRH/02LRpSJ9TZgd7ssuMsLAJxI
trvg0VUzzC1IkNliKpjb9Q8QTWyoarU4iGUGvGe73zXkC7nrGFDXAvVoPMg1neN0DvgDeo1pvYli
maTDKhuAnQH9WEHvADrniC5W41IVY4zwmua3k6SGFsS5xDCa1EPTZ5U3HpFhPhNmYFJJ9wOQZKqt
K1oUQLxKPfg4wHxT92kDo7oe3cEQPIZrNIJZ3ssaQb1ctw8d9gNstvoFNKUPexGp6TiVkgwURT0f
lH/ilzZ29FZtt4ZasD/1r/muGfcu+l7uKlIaQfLkrix3BnOpXnGpw9XKgc4/ueGfm8E4+ndhquP1
RBrep5rrpPS7qTotq5jKqPZQDAgO++DqsoPW9WaxngcdQv6uWMs1BXbIHdSFmWEotcjhoJlraGc/
6nPmWJR1bfCTQV1rM54U31EPFL+3SZewEE8WcjxGy9vDrp9k2d5ryHWNka/bpsf9ruNb1NKaRv/d
xKJSj8OG8WHIyrv6d1S25eIPFxKAD19N/ReGpMjCBZjmPYvYu5ZmNohPgmOy4PcZQxI+ZfY+d8x1
46GKgHkCKMQQZotmXrYN/cEN+mOeSG7uM8yGYQb29XNyn24QgiMWWNlPlEUew8a8IMz+Xrw/LXo5
WjY8H6cFeYn1nuQCo3qYb4lrXqqkySPU03IfV0S6i+063ydltsdHeh/DLBolWUzCUy3JMd7ER1fd
QQb8gVfhIe6ynr21iQRujL1X9X3Ua3g0Yd5zXirvs2AV8o/GwUcAJg+Y5T4xdvfZkd2nyLiFZwr+
6XdCuhevjh4s5qIo3uBA3SfQpnVHtbceAH+MNA10Z7T0Z9YgV6b99G+ealvoZsujxrG0B1DUeNVv
B2j+AIIYsjVZMA9r+zLN1mbLMPa3kS2IbTfyysX02UbV03QfrRkKPjnmogsWSPnlwiHBu4FfWJ9c
hBJFzZBMbhND2j98WqzrAeNvf+6tgqfSm9Rhxoez/ioNzEzFw0PoovXgVz6mA9ZE2EbV4McMI1Sa
yQzaRz4AsFKFiOQzkmQs5IDH4N3NBiw2Q+SGvHwjWKe2431YV7xTrI7aYp4lfMZQx4AC1u91Hb5c
gD1swTx16SwidMfrF6wstPlAwbGweXoSjTt0ouneQtr6hSU7emJ392S5+yiN9ZEiCvw6rAEVAsoe
W77UmmHdILvWav0Lmvnsi/lrVnTNJmT2NQzZBE1M2wCxoe4eS8OXSvHz4kVdySk0l/7u+bi7++Oq
muVkspdknZ+AIn1Gd6eIGcJTfXePHLygOdavYNGWbIfBtG3znDaB5sXWty/wOUOUJ9i7G+vTkABm
u/tU7O5Y9XfvirTOB55YoRJ6d7Za8T6OACzGlr7O6Kr48MDqLroPsfIDoD9kjSeSIrjbZ/fqodi+
KrLegwnxxe5OG9EoZ2ClVVXMsOHo3Y/Tfh2Ct2tFPsKs4zx56zyPHXDbLPj2g586ER6K+OO/0MIF
UEH1jUUXw63HEY40xTttOOdRsZrJBWzKFkemdHcHEaWL8OTurqJY69seejbfO/MwUoL1IFjJxpBC
xhYOjocuOHKokyDBk3UrfjncvAS9hNxSKIgpwBUv0cMHZfODNl1w5IMWhVbzzxC09H2c/TPK6Drv
YQTMCPlaz8fPoKUms6G252COkQ5UUXeMCSmjTtxpiB2Cxls3BGyaig8Y6ss1Yk5lWFoDTRuCRPLF
s9sXGCIG3Uz4nN+eX+OmYXo+QcaCToihFfB6bGT45Vb0gUxosJYshg2FebbecoPxNwVAgvYMnTMs
RkANjAws3Tq03ha8wgfHtzZH08uglYRlcW31QRIgPRFxc4YVXX/0Bt+0cX3y3ezV/N0yBFtiGaeb
9D2Mfbv3h4Q1kvMaWcsykIdZ4TMWfvON7Tg66ysUprClKG0DLB+rcDgclyqmYOiCTyhEATdMPgZN
UIES4PtpGMhe7N34sWGjwit6iEXQSpsnZCQFrHHgoLoS8AewR5IhuYsQGk+OHowjNJ8S2eFAilH4
0Svsl/t+OHzfba6aBGzXfhUdug09nX71ItY/N8SjNeCU517pR+qmz3hsogPwGUR9IlqOimB3m7Qh
fG+UmZFqoN45oxqFTYxYtkaPFs45PHO8d6MOxFEx1Gd5P7dll9Q2dz6y69myCG+jNxeGiQ7wAHYh
JtvKc68do3yAaVisy7LmO5+aojIWKbu/lHDudclJ/GMQckXCD092DlVdDuGkLsiyb1U49unk3Pe4
wYXrAvk9RHiHAzTuVqyAymHlgjaGnwdHfPPdD4eyXhYnsMtchXOHruSHqq180hEKBMC9jz4TH37t
6ZLF7m1bMA6w6A1LgR4bbI8bk/q6aWB1yfA8SyAtdd/itB14nDtsbMIXNLEjqtjVcW09O6T9yt6E
iF9azglMq0hcPGTl2ONoC4MEj6X1MmOPG50ZtoYur25v4eyQ+M01SFWKETNAroMKPR44nl+8DuA2
RosNP32rXuVK2dV68FgNcpxTNUNx6QUv7iAqVQ5T964nPdwkU+45CWX8oQAxABaN5hfTcDS+DHZ0
pKjS6QxlYNT+uh2h4zYuWezbX42/wDeuVveykA7aY4ouPfHVyfidfvNcgzOh0fRLdPfOlfFt/JlI
WIhNvPcXU4PbxiImenSodKJd1INgm0EkAAqY30Ct2VI2424ycmertn28VlMzls0oUNOZ977EE/gd
CPZka3jqCVuwKW+ciX92htWPitfNmXKyv6ww0cBrr5iUhHbkAaU7c7TQ9FjA5CoyAp8gQ66woUql
e5xYhL0yPDI6ba9eYEVZJYN3NXYIDmHPAEcChChqqPVb1FVrgacZzcMW3Xprl+hqgaRi2DOXaMDD
wVG6LXF2DM9kjlzB0O65MEvUja82SyQjB+gDmG5AgnDHguYp0HHSR4Rj4D4Tv7+gYBVcVrTF5q73
XiSax4eqRSjtY03HYVwdFDmLpZcm/t4VUGIL4lG/uYbtfXPs+iTnfcfTljwSb4hwuVw5bgkkTFoW
dFnmt94HJDIjGvw7zRy3woL4q/AXvWehjr58rGcasO8g10612AeolscwiqdsXbClKiPcYbkVsSmM
zuA4rsJHgVXVfyZc/Nhm5iigoxGjQCdzALzi9T8HbC0xkdTz2kITjS9TAsScrHzF8f2fbaQAP7Td
DyY2Oucddo6Nc6/fsJazcuni82fBZW1SZhN3W7wNILm3Y7RVy4azd9yf5ULw47fG5ESMx27Q+aY7
IsGbz1jMuO5YZBPICoW1vQHovk7tbWvqCSUnqpdDEyT1cRUMh2WjXHTdjAmwaobXT9EMUTp27Iye
QnLg+14dqG3+ofpbf/WriS5OITuG945Cmtj814pvfRoIeJyTb17q0a554GLU5y06b0Pn4q/ej71j
1CWwtclW4cvidP42IFbyjsZIrYeTDdDUzFFBh+RQmJRY57tzMofiA8/0YtO1uzO64/9i77yWKzey
bfsr5wegSLgEEHGftnf0roovCBYNvEkgYb/+DkjV3VLrtPr0e0coFCGRxSI3N4Bca845Zt3uVWY4
xyb+UjxPV1r79b7yorexLneKc/fawvG1Tr2h5IUZIIVZtlrbmXWe2amfAFaVV0WIFXQs7BXIIcCO
hnmJ0+m+1a740Vj5Pa8gI4yPMD5xqt3rPEi3rnbyh4wY8UqgVG7Kocx/WHGeH3NCIl4m9ffIluHa
9bvbeXTS2zTtePUMm9FQmrp96DMxvhrJcm1X5t5tXdzlDIBW4t+1trc36khfibmtz93iw8+H9ty4
HGnLJhmfcU6WNfogJ6GhjaJXhZ2vrZr0m1P4zlMSSb03iaHh/GA05F5a3EdECte5MUz3RYyXsSBG
ekuyncmNU6aI+/B7AQBsY85GijPN54jZA1YLnQ7bpsOSYhvLXO6zzk2RcY2xuHHqFLSvYX6vMpV/
txM1HYOq996xfoWbOeY2HfmgwLTGAcnJ8aXIB73vxrrnqtMn1lF8nRarjTumXxVi/x7NIH3NGiiw
yht59/bRkjbASLgaPLu/DtIETwUZwMchXpxyuq0A4bjlzlSkOsIgjzHXBQJbgtfch47sjy1LeeaP
YVGdQkw6IcCPwMzPblLn/100f/5fFs34eTyWwv96zfzw9gYZoPz4/Zb55x/6bcfs/bIwdbjjur8u
hC2iWL+xv+QvtgRvE5Busa0l9MXf83PF7AS/SNs2A8+D7WUt8PK/r5j5kAnmBSyYB6QMSJH1n6yY
IYn984bZ8Ty+BQ/GNm8m214+/rskWDgUswFRwOW+UGM2hsXwxGCdHBR+XnQwtgoBFNj1jGS0Kofu
vsw9e8XieU9iN9m79ohE53YWT2XoBeTFCtYD/TCQ50DwCuSEl6rMzE1i2+V1lE7hQVXWpTXr71wt
/AXm1N9WjXEqMckz8whn2095dZ93kMbNqXkL29zbNDmhkE4em6a9dqQRr0O3e2gnVCsnqBkCBHvr
tgkRsZkRnI7Td9Rj3oDe9hra1ktYFbBtw1puHd1wAaacEZNTnLoHFCpjxSMvXZEsuegivSoVIfHC
7vZQ84cVdk3WsIQrBhKpBEmRm1Sf7iIASAdHEZth6miY1+RlcSbaYfQd4yJ2MZ48y3d/YKjcVp7Y
F6Z/a1jDE2gFHzZiYOEoiNVKSBmupDedwbof7Lw5ZyWoxjyGveaeBrNgT2edxrJ+B6OxS+rMx1Uc
3GIqJjQbGuthlvtxLJ4y5V06IsyrSMevo/ReKzx0aa+/SQ+JOoPfjVspuany6jbRMIMr39rXUSlw
7ql+MyVZs81iwImGuLFCOewF24YKp9BKwpQ/hKK7zlVGGG0C3jlk59gb6o2XmhtCU/eijF660XkZ
YmjZyOnmCnfLws3BTJahbewHO9JbhwTWGm7NsF5SNgkPw21hhtk+bIZrFfunotBPyVSdS3Oqt1qg
JiTav0U3D3d5i9AXG+yzmmjAK9c72ww+pwyrU5sP32Tf/mgzY10JIPR+OmAN5Qut3Wq47ZdvpinO
AavtxS8KaP5bKPDfzbJKNpnnRXh2+0PJXXmFc2graqE3PEMjsM3OwRp8JNJvtWTlAZoku4Lw0B0L
VRpHp8uJtnc+Vn1McqNG6+VNRaQrIbNJiF+wkgyvItkEq6Tw9EnEQXwSeYrk6I4z423OM0tC5BQM
1xELVCNzDl4v+k1XDtM2dG2xgOk/OwNvNHOKdZsM8cdg8i7XKj1HihOk0t0pyVkPtR2M69AQ48Ex
Bpd9rDEffB5C6wnqyrr1U66yakHZdNISJO1y+3oslARghxXMj4PkWxhO/KVp1m+s3G9ftRy6w9xB
k67SONiFLeNrRajkqHzfOFkerkwz4sVOFdYkXFtIx31n7h3DaLe8jPm9yszsLqryd8L+6SYq42yX
lbwdgAA6jyi5E3q4XV8J7m4H0cz2RvVlC4CJJ3Lk2htclvFDnZXTuh6DAUet9wPn5bLk8cOz648S
41znsLWGWEtwLMPhVhlXlo8Ds00q58yrlp8MEeCm0Uqf4kRma8Lqtx4HmYc2ucEfpk9+NGWXNMua
nS05s2HrJpyeFfHGJ+dwk7UIAJ5hHh0XI9PU5Z/u7L6RjCv2nTWcYJMfw6blLtP4NmjVsNnXYV2g
mI8lgYrCXU0AMq47y/RXk0cvgg8hXAg2xKO6S4TBQrgJNIJ1WJGQA18Pjd5eyx4S+TQ7rK4lVId5
qmCF1iUki6jeuH38EA3FV5tAn7EwhhTtcM+NGS98TLrTtLHzTHU9bWozeFZqegzFcDAqOz/MU6ee
gDENb/UwudfoeRhM0vzLstx4qyW5BUJVlBowZOLYjwrmFInZscIcgnxO8UDUucHZD7BhJ5zeZYC4
0oFNz0N4EYZvkvUq5+u8SG8nmb0wTCBw8RrCyvc22jbtG1oNjKNybM0wq6KzaSIMRvNkrnAHG4fF
aafKaV55ZS83WTdkp6koGrQW7tnaGuKD1wRvkFtg8UutfktC/zdL/2+y9JYnXQTtf32quY+T8nM5
1hi3b/mbTso3/fmHE85vX+C3E47/i4tyDT0QtPiiVv+DPC45q/hMm4joqOs2gNG/H3Fc8UvgwH8Q
HG/AMpnL6ecn3tTxgZLT6BLwJwLfsb3/qJ9FLiesP+TqAWMAe3Z9CSeUYL23ABB/d8RZ2MGEx1nM
a3OezlVQhF+EEnGZzvYSpwVukQx1nCIdOuIw1L5/bFUg8XL63VUPc//C/hJuCSkgsXUbmT7rWMBO
4c25FWXgnqNCWZfGdtmDgUwCnEliwDxBPck2+ID6DUAUd4e2hsGxzNBXlHMIYboBsSgTnLbjEB5z
jL+rxhbhEcuI/e7nLi6zKakRhfDBb3QypPBR6+ey8MadkxCWqFn93MO5Nu6R7+JnGnDSlyqooq9m
QnMsopvRz+rbOGJUnstTObN4wXMJknCB+4S32oNSqHTSQyYrR+52o8s2XHmFdUdey1nFSZp8qhxY
YOx3BELTOjkGeSSIrrUVQU1fLs5AhyCRz/0M4dx8DgzHPrL7AyFj1tUNZCKkL7+pkbuMkZGamz52
GHCP30wm9RczENH3MSAgyCa6+xFWTngix4AKp3lyo3O6rUmTzhC61dZU8XgxEWt2VKeAdMqq4TjN
XVLg5fa/0PDNTWmlpAL9guwzL0wX9uGabLG7jvDyTZAKuDt+tWF1r4U61mn8vXJYSNQmd+dQi/Zs
83h/LexBXmrNQl42ibh2p66k7iM0NxZnvWOY4LAVyajeZYRtt/ejhoyVfPJiab6G1vzuxrpcsf5H
AQJiujfHNtgMmfzsghjVhsjCowtFdktLxdEl8PKW2k51W8xkTq0gusP8ESEs5hy05mmb9ILzYcNa
RkE5uVhZX57LIfSvIcOjOjZWutMYiS/VXODQ4nf0zNLcXrmlmZ0AqXqvIDKju7jwhnMkzfzF9Cp5
U2V5fCV6jFEN6ffjMNXipmNNAAXdpWiE7elhdCN/15aeujan3Nzm46ILRZn291wSoJNCW28nAR6+
pjPjOOvRuaiFwlvn052lE/W9qUEU0mSyrYYweiKnO2PxM/JnO42j+0GEJuQ8480pnPnKs2oJe83G
hoFed9UG06eWGIqNrP8xQJeAFCyzaz/OkovU+LCnumlZa9vuu6YvS2M7EcwlA6Jv0ARPrWycTyjs
DQm9rpV3FNboXV9DOreGlAQwSrV3LVFvPzKTHIVAivgGma96b+ew3eZVEXwBYaw+BlJZbxXHqJt+
UNOGI4nxvc4D0KOlbQFJiMvq0y5Fse+HONj2mFyPWVJScOJEcmPq4ULE1Q4EsCdpqQfJks5ZReCQ
tqmo1DnMBnfnRxFasWejWDih75NZNcMXlFgscqhnXKE1FOIl9OhuOIGT8spnfTOZuvkkErKwh83q
2XZFzNMe9csyFVsTMVlk1waDOh7WbPK4rKGOgoUZR5DEuBeGwGxJPC3Aqt1b7DIr56PlKPEypT1r
M3qKpoc2JvxfZR7Rh8aeP912jCdkNm9gE8YR1rKs4sFiLrlphj6/WH1gnKpB2bgIYrL0Pk/shkz+
xiixgTjTkO/ZmVCVNDDqlGmTb6JKcTaKI+O+yyb73m8mfszIVtHH1FfON8tom89eTum1Mipk5K5r
712j6h5y2ELr0WNOGVjEQ5AfAMoNLjsu0Q6a7IxR3wxcInJL5ZZ4jNk6XinDxizVEIxgyRZtfWse
ttgeqqu8HcxDZLf5hf4Yn3S1IntrNR628w5Dz8oaPf3S9cl8B7SiufBbNb53tt0esK0HJMNFe12Y
c/19VrxnubuwCJYc3RM3K14MJ2k3Njb2jRc6KXcsHAdi6p/jxM3fgMi8G2yDtxR5pRuZL2K6M1SM
HK6xokdrXE9hge9Ds0hOZazJ4XU5gAsNBgH/yRu8W+Pdi/0vLDIclfOuvpqdvtz0puuseNDgLWZ+
BG7XVNdACDtqkGYgFKSTt3Vh3k5WWWylhYgq+AZI6DWQXWLxBgrJR+EKTvGYSVpu5nQN93zepPX8
wzBGDfoBJJIoMPTGnXAPjCAt5FHpbvWU0K3Vh8F94udvoSGrdWGTCfdbSBz+lLOq6nzrSrgsFB0r
DXeku30S5eg2QsksXZlWoXe+n0+PnTkS1o8m6Cc2i9RkKKfbwKieLX+JXZgwO7F/yuwcAmPf4Atw
2JVW6XiClB/sRee3J1ep4LUu6nwfyb7hE1N5KEU6FmQpuh6ihsYFntQh6HJcq+YJqCCeqCRGKW0i
4CuR264dXKj7PADRwHAKjs6OF0FHEEZLE0+ue9foXWzMcrqkShPXrZnLeAJiE7pKa/KvXWF1WzwR
3h11FwGHYUQUwOoji1+vVitDMvaEsBl3TQsvbBWJMtsZkiEpITT+vVmGJzyH6VnkjtiX6Tgd6iWk
XnhodbRz4UC2EMigWjj6HVKRXhGkzEbQDAxwPhc9AiiAsg/dEgLzMYTRFgCse+0t42DrlOIQss39
LIiybIzO/JjC/lQpvDbk/OiMaPRiGVPRNxmXr2FWfnqxAioQKcbaRS1hXI2rBjsb8KTqiUeLPhEl
DLBXldm1GwNuzCUyVxe390XlkTPWAvd06MTlNqu8dFOUg3dTGHOw6hUk5EkiaQfLPG4EFoA2JvWB
iV0yuStJ4CcKA+fgMt53jQkvm+F/LKDxWstSIGY7EM/s/Ge3rZFpqnMYqCdn2fJbAh8vlkAWynRu
MPq6yLnLDiJdthFxPvRsVEz/PM2eXiOZC8KmM2QXoDO4o3HQl2QAx2UnohBaNkLZwwvbKLHNfILf
qNBEI+LmW1UgZFt9i2LNDsepXQR5Y20NngK567FnIU2clPQ1YCc/JY1zX3XROuVG5LDm6frhw1TS
3GrHym+KgY96yKXNZMynIdUmBRWdsTIKtkx6TNJdGw7OQUSw5vxo6PYFO6qWXZVDmFiVxHvssJg3
DSZQDoCvKa7VJ8AmE75q9PcYJBvMVNvcNKF37PR83QfT5G5LEd3wdI+AnTlY6muMAIkzIfgAVL6I
dmRf42XmjjFP8uCV3SktrPOEoP0SDAknnMouv2cGQAQ0WBrrUgu/FMzFY8RTMcVbFpn7Pg3qlswU
YFujx8DPESt5maAQbc1GZptQeCMuOK5Fb8AzzxwLk6lBampHjEq8Ecr2Ylujecnytj0FRcqvjwTs
bTNNsIwyTS1YFxGCkBnboLTdLNw/1HYvJqCi8hxaaBk8NJx5eOHrYtw0Frt3ID8dsFt0DpUxZQ+4
xLfK0z9kJPINWAvnN7D9fyfMfzNh+qbnQkb7qxnz6vM9yz9Lrt/IePls9f9Qb/nZvJX/7Nj++YV+
OrYd1uksvSHz+650HJdh7rd1uil+kYJlPR8RktnR5yN/c2w7ENwc2/csAereXAbEn6OmazOhLq1Y
ggEUyBuL9r81fN3+hmb7qyrQP5PYWaP7MDoE+AJhMWr+cdKcc7av/WDN6zxM7p06mq6afmK7SIR7
1STEGup84JaQEhNtGDvzpL/+3Sv48zv6fXGBxdT8x1nXE64nodZzxMSy/M/FTjnJFTfHDsdC1McT
FQb+Loiy21ZY7dYwGD+haBabSOCyqfCBr50qbA9mp9iPl+4JmIf6aqf5oRqr23noHyfp3Jouboje
yMqbnPuZsqyXsTGPosDEQk3jiFl1psvQL1PjB84Q1uEClFSYk53965/tT2M8v1cBy04QpaRHBW/9
H8b4fsTdEtcZXrTJ7Nb57L7kpgGQ3EWH/eu/6Z9BfAtZHv4eZDxPsjqw/qkda7YMMff1gnoxBT1R
6IZrwGHpehwQO4pGOeveF3vDX97Jf9+x/C+/Pbpi//RD+rwXUXeWvQnrf8GW5ve7CrNrHG04JgHe
UDdQ+eLxaIuqhwDRc/SynGkXyKIFIJy7ahP64lU32jur9hx5RABX01w/z8v8rma34PUZ55VfoVME
mamRBBBdRfhl2+OnSRkUVaVZv5V9ON7WsO5Tv8WotPiAA7z3Z8euL0VddStlCHNj+zzHUiLnJ4/W
2scEfilTOUah8sJTTm5dt3B3bp8TRqdYspaLXxP+i8vAeAWKgFxuY7qMX219XU3Lk8RhXVGi6wMP
stt1jzdq52VEZiXAkLWszZust+1boklQb6Yz13txzv35OGROvsU3A1cg5XQVVt5TxUmThJBON6Uq
390hAxwi/MsUFenFsnGqssdOjzIcK6JfSLXphLmR3e+W7rHkunLyG8L21ktPH8RVwOtyG47dy7DI
VLG0NxTQ2muGzGY7O834I+p8hUwD1yuQ1wLcM+MthsgP+k3ncxfqB1xC2cEw5anGb/Jgl3UV7UVp
zat5Xob5wQcmkfvkEDHgfQMKEl156WAfiZN7+xaMMI/AlLoLICJjR/TAEqTV8BA91kVbPRmEyXdm
oKCM5p5Z76y+2LZk5zaDB9VDmtJ+CIXlE31GA7PRvmix4SjxIyn0AkBkhnM9Bnx2K+nwbewY2PxQ
wsFz50GeNFPOve+WMKI4NEXbjjljGzey4rbQmEuVQ/2YDl5yhuZWuUhRpnGmRta+F34toAuDuQXb
z9nAT+HC8vkldBajH/ZR7rpn5TVyO6fZvI+CMfrI3f660NJ/qovlxcGLLa+KNuEcqsyaLjAF53ey
6+otzhtOdf5U39YYk49jLXJvlTNIboowYnPH8LOXsuKt2BrwMgk4Eq5wu3aPVVhs7HDqD4GCibMK
WnPYKc8KnsPZgUxPQ9CJWtB27+RZfPANbtFVDP9NFPiMhUFAhemr7ajY7cavGhcbRSy5Nl+baBIv
rsAmNrXg9Aah+qMacZ0rK23fWtuS4MgJHxAroRXXGgZgfakrHkrFFUchK5icOnwlAbP8riOGAys2
fniuGDfCEpxYBzn6HxE2tA2Scr5TBai2Ko3sXe6NHwmH0JCRGa53ocXBWE54EEML3DqESKP5DvyO
VQAUJMuceJQq2RWGn8bzJFUu+ZAhPBL0uzB7Mii2vc3pTM5sNqf5iMxJ/2jjhR+9l3Wr0IhJYuJm
Q32zY/0YjBX11USnt5mkLsKbJwCE1hju27hKIRXnALRtA4Q68DU/3c9GjZgS2tVjrWqOxG36paMI
sTTtmaL7aExtTIbRD+m42aFV81WBAxsfqDDND187+pY4ULvtCH4sz3hgbv28H4wH5B+I+bxhoq5M
t60BzD1Qk8JT0jeLDTVfB5EnQScOZrPC+GccZWM/xzOp98H/Bhkbgxy3hPPgmcNHUuvgh4e2+RSU
DU9Am9pVo7D4XIeiYupOql2uk/h72abuuIInUpMjyuOznQcsHittvEPAbGB26fGD7e7wyY7DwqRT
arGZOiM6FTgZQc/VHvu/yoM5KEdhbFmJrgsX5kSfiBc7DNJdOQGnAqze4l315TNgPnx0ho6s67AY
LUao5qXHDrK2In0PvoYxxMii7dQExdrsjcvQpg9m0kbrCML8fsqCj24Kn8uQ9zEr7h6TUltsvVG8
OJ5/G1FjtK7w6HGE5y4KoYayv057OyyD2WHKkvaMNZTWHaWyGwEEH3CjUewUFvoznKDswVL+fRuE
t/ZieG4lNmGlJ/OiozZeA/PneDOWzww2X76J/JaH3Y00vKua63/dNvm+xny7dQzJtgMU/Rlk9W3J
o3gdz9rYlLwsx8GQuMdwP2XhUsvbpR/RHD/ZXkXvHQ61sRncvZUF+Sk0QwppG1NPOyuE2WTUVnWw
PAO6aYzAmyU8pyOWuZ7l5Y+Cgp593LrXcY4AVck2uzbt6Y3acQMCSBatrJrnetWrxwm3Izvo6CqM
/O4+yzJ1dNr4HmcRmQ1ddxdM6OZLDzLudoY4zW1C2scm5b6+vO+D2gPhUMynfOksn6b+hvMDYoJP
zGZlNYp3aEXuJBnNd0yz9kukbARggKmrvOGc1VWhfVfUXUyUWz/GoNLXaJM2IBMM5LlDH7I24n1Y
BIxO5Eu2Afw/pYnKVRHdivg83GPiGMXK87kZjhowATsoaqSq6RDYsTglqeNvQsMeznnj3ltpOu/m
CjgRbxZ7M0/ck4o6KHAwZMMh4XXE+M+eoWPQx0+GQc6x++Kzj1rrKeyXCDmAst2ytrEm8gcj3qYT
RuQbtxioE+2Q2Xl5uaXBX3JiTL1V3s2w/IYLtg3qvtssQNqgcmXVyXnckDAvLy6LC1gNYb/JJxhj
UeugW0j1lOXm28RNsbDt5qrvehQD5AiKKVUr7rGJgXnhAjLfgdu3V0EayJt5wou2TfC4EvOB2/3d
01kQbMsuQ/kMWwnzq6h9FUOWomuhIDgJ9YkEN501SMJZ4lq43JIwvwE4hTsY/6F1N9jSXY+UaJDJ
7ugfw6nYrdJa7oYKATgxsblpHPyKVCCiMmT1vC4W5q57NtzZeV4qwL9p1+jumKFp3XByX76psKpZ
f7gdksak1oUfPCGxbitQ6904fnmYdikX8bYag+JjOXHnLmP/2jBxqRJQqrZFauJBVMFXM6rqwJMj
2ehhvvcjtsKqm21cLxlty/O1QdHHt4jVkm8X31iH7WO5pFUsyWPATr6c2saLU7r6kacfXm85yRdX
cs6L0IfXZDxClHo0hTZ/TsQ0bwKpTrkCYETBNO3VTdVZvD2mdjN03lM+Utc+OHDsJGtMvAnkhzzX
vDYa9G6AqIA3HX9nsO9fDzr8Urb5Yc3FZxgPj10evFBiRENnx141ypJx7+fDVVBGN10I68rMXGyj
5ivVGXBrQ/h/GVCkXcvd9nUOOPAatKPXlJ2fosiBsdlY/XgoI4cywoDMojEE5XHqqEAa3Kj+SroZ
53QqmpswbvQFUt+Si4x7/xntvxtY4uiqWtFhyqWR+V58xRGiXjxN8daTrbiwVtLHUpr9UQSxOFtd
+sBZMFxlXhp4K7PiuTxaSkDDMKxgpSu4msDdqmNfTsM9GY38GX5KjZ5iKEnS0tL6g+dWTvatm7dG
OeQvXZCQRzOUv7bhWeN+6S2cr646u0EevMoAQ3zmSA7KuiISsTKnAj6Mo5190AvghUFYqaPH0+oy
EMq9iVsBbUpH8yHLBuds0Nz6nQhOunHTHnKa4YttXQKdGEsOrm4/e0wZdfqs8iLhVJYk29Zs2Qnn
s/3NagRWsHFQJ6/223NlJuNtkPbJt7jKrP1Qh963yBbjLsLMfApmVkdFloGTc8iLBq3LOjOp+6U8
dqGSKQGrdUNDbHo0CcHsRQTdqMJMsbb9xFn1gngtkRsy+jZUXdOlG2tTu42YNxrl56azHAe8nFSP
KR0HG7Ol9aKcrZ4iqjRt9yy/MzKqnr7kVUa/4IjreNJxrlazjdzBqOG9Z02SbCyJF4H8jb8GADBf
gDFOjyC44l1g8bTtYMf16yQrLcQzYe7ZlKqHOoiqw1xxANF+4j0bOn0G52o8QeR7NinMtTahtKCQ
DgNAFxQ0qW4BLHgbV3Uv4aRG8NpGeq9BiewzV7bs/h37EsHB3naUw2+J25QYVJP+4FiN3udz5//o
q+DDFn380pSLyOzIFuikb+5DBIy9UZg5V8P8rLFnX1dd0xy021o/pml8a2lm4zHkDyRkvImmr1VY
5PiKii6x79Mx1LdRRsx4MGBJOT1n/bkaXquCm0BvB+i8Lq7XMhqsXa1IHsIXM8pDaFTFvm4d3HFN
1umPOfJBSdIRQwEMIGaYDdjNHVdMt0qwpiuiIeGsJiufnVACl7HwOMTl2YNpLRDXsRD5yzBRe5H3
kK0ZzRRMluBF8TCirsKYEYVnE03DylKQ7w2ot71MFI9YFU4+NSBZdD+xguCHaHtxjCueH41tyz2l
QNmt3RYssOdqap5E1eDk7iwGCuReCbcvqaNHD9bRcQwTuYGXab8mhd/dsNpGuLaxP19jxS9Q1+MW
M0Fb5fUGstv4HdO6DTnfQOBPQ6B1PFC/Ih04X6GyoSEXyzC5cwcapB3gzachoEiH807HINOH87Nb
pckVaJH8mHo51zoYH+sYUQy14SKwzZs+oBlzNzdRdyiroTp1fsVOuEqZ1Ll3569Y0utb30jH+6kt
88uY6u7JAb7ySpKnwagYe8S6a9vlfRO5VNS0oim5rIJ5cTgOBR7iwE4iAOt0pHFzmgyOG5Rj7iyj
8UnMc96o3KK+9v0qmzYJwcivzJ3yTwxpNm0co+G8euDJz1OfWijnuN5HHpZjXW0x4HrExFy2DJ4v
EpC0EuIVfn66dUew+JzYeTcmaV9+xpEHKI9fbE6xNbRnYdpFcod7nYaNKKTls0kNJBOOocmLVRBE
XGUyiGDcj+E5j3PzvScPdWuNZXkduszbLIKJ1y6X+IXO0PLRpfDoyJGYYMMUAGhrukJdCc8A14mD
/Fix0zs5s55vCpIxu6hAAOtGCj9L0VUov80srwdpctatC24NosqvRvSHiwPVvc24WMo5bbG1chRV
PjkZdsv1hcDfuFfC8O4xgDjknwwbeDp7i5MmpX0ZmzHDhUqk2IMFdGDtJfbk29lyy9D9HvtxdRgX
lKLftNOh1HK+psht3faRPHL362CDszhhSwPapvEKOFtRco7GDE6cRU7K9ed+/+svzzEzeZwH7Tym
IgyOlbbn49Q34bqrpv7Y5U5xvez1tzDFKLpMnO5FaQC2lKMSOxnmkEjRfDvVgU2cpub4VlQ+05Cy
46PuW19fkFMcg5aDuE537tKcpzPNK/Nrmx5Ip3qTLGV72VK7lyRpfAdOP72lzoiFT19CISa1DG6w
YxidWHSsR564j7ZPWoYSHReCs2taZy61+cONsvY5/bUfEEHE4tk8l3Kjoy5Y0YErfwBBXpYlkWgb
7P9jwCYsB/OjPZERxS8H88pdagz55bW7yEjbnbZIX+gkUFsT7zL+wbGaz60LfmqDLobCHaIhk+R1
aYEXyfzYWuH4wFE4fiSZybwrgN+9h92vVYwYB+8shbIukmmZreoZec6AuZ1MiTo3s8Np22K3h8Xa
0qfEGRQCYGo2O4pihj2HSeMAUYCRs49otCBulD2KsgBLnyYKuhg+xyEMEFOlZFRwqVa+g0WTvaRd
Tw2xVXGGtlvxVlE9e4XYmMKmCPpdR7MYWKKwbeeNoTpJNJRUxQy0cguqUxFJlMOV3TtMf0FivU66
f2hZ5G49177Jo8LaG0Sn7uduLF4KlfRwi3ALkFGUnnr+dfX5H+kkV8l7QzL4S/+/5Y+9V/XUUDip
f13I/+O/OKryz19+yr/8Qn/4umz2f357S5HMH/5juTPp6a77bKb7z5a1zt9EgeUz/68f/NkX/m+E
EgtIMK64v6+J/1Rqc6mGz+Z/Hv5UbfPzD/6UReioEZhpKAak2kWSC/ibLCJ/QQzB4u+zMMcEZvm/
s+DZv2CIk5SM+xYOPax2/9BFzF/4XyahAP7NGtr8j0A21p8rhi2+JYcAhI9PkLH2j1ttA5+5FeSU
mQZzmRykU7jHpcTytVXwlKiFC49QxaOI07yHE7ot5XcMp7dR7+kPQlrZQ0RzgT3iIBiR+9yVGlQS
3IA8Lu86Fsdgo5P2mvNkfEpoQ7zu4yG8k8oc3n/3uv8v63nrz023aEuB51DXir3Gd5G3fr+cb4cS
NIFJR4ipAmtdBglKbR3HO7euMbrDBz05nqPh6nEI65V9wzIfkDh7lTs95+yuLRdLOB0DHlzbbLoF
Tmo+G5Zls2OvS6gFhCnc/YQwvJGmU+4j3SR7k2nmejJGQu2qN3/0UOfJqDanv/7RzEVX+H33ED+R
5BnnSW9p00Vy++OPpklqTLKjpEBETnNbVEa8IQPfHfHoGCsbnwm9tHGrJ9w8Zbsm62/uA88wxMWb
lgj8/2fvTJYjt9Is/SpttS6kYby4WFQv3OHucCedg3MMbmARQRLzPOPp+7tMdaUUqmpVWm16UblI
M5kkiuED7v3/c853TItsXGx47zq+or/ox/2zqoY/FImOyiI+jrgulWby8/sFuFP3b/9i/GtRWOYK
sD3b8gwC1GZZ4TZqJiglsfPEyotkumdH2yVd4nOYJHgbtbT4K/GJD/yfXiD2RJwDHoXC0vkiNf3u
l+gAMUYs47NtUmXYME37BGq5O4xF2b2qcmFiBatnXSMcaWzOTahpemd/in5g199XJFPwXTnEx/nT
fPaNlQW8D8FfvInq8/fLm+jaAoUMAADeWveXN1EuoJFTTrttyDTyUBYa81nhLHEO/oHnPoUUzcFu
WjDRGGVG+ltM+dPozXGXZjksNCzgf/Gx+pOQxqWFRa3j8G2RgmfNH985FwrsuAiu8fHSpWdgEhlx
5yK6WSTRT1dvqpe0M7wf8zg5u3/+tUAD5s1C3oXi9asUy61+Sgnw5ywbMOkn9Uw03Inc6KchE+28
lmvt43QgLtDT47qx7KJxaX6gG9qKdNKuVJ78xWth8KD95d2x2S8LpjcJiMdShufff4z5cFWNAYJ8
2/dOuxf99NDWAwS8xNF29GR8L8gr7WM3A/IeQTVIvNU9OHl7/osXRhd/0ogZRzxs2qiosBJ09dj/
/S+iM9cNOB1S/GZeh07BTHXj5Pl7MfQwhPr5lUl84pdoo5emGKNjswxEFutCe4vc2PqZ09377oQ8
BkK+AkSwMM0BLcovnVsu+GHgjmdTFbQ9spaQ+X0T9Y7PRWK8B2m0/fLTssN2NyIBqod9F1tUFpA5
G3l/LKDBXdudNIsAfWq3LRdwPiqLtz5jPA+RJzGJiC6ROJJq7ifeBGeinszliFVRv7COOpE0MM+c
QUTPVcDay2QdLC0up+orf92pKLanQtlxSwto1lCvGWn9mZgD0W29qO6linOjZmEPs6kzqhtja4YO
4uWasAw3E5U5zvgZDHi3uLjz3RDjDp9oiDxQhr3ewCqI9uieywMZH4uRLVIY8J4tHnMPm+WvNDoW
cpLpS4n6rlXE1S3wWlDhh8G9sVScvVTB9lFF3JOyMk/eV+59Nsx8L42ZWGj8bShFuZepUZ+WyDCD
QgW72VQiR3jhmS3G6KA8pPNVHHfmtk2Khm3LIK6xsDo3+HvIpuCiHu+VSenTVj3ODYLgc4WL89za
K/ykKsbPlGAvyw3vrHU6zpzJE90TZwGeq1G6l9IuhpuCEkrA/KPc4P/VXiKiPrgKzOk20url6PZm
e9Bd4l9omyhj3kqLJuaMm17Yk49qVR662Z6eIqTDJ9mZlzJqnZ2VMehvybNkVDFPcj5ip6R2nIdY
DO91MqA95l1+UyXzvMsU46Fz9E9eUJAEy7wee4B1xV4WlK9lbhcmm87uMaWZbqEqXaBGSzzX2D4j
EuxIKduWcqljP9PRMnRLfmtNmRu4KZqBZk+7aWYjNGBJpwZZgU0sO4YBZWp3hZN8qz0TzjW5nhM0
yR4rLpFek5dCX/gNsDQ1YQAOn4aCrGV5sbpsqWHMrxuj1Q1VtRK/JEPnnMParvLD4EbGC5WjPI5q
a/5MC0se3TYkgQnzb9wSkvNqOP5D+FANTr6r1rAGAZOUzQGskdy64LNAtWpWFLjrKi/1mPFkyyaO
x42+1oSGQmMZ3peZ93nTJOXod3jHdzZXmHviUwUFdGMaGPqS+TPmbkC+S+hHS9EjN1GEtWoCRwT+
PdzCrstbGyI5+FFbMTeUYOX6BTc7ZtC029IrUjwRNR39Sl0Gt6Bw+oeG55/vVJzUk5lH+IqJAhJj
KikZMeWbOUWjZL9GAa45jNq57Qp3Pwy6HaTkBHB6VdVe4EgJRvYub+x3mg6YLaUVtbB75uThBska
tmjUFsOLyZP2dom8Etp32IudCTZmZ6569Tpo6lGWvOqifyYXcj9H5pjj4KxRaMAXAorL9rWM6eQp
KHfRKGbgyCBt6fBrklh8cZ3GuUU0HinLbqvkhjaEeQ9+fD5OQ9I9Mr9lDx17HtdaR8h6qhYiWc0i
4FaJrMYYFc0MVLHJDXGUeBxyOkJF1T+w4zXfbDWIOVU2n3ncNFe6GtMYx5gTW0a35WuKG78mukQN
d44a82o18LWa+Z3yZjUDeg2CshoMe29WI6KaFnlTzLMBoW2bzIRJkEF0Fk9e+piWwt1WX1OnpgbQ
RI2isRpK06/5NPf6/oSJgKl1NDrnkuqrvluIAW3i3BK3/OP8+m5rOsWOPz2mBLPzEAHqiEZUvXVP
uEp06LWRS83O1AxHvU+BWcfTAeav8Rx7bNr7ToqHpCSIi4wy1kRD8BgBKMlocO3b7MdQ46RqDbhk
SRk3h8Ua86OwmzgQ1nBZJkc7LKGLqJbFAmrZ5IbfRW0vn+Zi5DiVYSJoU/MCWuCtLKLx2WHnQlAO
IALuxkrjLlend/OysNSkBRJEGP3QTwPVyldCRUlHff4sq1g/CwA1ZxHj8OR+124ZZ4665iA80HUV
+umcuXvX7Y0f7ZJmus/enQJfIUF4bOy+SMi/8kRNt3YhLOAjEc1pjT45d9KaUCa8xe06gGUaAGEC
0qjEXA/BPrDucxMKh1AYWy+uUH/nTP8ogazsjdSmxGLK6lvZrZKYXOHcQ9SanrrVaE+5tupHdoL9
2RF0ZqHJzTiXeuzKxpzcxi27Hduoh71XD7Dz2c4hba8n7CjrYdVz6Ht9ld2PWktdA5bkbZ5YZVCV
s3UzGiHfSyf5YenOBelGv7N0tiZTy2J2NYaNsLNrwI75xYhYuzUhy8Al0gNjEuMFuKfHTLZI0tWa
+S4qe2h83pMmYN+IB7eMjBvReegXkN7ZjyBHblj5p1dGKu9IPY0JvDqd9dkEkCuXdbKv+uTZ6aln
B43yWFB8PJE53UUt2dwkofpILyK6iDueeDrQUvqKiTE2GLhJjfaG56dNNy/+ILpzVnJFr2lU2EnX
eDR0Ud+NTDU75pG12abRvPA7h+mr29Xdfe8s8ns1C8qXY0/mgSxSjqu2woMAkEtsBnBeF9ObokcR
OefezD8HGbODMjK2OF5KjWdZO98NZBE0YMDvLGZz6QF5g0GOcvNgcCxtG6PFlCNg/LyHQ1PdMx5h
c3OzGwhKy3FyJvFN12flRfMgLhrMJjuEm/UQj611W+o4rjfpwlXBYaGuuDLLlY1/vyHpJR+NEOMh
ix5+p0X7oevjjQnujuuDRbUBPJj7ZslU53HaWFgER50a8JXuiS6qk+s5TwQonAVbtEEOpZd5QoLX
ik95qwGXdhLqeyxtTTg/umtTjmF0rVdLvWkdzcZenLG/w1o9A6A0UaGg+NFRiMnOo/KZPMMIF9Kj
//Zbp9kO59JKrymKzsq+ScfDG2cG1he7nqnEXWX4vPJdFVQN2AegO96+CeWe+Vn7kREWDdDkW6Rv
XE5rFpmPDRvbtwmL0q5bRuvU6TEnW5FTZ7NMjbldEi3+mXFE0iy2ToHXLs6dxy3+RxUld2U8jdc0
cuv0demxcZ0seTT6kFImVW2dbqpSOMSmxGPGqvdswq57MmVv/nSaHAUEGWQHwRa+i71QtGK3BlDM
cnodayBQY6MIj6XobjFu0HwnHVduSzHWlm/VdTQ9Dx7KC3kSzm6uT11QYHHY5iQ/wrtMr9ugIyFN
YcP0PLK1+A7pUhzCmtTZoNVYgvL4bqLXc6sIENRrdoeaY4X0oPj03PVFOrMOwrPFmtVayy2ZpP5q
Ds35CmqbOKx4guh2nPl95kRu+UUVZ4W1xwGm5nSMETs2bWfKW+C0nI0y7quPFT1wn3tx+EpdjUnn
Yd2m6ohPgAt00IjLnQOUDZFIc9NDx6oaW2nbL9ccovGOksrq1c1pCCi1EneB6Auaba3mimmcPikt
trGCCe+mIBERgJDpwBJ60L1XB0TMDJJxm/OhUpfcyD4BhBleRJgbBGOkp+5fkOuppp2r/B2D20wm
zky/F148H5Kkgd+S0ebyFsK92ANoy/x6ZpFPgonXPfNii5xJQVBgnYbiuk8c5PhyHEnDyABjfLjp
J27YFOk4VyYOW9wkKtxBhzjqNR6GKD7xEianHsDaR5l6VNhNdkIyTLTcqua4xowGQqx91UcPPdLg
NbpCUozo5smSZWubkoWBYXY/omQed7lnxLfGDLpcX6ePdaDHBAigsl6tZsCDmIsoSeotIQxsFzyM
tuPcV4dqSHSQDSVZiLrkrk7yhgO3BI9+B6jXOi9OUyKPGtV3jBn625LPOjwoO6RKoUAkZB1dLq3P
Tsrmaj4ViS/N0r4GtuM8jon7EkqONNx89BHZWHIPcySyCZ4CnVYJoKq9VYfmPk4ziAukhPWjsGxi
WWtevTnZYO6ojhKPs4V4FE3W2m1kAumiseBJJqCrkQGGktuejBks9HT9Hto1KaIwIo/S2XJEk1uj
96yQrKeFDKPHEP24pLJiBcVcm71JkJdPA2RAbsdd1h6XOvL2aWz8yKNpOmnhdKgqy7wLO2pvUg1x
HSmethqeVk+1CHHFhHUa6MY6MGiqY3OFcd33TXPfMaZ8iCnhUAvDFVRia9BLfUR/tZ8QYlFUYPw+
z/Ysg9LDPpW4dgcdMRV7+H3I7K2OYaLIqCGi44lxBa2nbix3W8Qz0jKLje0gqTlFjemhlFJ2zK0F
JyEDmOU9Vn1Ns83iIhK1Zr0fjIiAiUxGANJxc5IwDn/YIf0QJo1M3BKNBB6gBsPEhtqAql2gVgPi
vBkSJ6JiCSR+Wupa4JKx+cmVmm4UuAaXkRX9NjTmcheNXnK02yL8uVgSYWEow2Pfh4ix3moVQeG2
2jHpc5y4TVMb0AJN44wVlXxrLxStwHqNKVHtgyGV+JLcjoe4GaZXop05M2UAvA1YFWVOAFYIFYcd
8L9Cj5YAnHK9MauuvIPMkl+4axIbE9QwVxzt+7EyB+6z2Pucal5ghGXNY+FW4+s8En5yhvl2stx7
S0AtaftU+Yrr7rmci2Y/Ju10gZPB0kfm5P/IVG2HaTpKbNebSdffc1xgZ0TU/G1yYUO68bpLhyW5
RAnYRdYXEYBjkZ2dLDZOogW1GGnO4mPfo/TbBYoB2Mu55iZ2MmT5SDHCZ28L2jzpGQN3OkoWJR7d
R2k8XKwFyMyko2tO5YszV9AgbZYrI2DrB3xqy7EEo/g8SlO8RJMkM5oAOf7ZsuZwt24/2t9azAC0
sm5N2GIV1zeLWlgtnx/4HNc2T+nxChD3eBSMqO9WRp1N5uT1vq+jV2qAlmNTUczOmlBsDBs6Sza2
yb7L+IDoKEr3OCXNLfZgvhupXXGfdrnqOOsc7Wd9dh5Co1we1AtUDzMxqrEjBEalLRNAIEzOAP52
tHPtZT03S6z7kMhvvREcpzsRLbd5w8B58JoQZk4tQHo8ZQ3LHI4r6FtSc4kR1Ew5+BX5PMxF6QYj
176PaYQBlJhJgoFobAK6MDueVpTH2BQbsdEzMbXNCdl+vei3JnF3cBYtQ6ug2qVRLFCsds8Kt5pU
tHhTZJp51xTNwz5uGkWotOki7EfQ6CTPjouzNmB/W3fnJF1CNx9XbEGM8NjjvvVt5V6wMlvu6AWB
t5cT3Apbz7vJamn5Trhkx5oYf6DXjtis+jTcrGtmQ+UZy5IOwdh8o2cU909Tt1eRJaOAyYqFu932
e5EW5zon2bVIzuJprlHY++rd0bgXb/4VdxvmeAjmQPzo/yXAr8PtXBJ8VnNCZU9v9eEeU/O6ax07
3NUDp2hEYh8TB5QXvocE2ZoQqaHG7X9P02Z7Zwxz+ML985XULpvqkejekff7ehjdl2VU/Xizx1nQ
cHXFXRhf5Th7eeCJq4JGu4s3LcxWnQOs208BmJIl1cPlei2j5oaIvHcClGNSKq/Hj9SmLsdCDN0T
9hrt0LCG+FgcxXMyIu91WUOBRcWbL2EKI6jNI/Oup14JF5YZ7pfIxh7gTlN/btex+4Y72350TDQB
2j0LQobd/B34PjWrlhnSpoJbiMyX0T7Oc+3rwJR3+tQPfmpN3X5e5Xc9cj9YwfJqJFbTHdLEwqs3
wE+2YyK1W8IJmf+1gf1NS/xNR/p7bOjfVctf/vJ//3dEzD9oo4eP6uZ78dH9qof+f6h0ShPpRiIB
/OdaZ/DRdR+/54z8+7/zm8yp/82kWYP/CQSrr36N39Jf7t/4+rqGR+7KALYGSv8f6S+0UceyBfkN
B6yI5bAPZ8PYx//2L8DUkExdcjjoFK4B3/SfiX8hRv264kcXcpGJlFxl2ygef9ys89iLM2yi7NvU
IJ1R9bUbYSl0m2HRvEuDOXjL5uMDcHe+M+TO4WHqJ2FLprdQZb7zErcn2JdHwBBMb/1QYUrKuv1S
1bO/lPG4Q3Ncz/iWaUsYs5zpdBy4fKe9daKf+rlngXhqktC64APSHrBO/hggLDGyed+XTJQfXdME
bk5cp9bTkSIFE8uRp8+dgjdHO25LvmdSQyv0ZfjZm5pzzNDe/FFbibyYy6EbphziRKZjyW3Mj9Ws
f4KCuB8claCvBqa7mn7Lo0746Ibn7wyquaiOWTtZ11XH0taWkzxzTwP5H+f80xgVaCdRFRxaZvYU
pbsuqEkCEyY2QtqUMpaG8yPo8AXxLK0C9Btob4nbB1i7pg9TdXMsAOJRSk15Za8k0pJIX4kbxPpL
FOuZLyZinbKlCpMn3Iis2o9biy0fNiXMq6033loclzsupeKaWRqMqm4sn6JpQG5336Jw+TnJvATn
SZnrilBEVWqq7QDbTM+EFDHn0oG8W5M6iIzUC1y0NwrO1uxz8XhcuexxMAu3GXStfNxCx93X2tJ8
X63Eu8/I6ARJbPa3AlfKNbi2vqfAnSQNxKjSdyKnuiO3Yu0nJRlR+BIGYW2tr0U5S8q/2Qixr8uH
+QB2KX+PnLbe8TjHUISfyR/ZAG4a143vIl5z39AyWBGxosnImK2M56gjdXYp6eug1EXW0t7rVuju
waTBmuLq+a2E4UG8b67f89qZv6N80+7OxkEU8q73mmKvS539Gda1TdOnI159fTkDEzRdZroKmaFw
rkYV4ya+YVxkLpoHiAjrDVc8bx/FCuil1eIO8F20rwqreXA70zqIak2uS1kK7GyMCPATm6tkpQIl
nKwXIGf5cWwmN+Dz+ZLV7JP53HKR20jTim+9uiRTrJnNnpbIJwJU0EsyR79Np2UEQV84QQv28wr6
CdGJLK7AoinQKNlpKr46sBJkH5dnt2ro4o69gwGlNPUMsmzQJTYs0Q5RbXRbuCTzm2tAN/W+QKda
ATE2Rlm4Sycqj10jBKEreuyYyAqrwUUiyosfmcYPmuaSK49Wxg+FiY+3GVtaSFGXdgvtAjhaIazF
aUPZipbfkJmmrMtONnXBMibTMd0UoBjyKgkPWedmMBPT6zqWzRYDWYrZmOGaEAeme3rnt/lQ7Wvw
sHpatoc0JnWTwbs+ErwbD5NCykYk7wDiKtCsVMhZYVewA2zWFEW5QAyPhiYobPHYK1htXE3folXx
a1niwrJl2a8HqeaJV6QIevRWTMYGlAMfZ/AlYeni06qH+AEj1/2i5U6mCwVyRuegxyF+ZU33yZ4l
PHgKtMs4ceq5G5KI8OK7MK8oiiRfui16qmIJDgDqjRWzV9jQe0WjEwbL07Y6u/jpN3KqP80oa3b0
K1fb5QsAvIKyhdPIgiAk0FKDGvD59oBBIpd7b5OL3+Cxo7zN5KYkFWM4/sINZ4tznzrkRbhAQyN2
yhTnuEB7rEAVxx3M4lmmNLcmPIxwvRl7L+suFUUbzB9x5S/E2DYe/OUnLn9MT7OVPUfaQjF7AlXq
qCt6coyCtsoCCv8XWtlUlOXFmsfrZiLX0k5F47cjLSp28m4qOrMcJ4+agmnVOTatZTfTTbjH+JDt
WDPzUPmiPDspF+C+vLZl5i8h/YsJy3WaDAeCMjCidUWLlkouYmcWbvDHP1dKUc2UthrZqKzSTLpT
TriW/xJf5IgetKCSn8nUrqw0bYJzioBUk54MlYYLmsPxXWTdTum7OUKvUIov0JJlbygVuKqAwkFv
mzY5nkg+n73zHpmL+TORVvhWKy25VqoyjtPoxVZK89KTVgvL6dNGhDammpSAJlBH3ZZkwKruvOnY
HooByyI29JVFRnFOC/bgiborR1jxA4ZO7s8GMa1F3akhepbcB9VFW1d3bi74pPvUPTxHYD92dmxT
CsEtHXcFRXnllO0o2qIzQ0Kg6NS9nmElPwIPak8gXdTeYXF3IrQbf1UzQbE48jyrOQGX6eBT5Qn6
Rk0R6ddAUTNa9GrGyF26mLDcrIFqZjKh9O61iDibrqYTTEzrvnasldIFNbuoKSYamGcEAJv9BFET
utGwvpc2pCUbwqPfqFmIInMjYFfEZKMmpVDNTIOanvCuRFTo9qnYSjVd8b1fthoDV6smr9Gq1jPp
cLjXPb0vtprQXBolSKODMOMAPISjO4PayZ0HLvXJqwz5S0qXEqJgggZvKgU+Fs5qEF7G5Ppg9O2E
CEQuz4nLdCndtnqCvSivqhoT8hd3Q4RSwP/TyqOOpG4mvfkYYaqlxHk2mODjut8Sqor5ilHQFEku
8nNHaZFjk1GJOvinttb1b93aztddKBLMSApStNKEnpEC2M6N/FyTpOp9EJ51vgM6X2yzVNJ2lvFY
tarc3aJFrZuJVeBz2zLC4xz22GMBZTMyHM9cJadkw3YZP3fVRyUF1JHCCDWG2151sl6+zRHNBgMF
Ey9dXtWEcgjghuFYnCFm2Zx9kw3qvO8BaWkToCC4UHLXKMTLZJQlrb8h1cQ6S7GrQubVE9ib+1Un
xEBqqQkyk6F6rOUFn1fyE3tbYJUG7YHQ4w41rhpWXrHxrbOS1NiuISMJzieNJX1h+FNvUTA+DmGw
6DbPmLXNLtmam+dporaUhgpW7EVNuUEXVd8zek0p8/hCaElQpvR6GPr2i0pqjOOmzsuZhQ5AprbU
mbyqpYRTMD+VGGufwxb32kCmgpG1b8f7AhA5/FsayzsKvtkuKl2jKKJDAau0qif7zCLqmba2IRAs
YtAttMa7DgtK6qqWQzbOSnicXjvWP/DXTbtiNtrZD81uHX3bHnmk2hoacGoAfsJbbk7Fhvg9CvDQ
C8Kc8JQxjihumKUIYgUosVExxdbB0KhvW32jsYoHPSb+XLlz9JQRPNoNbUZc03ZfwyZ5FF0I6ybX
xPVsFSHqrM3eiKN813rwzZCm5aGeM6BnhcnjnuIp/LIQlgLCQnIfpWkRdI6lQKzZsmUGj24L/u84
ouRtSoVXqzXPue1MkT2s6IA3UmHY8O+7bJdhW+Zcs7CKCEIedYkvQSHcYjCve56XF7OKkWMV5K1I
i5JlylJd071uQTBi6+WU1mGo9ZBDL8+Cvk+/hTZoPWctxltH6OuPqPL2dpEU6NFCPHXqkCvzhdXS
4KDGj+TmPTwtNO3i0A7n/r6sWYjZ/anA+4T1BqTdquB2XjKYxwFZ/9DaRiB1HicjAtcuTmPzplFw
vFArxHVVju5liMQjaYbk5Ez81GVh315205vXJcFqOhdnyIll68mldOVVgoEf9w8PcQdAX6NIfW1v
iQfO75V7Orvh+Yvolyu4n2ev7a2uqH8TvoNqVzUrFZ32WBQXTgX9Tl8aErA98YZTbhXjj3zB8sn4
EH0jC5lch81KW5eZvfXxSJ9foYs03JVGDZAwNmATus1q3nDFtChqh1wIZaqF3mpwjxkN3Qf+B+EQ
guBFRGH72Cj2IVFQ68TNgsTZsiQfMvK4R2tDfBkH1a46jL29Sdx6oDeBIMgla5vwLnEUbtGctJ7m
P6M5sfjaW4OR3bH04BbiwaD23OHemPRyr2GR2cGnNG7jHLTvaqg1oTHyvV1DDbGOkeNAHg7ocosd
hjRQ/dHzsPDN3AA63NjF6K+YDvzIgsFIO889XrPlw+OcW3O7umkaQeQ9J41RZOEPb4YlkVSov1Ne
3OFSobzBiZ3rPgVn4IDG38TgorYrOqaPrgEXfPXcNEiiSX1IZnd489KhOa2W6mVnQ3KARfdcxzxK
ZW5drEgCOSwjsYsdB3ZeTbEGPj2V/a7x63SJIR+MztL3qVtZoAaWgicmHQaWZ5QPeTOur1pdIeRY
LpUvJKP9ukKLt+fcukJBoFCeRkJKGOg+L4sf1WL39/+zn/mvoO5tw1W4mP98O7OBDfZR/n4989u/
8vflDNRWPoWQdIRuGi56OvbUv6N55N9UwyruR4+dr9RNRWD9v2geC+O6g0NdGUTV1gTP6m/LGdg8
eH4tG2yPTazWtP6p5Yz1J9cjLjM2PJ7Hz+J5aP3iRQ3B1GSrxg0hKbTitqBPgavUOFw3Lk45DVvY
tlJNQDbEhn0yiceQ4frvhq4qN8XGKYqM44CDb8m1+G52F+4PlK7cGcql0LDY5jIQjrsWt0MgnMal
Cd1BipXGp4w1vyhs6M6muNPm5SrS9R+OYQOJz0VpP/C1ewat71DRXX6PxuIHGDGYp8qwAAmSrokS
RNzv3rjfVpD/qxyKu4q0jHJJ23/yM5MH8AwWZhY4cdZpv3jZ/7E+di06vdg3pQ9Rz26W+kAJWqCn
SZKDgMvrTPlIb1OGMnndidWOoF2QiqHE8K7trlx82ntGVCaWON3KOidEiNnrbgqvOW6iJyOGhmSq
fayNuZYDu0XAnip6v2UU+mIYLJbwaA1OFLEPijC7jFjeALNrzpaez5fCJalIR9Upt7mPcXCnN64z
fOD4tLCqM6oC6aWllBQjF9lIBEVBDpOwlHX6MjyBIpEHApVcubESphKJlX0FCPLVrUvmtXX1zYw/
azRQENipuvElNilmUgtqvarix8KiH6Z24vEjrw0SxJG9XunzpG2dGHccIhFYXIfTuf3ae/dEBI5z
aZ+0smh9baZblP6kniZX04BE0cDNLorrUMNQkSgciLAorm64iOyTFPsbwI7Y750x4d9aeSdw64TM
ydSIPdhQcSzcPXiS2HpEmY1HUDxNRXRn2zaFoiVVZU3xWbf9yYzXy6JhSeXt2eFlnDa4Xw+zS5AH
B6K/cmVDZXN2tp1TPNlINd3wg8OaXreWRzR+BfrRlhDEbCjhijsuVMkZTu2hJPK2n5USMMzst7oq
hg03Ow2IpDxwbIIZM3Yzg+TQOQXuV0dGeGg1vHgewtTFTOr1HkyF6WPbjLCVIkOYnKbou5+kuF3e
YnM8tlxj2GGm9UUJzbT4ku6adbyA3Pg3jICs6IyhI5ygRI//efD/7sGfVz+/58Safv8AZ1tOwofN
t6D61jQYrNib/z9OgI82T/5wAvyHP+C3Zb31Nw4U1Ybt8N4Lx+ap/xuqjSc7K3rc+aZOQpXEwj/O
Axq5Xez66m9zusAB/8d5YP7NsjyW+0L3/lkm+K97elb3pBFgxQnLJdv9y56+KOKhiRJ2wZlu01Ln
BIZ346aU0Bv73708/8Fz1v4Kzvwhk0GthDrb6HnhiSvFL5kM+IYrgVBYIEu8zrt8vfEs57HO2vex
s7aRyvLFLtlepFhy2QhoWl0H8+r4yllXsI1iZwDTkocTdY/2/EVzca5W6UHTBzBrrHv4TIIqOHvw
bYTstHgkYF350FIPdSpxg/RPYbqg4YVPxFuv4ip/dCdxTA2gGREGoAwwo9vA2xaivkizfvSM+Spl
OZAb1ZmiSBS+IliZpBGXN1oHeEqsrBX66X0c4J9H09aws2MqjE0ykisxn+tEu29ldJVX+p6d04M1
lzeDXG+SKPFTEvHOrd10rPLtktUNzUwM8k1X72f1nM8NEoZ4+3GAfHKBfSMLDjhvvalFcpj0c+5Z
p4U6iRkjlzWEzDO09erj/Vhrd3WJwEoq4dTP7Zvm8NxCffRdLwmKMjnXmXvuC/eUJg68Lo1ya7X6
7AEyuPm5R9OnVg3Ywzh8elSipGSFoVtkaOTMx2U0clQs0027Dj+5YuR4fbxoj+Pu3RAtgc0i/bAT
GlrQahpqKkSkHnoHmNyPetveGIQeolLcWJZ2aKOeLtdupig1o+JXYyis8VoK89NrMws9iFtE10l7
b+C6OcVT/JR6pv7gmCWX5wYfgZe/g/CND4DjtZ+YJAyQJTInM+EWCmESkFC6lFb1FIn8BKOBblem
9oB3y75PYxLZ8+w1J3OofPa/dlBp+p67yHeva8ydiRAEk4D0fwO925vjUxix7aXGanyIa/b6S7h6
KChht3dr88AY/RHH4+1Ib95+ZBG7qVmL7IpQq/eLF/JRoENj8uQbrK5sRyn7WypYWWH63dESegsY
7GcrnO+Orj06TvaSMI8EBLvf5WhgGOg+C3QWC+Goab6l3iufadbLLA5UwGGle3m4xm6IIPwMkeWq
1e9Dcu0wTN+4zHyvGzw8cRv5q2WeewIS1cACIXYNRX351pumP4kq6DN5yp3hpwGmvPFsOh4N9j8t
Xqqm9X66ZBLRCxrwt+7jQq2eErxl8SL1sAng4g8+bR/+NMj3Tn+WTVYEo2fzbti4CVnpAO1J1p2u
dR9xSJdlVB1GLw6UsYgqOArWNq1MvpE2KzEWzWQC1BKoAmGQjO91VD1rNTcFlCucN0x8JeIGK+xt
RkZAccKSjjtAk79DwgkIcm2mQvusXXzHXhjuTR1Ew1yBCMxJi/hilI0vYoiM6SQLH9ECaFjyzfbe
aVC/Ty1yRoW4s6qFJ09rgXguDP7MEV7v+HVt15dV197IYdyOOiimcX2Aq+JPqGOlcYjdkdBb82At
zkNO2+CBHcjIUm65FBP8An3S/bZI38aemHutXhtQQe6K+TR3wvM4290R01I/ghCEkzMb+kNbRhTN
pq/Z8DmyoYPfd1fyNZCudlvyUSatf28TvBlFGdiuWW/dxrkI722uoYOzFudFzYh79URzEI4IO7BS
MET9WNFkRPTno13rEMoJdYDZDLoHWMx6gTTGi95dYeois53vudB/i8z5dlmmq9Wa7tsYV/B6I02f
M+tuKMtN5ZnDxl7cYxOp+mGuzBvTrC9aZF+0JIHy+X/YO48dyZE0Wz8RB9Ri63TtHuEeWmyIkNQ0
kkajevr5WLjdXV09cxuzGdzFBWqRhcyMdEEaf3HOd4bbGj35ZHy4hbZpkvIG/9GccYz5qWDJoV2b
qN0AjMHh76zNBRrsE3lguRhh6hCwA1pzVLQ142/d/0jK6M2LSUOUMaIHYA8bw/UubMJ2hca0AcMC
kEUmx8GhmIvo5BUCQbmVHzQCp1dBPuLA6HNmDYPZXDLXO+ZRMG+zMZahIQgzMPRsB165PhroZmLL
UBsE28lib7W2oya+ITF0W/S+75QZD30GyyJTZFgmPVdi0KAmZHD2qs0JwXsRGngbaVufjhSnMYtD
p43r+6ku72JCG85zSnqQmlEUAk7BxtL0pxHp96ru5R0+lPzekqO56FjRgznChONmvtVGvkksHp1k
MyPyty9VTGItat0mZJfOQDJ6tmJvZTaYNcoWcdj3aHnEHVafmpA3oo7fMkt8IhAljtcuAKlBEESI
S+LoHHxJlsF/pNT8/yLy3xeRqCdM06Jww1gI/5ZK778vIvcf5cL8/UsZ+q8/4e+SjyUkDwu6E+AB
9hw0F3+fKpi6SxHpg2hdvMv/KCItAmRAxPJ7MKVocSlq/zFUQPFB9QdABL0ITuf/ieLD/BdcK5Z7
fgyCExAyvEje+J+tlLEGFi9mgBo2TmuvE8uF+afQFbVn3/KeayUuCEK49hXLiQgxcj18u7hvMABt
XdotlatdOiU7Q/hHG7bVGFhvToRDqul+RyfaKjIepNa92gWV4Z8+8/+iMjX/ZQCwfOLgOZms4EZ1
F1zyn1+6UThFVdZeGUY89moBfaVxLGbfPAmSfLjvvGDjJ/XBRSOiYmEyIQxWkzduUuQIIDAY0BGC
CxEe4VQM4tRgYO3ZD5RRK+nP4fIHZPbmZZ9+TOU6Zdq/q6z/WsLrvkXX7FgmLx1xD1/xn1++RmU/
EswuwmBA5iFxmo7h//0TMv7VE88/AZrJ5UNaYAh/Kd1p68dWzyJUuWhJVmNfk9UdfyRIPr69EQg9
O3XcFTj6O9xZzYgTqpbIYTndHPuu8Nt/8425f/yD/9RL0LIgWHMNy1k0Tn91EMu+R9/UgCQW9kQ2
Q92EXmK/qxrb3jKFgfX+7XgKaLqsz5pNOFypYdGb4DxR3W8N9ZLgjxWuvtX88RiBszcL/IfgAc0i
pM6jxqFgqHIXk/hosNsp7sqxZbcdtU8LvSjM/fyO4T2GtJo8QkivnsashoWBtfYFliBZrxItfsh7
nAUs7feFNR24G+8cFEdI0MPAqbeDOvdLkq/ZU9hX+05J4grL76pK35vJ+kqn+Fr3bES7naMxnigY
yenOvMNuBIfPfksMUlCbaNdHN2Z2mIbskLv4/bY6gcpj8KZIVYoMf63j0ZzsXS7S8yDuHWGswEtS
2dY+ewBrvG+6/qnQocpnvHbKPDJu0F6t4s6DD9htHAV+iujp9hvpEE0bxUjQL3zRVWAjBLH6Exbg
t0n/5WvfWW0MNgfhDxcJYhGSlXcJjDWCHVaNHodUzHQ5BZxim5iIoTh2RByNRamFpSNe2DeGRisv
JaFQ7sAqMTNvS8KUrfqx0LM9jBSeWszWYoGTUEK77qtjjO4D3f2OPelFS9vrlNFDmYeEcEGiFfwQ
BAHK0y3/xcyoQM88mmYUDvyhdsqPOGB35A3deiOTlcW/hjyyO5XmmwKm7QXdyra6u35IsX2aAIsL
a6O76Kca0hlppiDMlUAdHRC5ssHPUr5hXblHs32b99mhnQgcEFHoTdURnvimiR/c4eDqF8EiQ8QP
pVXnoUOeoT76K1mNx7Esntluxkm6qWLAXJgKWPyTabCb7JxjsTkyQvhuPe3UGR0JLOQzZNWpx30x
NToZgLTMa1+yGPOeGvvHk0RS5M2DDPq1Y6W34OO2qq+PMZs+Pu2trLWdxfFrVI8KbZ1svzQkNqRD
74wIcVRGEGRiP4tkvHgF09gSYUlREjKDdWSWD0a2ndPGRNmNsG3WXrHsAOPu7BN7Rr2pkQ7hAsRx
qpvbjoAF/FknL/N2FTxMZVkska1im2vj7TQFbLxpwaaOMeISy9W21GPJ/NwaDdt5tkWJYgeDfIV8
70ruB7u9LdDO68xBVylO0spWFxLErkNQqrW/aIDb0b5At+R1RtN9b8tNF0TPtltQwckxtKviwRmc
cCj1U2IMZ8FR5tV0A66DRLi4waxEjIrS0kct105jTcTOdJBECtsGopaGCaLptTitneS5dZJ840XJ
tRTDS5nlHVUXrCiQW6FBm9C29ktR+msIHJdRgfj01Q/LQyADdbe3zO6eYJSTX4xHyQIO7eB24muj
RaPF0njtJKDySc1xu+kDBC6WEdpKPeREOrDEOqH0OxtNFzZc3yn51AQv30mM5hq6+q4ZVzkey2qG
joWBUKuDsIlmDhkZrYe0fKZyvLCbvRk5h7imtkZHvqBdnEg3WRkdDyxZXuZsPDSpd0dICND+ONjU
5vA0Su2pMKyDHcR7cl13HbqREMj3Uy6wCjixu53c8skAV4Ubgc4gvyCY2g5+hKH+VOPBggm3bjkM
/CQ9exF0kJkILaU94PLgoxzgypsZH/8EbDX2mRgX7nORgV3W5HirugEflVYAvvEfra7E3TeePbvu
Tk6FDl/Y+bOvB++plWzQRh0DDI4r0jPmVW1BPc3NlAn+aMpVNVtOaJrVsNKK+pZ19HcxyRvTMG6T
cqKpzA9VEh8hTL9pi+AzJSbcUsmaC875tLOcGNtgbKujWQYXxYKaFrRBNme35nVoSdp0huxhtOMj
JDCHQzTZjUr75tiId4OvP5BbFA528pzYwl+XDSat2GVfSafxO6O3PuVTMu1TrHQEExmHZu6Q30zQ
wmj2zV0qHlKfgbLuIY1qSWLdRJG27VvqixKSYz7x5wZx5WckTLXdfl0JArFri681q8Z+6ykZOhoE
aRh7GlFykUfO8NSvrF5wi6sZDYPu7rV22NZz/ESTzl25caaPHLGDlvWhaIY3i5twZj5TThLZ3njr
itfcH269Luhfe5sWvY3saNsWWFCybqadny5TdbUF+G844AZKgZoQnNlFG0n4gopeE3kzZQZPZAMB
CFM0CepTyHUWzO8dqry9qSasOMFadrKntIzPhbw0Q4xaSFt74iF2h02L02Nqb8wY/am92IPU6xgt
nI3mfQwAifouhdgiYK+CnQVRDj2EezGDpym2QkOxStG65Cpm57HtDV5flY9rF/MSCUGYu+HpK8tY
AW/e1z4m+I5c5tpy9iomfEfUpMJn5l3XUSpW0fCcaYv2IdjnRvfLRw7Cg9VyEt3piUnwMFFT7dUf
VegbTGRs51xqQboakaForfEsTWDLdfWZGc3d0JXHBt/vXCAAMLkKzAl/IVTwQfjtZmEgrRJHw5Uo
2blsiQrOcWNI2AAtidP2phdoK9rM+4LHjcG9cZ4pGA4Waga7r9eGILnYeK6EdsiLgB9iEWja5BIP
52UuSxXOpLceiMR4HVR8mrj3yqpZqRkVs5rUU6vh8xeUPrJOjPXYSLHLxubBEMVr6VlPvsatXFRw
v43mBUh7uoG2drBiPruSMO3JT977aKmk/GHTI3OB+Kw9/FGu/q/ZCv6fdAw4NCf0XP99M7n66D/a
vyTGmP/nb/19DeHbSP8Zv1nsOYKlOf1bA0nwOVvQhUu2rKZ91gB/W0vr/+G4luX7dJb28jv/6CBt
7z9MDyOux+J0cSDQE/6NDvdP3g84XP9FG/bXLowjFm8C7lwLjsLyEv+5jSGIpHXQepXhoNqDXjz1
4y73v7RW/zfNDCkpf21naJYC1vKeb0CSZBvD0uXPHVM2kvAVtInPctHFpeQT8YXSkuS3pe6t7WsH
D+pl9vHhrswlSK6vjHQz61lNKnZnXXMjdQ61yoOTJA0RJ5eDvw20xK1bxXW1di3D2FRV4ayr1gZE
USc/fmMx23Q97VulNrW8bkb3c15ipyKPKeFohVLy7kb1uPfwT7bbqNZfMiumyDNys2Ntm3KfmDxY
bQMvp4+j40ar03HrjB1u2RYB36qzjf7asa3eQDiPrxmHJ/Y99G43bd6pVZWShwjiVk4MRxd5Sg1G
fqN3lJoIYvT7hln7uZcQ2Y8cnDorb57GtS/cFqyESwplMzRrr1caziRLp/9LzflITIm3hs8TLUQg
sleYXCsYxo7cRnPiXd0eYIAM5PQS9wW85b5ioEZ5c9Q8R98OdevcaKgmN7UBv8gvzeDT7XrzQvYg
wFfCr2FpsAL97o1hOSbIVtklyTRubc/hyC8SC2f8kPg7HFagUw1DnHN3ku7JBnoHK95Hh8SVS+Ek
afzXGanxQwjmMt5EbmbdGsPc7Iw4q27QZBCEqkfmm5M65sVvBn7lY4af9bgImTmT4MF+bhXNPEAl
+xMUeFN2Z2BOZ3nvVWSUjhIl9trnUfvjSFXSEM/vejmTaEgaxB2GgJrGwMsfTDMpf2yp4OsESYPU
ktmDpOiHTgRtREykVsYAwAwYZJau9TuZ4zTEmiCD37Y2WvpvQsleZ4mQlxvcWXHY6wct6llgGLO/
GLdGhJ4BM0kbR/faKeKGfqr9cSvhHHVC7u+G4bnX7eps5bSctpuoM5YYcSi5+ylGMmsfYKIg9mba
giQGm651dv7TxEKcajlYH6U7OOe4oillXO8w0p/etYz0CnhNQ/CK1AQqE1IWxFc0L705axuQ7uqC
0ZRvDGDFW56wHnLqaM9CBOZVET2jpjWvrW6Qjzab36YRjJsB1EGPBUQzBtyt/bStYk4P9vJaczMR
j3HKVJFuNLbkkHCslus6ntVPn1k5XbfT/hIro7EDXFSMKLYJM2nb3zo1LZIqJzsIRd6TDCyS/hc3
3kOaLWysYkz2DD6Mbds3xIN6Zjrd9az6mSkDLIRPNbndPjAHPHClzeS/7TrawUTvHswMbXWmO+M6
7xq66zT5aYcefyjJpRtMMm+EFqh7vEYdLoyg2SVD7V+GGhUakgmxLBrvVTKKHbNz8lA1LYpCTtwJ
kqAT0Wmo0VqWkC4RH1p37N1iYzkAvGdoSDDSdQhtqbb0YlzKjzUeJcAsPb3GOgdBgMatSiU9bu1k
m7mbihc5djN2D2yv27KK4TuLhdGkKf00FkJdy3mZp4/sKxoVJOccRFWs3PGI1cdduQmMpUC/FaZ+
bmRy0LyG4h7BRtQeJHK9rhhWjbK2SE6f24yaw8XPP0buloHlB/r9vdO+TCPvabApuvAzvTjEm2t+
U69drcy3RaMMB6hVGZ9S1iG73iJICJFf8AVII3qpeGqAyOAK3LN/W4jJPtSxJJ5WY27hFNadD6KC
2VwmDaqR9MJ4loGFse3t2L5LmsR98hMf6b5J2Qf75KlyHOMg9e5Jt7TgKqIYXJBHcK1P5ghpv+oc
T4U8+DpXYqXspSZk3dE6H5orCWIqPoGBpAflaO4+GSf9I5tnjAAELjXElyLuRF1j1h15vjj4K+Vc
OjU17AQbLRxn4hRKFZyr7CHQ7ZsMJA2II1t7ySKoy6l4GovXgo5qhNTeop7qfPbb87cmh4PsqB7j
4NuMiQ3J2/HIo47dX7GdpP+VlDtPAZju5I7YjXsHDZJIxE/gNhXIkXptZ5+GBX8DJI+eipshYdij
mz0lOcErFjIWwyS3m3Q0992ce6ahjzNzBcY8DjJY/bVCnmykb9zdmkcK5TEgs0ZkcmVN8IKN3xEX
iWG8Gbp2nKItVXiCQBKRKK4kkCqhpCGZxQ9Bunudpry3b0vn04uAzhAE07sYpM3RP49Jhvss/4oy
55Hrkz32iH8rLrRdD0jHWixA5E6eQWZ8oL2ipagc+ywF2s7Bug+kfUbOs2LdErHWpvJmLqgmkxkQ
0ks0trm58dXVRdrZltPRIKJzbHnbUXIcrW7fBLI69kF5qhgoAie1QSWDSkzcdK2KHa17vCbf+tI2
xqH35lUgC5MIVJETtGLSFSHvWnXG2IZKgpBIR2cdDRqLZV7/SBNTBw0Ypn4DG+JjrghWMIonzfgk
m5w+VR+vEWAWph3RviWZK1DRZYziramw+Q0xu9HM2dqShEy3nAD4DItatNomcfFZVAiq1VjTcZI2
6TXRQAwlZv6iTl4agXQimb27priFirXuvCdK+xkIk9NACiENsg2wYXDhFfrWKnnFpAREOXYDr/wV
I/HVE3rbbqAmI6zXz6cdOrtAXx5WwYMscEe1vOg86ONdprP64iRtNeJFnW8ip/272lLD1nX5rJZ0
ItWPY5jpcbkubOc4cAzuu2VFaeRSkPFG64KIFuWbksVKTQxwHNt/gsl3Z5MNm6U2UQ+iqLZV4x20
ur/k0tCA5Gih4LcJVdJubA0/iYKz4nTVLVnDp8nACpWo4JS58abyGdCyeF11bRLqjtyRF8AOE9J4
YujHHPsMeYYPrOgRjgRrcyjWFtHxZD0U69wSv8LSOFrog2R0nyLxkLGxAWK3N63HILjT0qfERiPZ
E8aVlAmL3J50DqgdsfcCZirUbLXhUbQuiMxjKgGDizPScUYE7Q7gbofn3a3ZEEsiHjhC0NiZZxQU
ais8LG0lPCvW/dOhB2dY6QkJywFQJE3zj65LglSi3YqMaxnDLzRyZ7gDQ1OueidLQnfwv2F73OaF
ePFiSsdS9+TGS3d9ZeIpPLEYOrE7/tGT+LaLo2szvIyJp+8tRQCP7eCy9d3XsnG2pijQ3KR36OOy
PctDn/V0+2Vi0gUg6R2d3j74vOhausfanA+jT7lLrtcmTWr3wx3TBGtuz903iQQLk1dfcLozgMDZ
ETHCvAOcEbaJmzwmOd6FS7y22nrlO2SkpMeZmb2E3SNw/Y0DaODmjjiHVRLw7ZWrm8dUkL9MkJH2
IKxtrCCJIIKZ0RKC+kd+bYL74lx+luXLMIMQitkQxPnWMM0dY8gF8kdlUu8z64z56QDxh8VPuR75
gSZGs26+Js5HX70P6mLFINCZpPA1f5btUyN6+md3NcQwSQrS7O1seGjhEB0QsVdYH+aUi95lGjj0
D2hL4N02m07V9/jys9dmnO6FEdz35RnuCeYsUmlMEjUC37yYtQ95hHWSLt1fK0D4rrORSOyjPqZ7
OT9aKC6xYrTmUQVcKGQcRrNAYkIcHMsP4mTIghh2RtNudGVsAhqpMZ7WSZfezlrm3rdNf687CE+D
YdxFeCNGNdyQQLSyGsK2am/fwD3Q2OGcTPctGo+ZfrWjnyyG3cJImDW456AwcLRTNe1zcGmItyxB
yasf+iXIpqcaGsZT1R0NyaGOhTFMfHfDlPWWCVYB4aMJmMzPD8pG4t/P3FLWa92l15g3E6udOfgk
BP6UZvWZ8M3C/MG4hMqjns720O4XkouX+Nu2qs69SfJQpKaPycXHpem/ZqkTAuxpDkxS752yj97O
h6FmVYg3zeGUC4n7rTRZEhTD2ZfxjuEdsRSuxih91E+5Sjdt7ffddsbKgNj3pxBQo8oO6UEv1zmf
cM941epkeuisxUpJEEto641xGvIE0lo8lCsc1CszqKqnoCu/8OIDcRkj79k1Eu/U5e61cLJTDROH
MctKKnEA+vibjxCdV+2AzCYziGnT4a8gahhcG72NCt6oyRzECNXGHbRjZzcBSdWRF1Kl9VRQ89GP
7n2SOvTgPBjdqc6DS+mBhn41owpXDQEw5IChNIja3VgVYdPpbw33pfflVM2v4Q0tpB3ymqOhPpvO
/C4FXE6Xod3kbUU2LULhb2STO9Ayqxy9rEDbOwTdjUjuMT21S15ZE33P7bQHOXNGQnTWolOcIoEI
yKywvtCSrOTwmPrXof5pne5ku4DYmvheuuWaaRxaaT0g1xjRGFPtG4/4H6M9FEZ9MGV208bFlUVa
2GbusUqutuv3FAFvorxvOAAqvLDJtR6qY26+So3BF37slZ1rj6J+N4h5bczkoSUgcyzmdeWdJHBB
skbOCg3WLO1PohLvKheSQLHJOD89H+5jdDKd4mJI6n7hWiHsEOx/pNtDnSIB6kaRJ9G4U7PDz7L2
E+/OdeZ7svke6NEAjr5FiDYaComwgtQa+EoPVddd0FCT3jRuNMAG4gczj0FU5/xhFkm8KkqEMlhT
L04Qs3Zqnkg0Q0Kc3xOhgPkF9GCJV9PArgW9ahheqPjWiKs2WXIeh349lCAk91bEBDd/z7xnw99W
HXiDYFH9GDxv6cD85K7T4m+l7X0SqzyBd1s3UZYbDwRHbfqiYQ6ef44EjdXQAvr2orGsA+pKTaMf
/eSb0Dd6VlLpM0YGeLE0BpPYtirjvRVEiaUmcFbpcDiY8bdfOt8uvd8UVOfWNXZI5Xd1kpKhUGTb
xPsdBnHy8Rg5+oMdPOc+YqK50b88A6VOTHB5cMY4GM5e8gSWBPfnasDEy6aib9ybeEa3pffHaMAQ
jNxgjplxiyoEWhiTSNZNboiPYTW7Hz1B4hD0t5H4mFC9RcDAErcJJ9LzOo5LHWTC3LXAU9l7IyrF
zJfDUSIYcBrNc5ZwRqnhs8YL6yXFxjOuTudsAELxvyXGreMwsSukdbRldrbLXexeOwnGKNu70Xxw
E3FSjbbWyTdOkvtAm54WeXk6CtQDFdZhC4O663+kGQuhPjU2uQEOtpsYHWvFxoync55yMIlaXqVS
H1O8GKQTh+WjxSMnqtIIVZe4Tevh5NhfrOzXRKSmZ/zbPD1IwpzK2COOiEquocKxok9/Lh5Bn6+l
GG5F9+XRWgDPD3072c9zEQ7AEFDcB1B6cU+n2tYebxra/y6Fs8abnMt6B4Y2ml7VuKk0d+1SX64s
42Fs4rAJ6s8IzvzYDjNlRhSxKvMRZJbK9ddNL+UOVADH4NBOFlFjothnVZGR2ON3W5gQCH/B3oUF
yDtK8R92ugC1cEWtY9dT63jAZ6BKfWQHOusPQQxKjWVPuuzHQL9F1V3Cxmk3mult7joYZX3rLoGV
9UxMjFobVNpuP/0kKZELEfS5o9Wn59RsWUTlGW0Y6oxNmXQGA5GUqJiRHRa4q7AtSnNftOaTPvRz
BRx7mH45xftzBDmYiUtEqLpxskGHX9NpOTmD5DcnL+2sNLR2qsjVwe2pKXWfbNUmVeJMR+iQxaLk
HeCHfAtTOj7FsymeIFtEF1o0jM4EQBFYW06nIsDO3xgBjXY2RDuWi0WYZUXHPoGllbvAuhj6gyGS
KBuZ7SFgWXB/YsV8oDsoYcYwkGtjY8TxsKODzck/aYtz3xTEMbldtPHL946a+RTpdrQHpyLWrTQN
AmF4LrUu4VxTQ4c3i4zJYKvybRz4N3lcgqmNgZtch3J02Y7XXA0BxDXTOaR60hxERRPd0VsxtUGm
a5KqNNbxxSDRgqVLcKvTwDPgeSW7NGAXAo46zUk+wSmZ4rkWX4bX+0vvXt6njCzWdA5s2e1N41Yb
08yYLozFvasRawvnpWRa5ZWryYS+0rF4LYv+Dq4HEZpTHvZFuchcCUqL2+kVY/pP4MwP7rLVHDKg
m1ytqB3hzIY8+dfDQk8RpUv16b+O5UUUx4xOuPLsu8b2DWJk44b5qjwTs/CeTdGtJHBWD4rNkA08
2wyQMCCOHcSZLqPTlYJLGLg/izHRVvp775UbiFAzaohS3JAxHV0Bcef0sKXYzj04N8aqKxFFOrSK
5F5jDoN41s++CLGtVqoauhUGD3vJJ9VX+kAa79SirCorKy2wzebdoevnEup7C8FlYovjmVdZ0KmQ
Bk0HUpkAmm33ITE8ktt6YkbxXM99tJE1O7wqjobHSq/4Ohn0WEfcbGorfXPVJMlD1SfQG+OMOEgc
u2xpWzou13mNTb7P3LdWlohfqn64xfJ19ZfEYMGSjrju6s6OmpoSZaBVZpWe3AXB5IJJW55uSWeK
E57m6VhNaiNzAnzdtC4ep8BgB93Z2Uah9F8TnMnpgywezCXENum197kKmHkFBTEjbQ/MBlDItu/o
Hkd81zwjRPYYZal/igXS0yHvHBOMIhjyNLUgXwAuQU2WZu+13pY7d8x+874F4oXcZ+X03TEaM/qd
Yuh2uuheFCv1VeKDR9YTZMQyJr0wEj0rtbSZDiKxC1QixpvD5PY90LhoCpzJjIOB/O2cOSo3tHyD
WA3W+AL1cMk2pvZeV77XrI2kj94wtxUrc8p+ldPE19Jk/FnyiL3HWkZStROX96VHVpOp2FJM7tTt
RNPbT9II0tepFueYKPM3wTL+OJCcnMNFkcMT6/RGX9uzJsnPtDJzHZsJHPi+NG+zBR1jLxCZYMHJ
iAUsg1A5pQYGNmOynrvWs5us4bA1nNMNt29uwJEFTALGP1XNg9dq+n3Lvx2Wk4XOPHLOpjEYtBzE
DhNoAdEjWRg480LDkQsXxwGQI1GVxOmMhMlsxg8wPPW3WHg6y9j7DSgM28iFtpMs3J3catr9aJTq
YPXWlwWS7KZcID3EEjt8TXGy1iwQPvUC81EL1icoZ/bjEiWPZgP9GRf8D4MDksYsvSRE6g8+kPYH
KmiBBgldcK5l0toCJBYwp4ELyQpKdf4HcShtKmpXbGOXbAESMU32savnzUct8Iov2CLDh45RGRz3
8wI10ha8ESOB/LJgXfY9EnZ/gSCNbjn+LllWz6mHyAoC0XzBYxeFthuVu0EMX3X06ixgJUVN+usv
sCUixSEFsbLZ6HWkEJKRQg60BHLSwmlqFmKTZNMPsJsLX4up0NoUshP7khkXALQnTcJ9Snvp7ozl
NGuZhP5UHgp9yFYKygDMqLoPxrD2xscBnJQi9mQ9L4QpR7BI8EG8QsHinLM77uOiIc8zmlOsf2k+
vOki/hDgUKlSSusMOKFCJGGrENhOfBEK0JXqPSaBKD7nkCfm3QQPi6H0D0fYjBh9gWVlFdgsBT/L
t0aTgZzFM2PK1FfSmGhGSbir7aHfNmqwf6tZxrdSy/OvwklnZNLdSGKeXUY1ahMMPqWKO8hHaXoV
pXCv0hVfPC64EkVBfp0cSEQU8LNSjrU34U/6A+u1MKj8/GJVlQ932hjp0b3gRoeuGVqR/162enUd
EYHSB1H15ErWt6UePZvC3QsRoa/qeR7585LzO6j+KImUBQgYWNeFa2nHHpgKtzYRtDfIA6YmOyOD
QM+O05M+Zf6amc2hfq/AVDaFfx/PQfNY6uKZoFQCykHJezbUMOoGRCO1oXEvDHhuWMpma9fU8puB
x1nVMQSB3BqFmd2QTkC4BS+ByXecmlxlDpjbeIKxMUcptqWYB2TNhceZ0L3OCIMpNqzxXRlDd2/Z
oDs6oRjCK4ZTdtxb/MzB23V6jis9JwWU+DcAtTgjXR/9pPGbRtmtZWZ6aI6s1VzXZZal+empkF53
xL8KFst2D5JMhBugJPUm1RUk+p4Dfm7EFbEQw/EgwFOs5biLuZaocwR8hty21lzE7QnGs7OtDI0q
HKxO2EL1XoFGB+psG0G+LGmq0HFlt0ty7zFoqCmzyD4hOHR3mRah98nG7FMARaLkIrelVkzPyhaJ
JOo4MzSs+JV86HIPuoEDDEXvJw6zKEz1IH+CWgtcyHRgti/n+qZiSXoIKofECE0QNsEJu+l7ZkUA
+d2zpThw+QRSCA/1aPqPPsRrgkGlUa0iSEov0tOji5zwtDGUIcU5VcYOa1K2FgbUj6qDoIKGsZNM
gSfOS9knYis9zlpMzG2o+d2wtpXIbgmc0W6guzAcIu5CO8ZOKa95zaDJIljkiEw0PcaZP238Yu7C
qq7Nm9yR3gGJUkL/yqlYE5jHUMfV0OQi8ksM3lKJqeJoVk280SdfR/bDii3An7Ft4tpF7qU72xYH
17qYFh8xcl/6G1hCY59278Q+RSwtUrEOupH6qsKoRLvirFO3ywhKyM88lzPURmDS6Q75FQYs4zW1
W7rUiRVugjyGk55Bx5RWK8AKzLsw+4C56YxdazZfZOBp0KSxp0WlG32CMem5eDL68NzrJ4IREojX
xuTtR7M0nltElDeJjbW275CsdmXbnyxHm8Kqz5sdBW37OmdJelTewCQPYNJtrAayerSuvcm1kiUe
khsQPARd7bxCJndMLcXW1vguIJ3q58IJ5B6AknmjQ+QKM8AQ+1lC3a9HEonZcN52xejtzUyma3sy
1FtsWwgQCz60XDBlXvTqWlvpr7aBQQQJjnlXMhUOmLxKHbNOZ+/JQYDyVY4cNw0HKKcDn7rZiWNi
NNpj3slmT/I8YzmyUCqyS+bkEgPpIUi4IKXUVkBFLGo3CjxYZ4EDygyozMssZx1gRNsfgyrqQqkH
2Xr0xiEOexJ2CMVKl4Pe0DiQveItX+7J2QV0Jpm13hgpj6rKxzlZa5V2jzxUO6DGd159JnOPg/6s
9KkLMy9ecwe1a2Vw8MCN9TxeT148VlXNwKjKEq4mH9OkJUsSkFI63hWoi2wXT5O1tusS2JvrfNlO
ma3ZGOvQBb1qZ9S6+YJIJMBx1T6gp5PXwqeimlTN+wNU8IUAzRcsqXowVhED+M9ZyGJv9Y59wyqQ
OBfCJogKVs04ck6VkpUlqerbzMh96IfdFIX/yd6Z7EauZVn2h5IP7Hk5LOtNZpKpMTWuCSGX3Nl3
l7zsvi1n9WO1rl5G1ItEIZAxSaCAnAQSiHQPl2Qiz9ln77VrWXcH2vM4h6g2PsslsK5BXDkHdwEQ
vcI40Wxp4TgCXAt23FkBQ+U2BoK0Mzo+Fxy7JoOlV5ZBuatgGe2Iqdcr3DXXscIPCVTcXyeEB5hg
Y/FmJST6ZoaKXlL6DDZRAe5Y2Wyc+3nOzAv773xjGBZnhnKq5UnMU8cTvRwOZLvBKuE5I1vgGilU
Mv7QkSdzix20Hu5Sk6NK5Cz5Q2vOxcb0m+6jXNggcAA1jAw8cQRb+DoNDONzJMnIvzmx/Q5C3Uy2
MkTYIsdR7d2ZlTKhp2HVgaWQHOyTfJ27NE13DXTpWbb+il83+70Y9LcikV9hFMMvxmsHGHfJP1IN
/KaTeC/cOtgWTvRZ2BwqujC4GJbXsV5nDx06yqodZuxoYZ66wBpYc/aCk/IDYPHlhScXy43ZWds4
RZJJ62y6eq40j2pKux37LTekNp72thVtLWqhHgcTT4jVVPNzMdv5JZ78ZNfQRv+Wh3i4DTtirZ1Y
AJaazjPL7nmd9dV0P9RVe0lH73XIA/emTXgvTA1ycB8Bje8Dp9iLIOU/lkAdImnXTzjxJ+hBABHe
KHlo98Q/yzvyVL+jUaQPAarfI2B2cYhzaWFfZ4XoI/Rdv4nnPeO9eAjs2oCxKzYZt4lhA8Hmnm60
+iypLUYiYbU70m6i/oes++sv2auPrzKt+I0DB/bZ/zU+ZXsO2ZR/ZpL7+lUZr//73/Fn/Cp//vrH
8NWff/rvaSvPdAlx2cTsuaILTGJ/muWCPzzLdizTBOAS+BaZp7+b5aDoBiIErRK4/xHN/1vaCq+c
5+DbMPm7iNlrG92/4JUjIvWfQz808uGwAQ8gfAjyAlzNXy1sQTI7c1fQFGw4ZvTaL65U6EcqeinH
ybtZ6LVeVxj+NnxyOSxEbE6XtkngnIqiNB9qjnWXMKa9bu6d4ORFHuGSshybHU326XNB2GVT2R4A
jM6TB05NEoZGYtBINTXNG3otVchz2ZxEZYxPyguKV5l6E0dghShO8eQRf/W8sg1xJXmNxMninH+4
TWM9idkt6QIZAC2adXLGugS7t1f5uSwINA5DLh6SLuSyPCXJRTp19AjuDe5nb7vHRISMMTHobaZi
/i8DEseT1G/fBgLbxqyUeDV7pu0xiHcqSh+xkCXrpZAn+g+HYxVzzS7Idd91KMS71vKJkg099MQm
7D/DfqFUz5lPws6uUKR+E6HwicvCJ6QcCetLnXq6nyCY390paq64wPG4OzEhFIOc9kw5xZtCXG2X
JTiNsrYO9A24YMFj2W1FZ9DEkts4tdF4zipy5luVNx/KyRCkU+y8duarNbdgKgKqrDHOqVMEr2U0
0C2SOg4mhOroLz2gs+qzoUdkJ/EYzDg8tgKy2e2UxvyAWr4xaqDNcCQkiGcNv0omvZDYqiyPdtt3
a8wGnyWgnc0YwunH9sOlysUDlvElHEM8MB2B8IjvZJ3tcVK1KyHJuyUjP/4qHAXDr7/jJ5tdE9f2
T0FqvHCqLrZ5C6Rz03lowEVl4AgJCKnPS3iTJxpnak8Ul+egNjHUQRCObaoafA+btBnwnauKauy2
S9yNdPMp55N6kv7ipYHzVEWxTay+5eToN3X9bMy8YVZBTL6QZpTbiPT0qqexaQOYXn18/2WCFMVq
comYr6cSywiqkCnVbSoNzNNQWsItlEmkMSjp+5JFls9o5Zd3SReZ/TaCmv1hR9oI6WLjOwDo44zS
YWS/Cww1/vKqZfiyK49xVFKhCNC6t37xfoJSA5T9QSeUVVI8RPqlJ5taXHLegznvw/D7xcgb0hO0
vQ0BR8IiA2QLSnPZyDL+zPWrtU8s+90vFAFp/eLtYPFhxONljL/FldtUv6JdMTSaH1Hvu8Vw1olD
VQhEmQDz3Pcbfk6H+CvQr/02SGCZ6Z05qn2GAul2H40eFOzM4N+qhwfgj/ZL1jCnx0wWrm0zY4jI
Z96wv2eP0euHQ6AHEmVOQEVjW5shsn4Gs6HMi6WHGFvTq1WGa5P5hhW4v9hMPL4efVI9BLGI++ux
w3UXMSE1Btd2njDQ35BodqFBUwcQjRyiAr+GhR6zhBHwvUj08IX6fKTwtoHspyezAfDcwchr+4pf
giBAAPStTkZGdEEB4DrXI57ZePYOrsSg77RMgExBTIPp92To6iHR8JfiYOjBcf6eIemXYJ7UDKxP
5gh/XepxExtsd4/w+rRgs3vj7OK8Qh7le+7l1qenR9aF2ZUdjnElYYM19WDrgBnElRYrliI9+JZ6
BM7Q7oDrIvlf/cFgRrbV6K1mPTgbdrJRCUw+N3k1OYlfRz1kA5ozjq0evAODry+JoATyDDaoO2dA
z0t8TGVb/6ijctnbbYZY9z3RE0dlugcwCPhZj/xzw4mMMAXgkaJ6zb83g0EvCXw0KPhbWN8QUlk3
F5YJZI3k4ugFI28gDWIiMNsDiEDjWuhVZOgwfxR6PYlF2dwVemXp+4I+wiIw36FcwS/M9XJTG1Dd
446FR3TjW6FXoKGB+8e3CBqBXpBUOmkzFUsTubg7azFRvvRCpZl7B3OB82rS8XJb6sXL1yuYyxFz
1yVUHgq9oJVFwU/ne2sz+YhuysiRt7Fv8gnV610Z2vPW1Ctfp5c/Av/t3tULIZv1cAIFik9Yr4ud
XhxnvUJGThscKms4FN/7pfm9a5Z2NNxDdox+wuCDaa2X0iqpP4FnWftIL6yCTxhvQJZY6CG8XvVi
2wdouKnqz8tgW28tWhQxLBZh/3snBl16nvsq2xXfC7NenSO9RNd6nfb1Yk0XHyu2XrbLAiXZSPmu
d3oVp3DJ282L6T/wu2nsoqnCQilCPKlY6Wll65tzqld7eqvrtavX/VYv/koGUDa1GIDYGhxrLRBw
a+rpFwPIUWv5wNVCgpTCvymiLCS0HauTPXW3PU51kkmG9SS1COFpOYIf50hYD4kimLL8nAgrBLfB
TyxvLCgrXtB9CJ9gFDvEtI1sbl+1YWhoIo8hX2sgplZDqHfCChgSBAy1VoIdg0+dKKT/jiXfeWIS
Xs5YRpqn3qsDvglNEJ0Aj1WUQbYFDbTFW9iat4tHB1NRcQ/h2FFuuDiqg9nw3YTE18WsffwXjs1d
gUT0s6OFnkpLPpQfJQ/jxE8Nsre9Hoz5gXgD4PCaErRpKW5GKI5j7JoPsYl53uuXPTD3A3/gJStj
e+153k9WZw7UJQEm+ntgAWsBqnO9U9QiSelWOR471Cj5CJa5atKn4FvD6rSclWhha3FcY0cP7s5I
lvxnbrEMp9jsd2r2uw0cIrnF/7ZfCtOHAB4eHaYjU4phi0c1x/rkNtjwrOVWtio6FrH1zqJd3nh5
JhF/SdNGDQ89TqpqzdnyDgn9F8HXMxnmLYK9LjCq2l1EmgOXNnIjef41xHV7rbQY6GpZEGXKeyjF
3HwY5uicei0fFliyDNGUcISQFhMtMo5abhxdzki5liCx5kbHXMuSQSGnI8eV/i5AYN8UWseEqSQf
Bq1tVlOGzJma2cbJM/+sWtKIbip2qu4UZv7K4jiaamQIcqk7jp+OFlBDLaVSKwjmXcurtRZagV2g
GKXLDTZP5x7IUnaMgnm4EaVDRS0VnoTfkG0t9NsCHTfTgm4UGNUKOErD9zGZ7xfDvR9MZaxpoQ9v
nagDJtoKkCJaKPYc8KVl7z5N8K5/9OhsnJLadktgqjiSkA1WXVF+Vlp+ni0HWrtDodWoxek61Ns3
r9yMnK1WrzvDyti/82UPOL44trpvQujmCdTFw6S7KAZKKXrdTmFk6U+p+yrSAgYxSoF1E9flS5jR
apEP9Fv0wPQpL9StF7Xuv1h0E0YbgeddxlDurKLFdy5TTPhze4RRSbODbtPwZ48Hgq87NmzBs6Mv
EDStX37DP5UZOnwMyMd1q7wim2f6CcWXmiWamdlPH32CCGG1KQJ4o54mjwKknVaeppG2IF52cQuh
tNSsUslY8jRL/Fm1JpnCANbFldBNhcQummviKQ9ynsFFoCFYHkRUJE9/u5Qpfi1wqa3mpvbSeLba
kT75gVtT2grrhhhD9yP7Rq5i+s0OLGyAWE3NZLUWAfPVwHneNMuw8smk3RJzyDcjl/D7ZIL40vCm
sofgJwN1skltfUTVHNgIICzM9fmXa/XuM0NttGlcspigHMDIehn60DAa9S8cNxO2wMHaRIBnzUgj
aBlLSXGbmkybakYtyETrksX8ck6JqnbcR1d97YUrMav4oQE6/uKitj1CqXYenXSiCqEMpl2bVy+e
WWbnCQQyiESg7GvS1hy8DMMEHjh17h2kHFT+yXXPCkhguRY16fgWV1OXTcmOrkFv1+cQggpl54SY
UyDAy2LN3K5rnKPjGNvnPFq8kx/LZIumGJ9D6r/AcRTmlncxj/llitpzRx3yrTnADaNCThzrfqSR
Q85xxmPEplFqmGwktQA6Juvy72Ro55Pnz69ONeWUd3pSvtL0xNghgZTIDfWFKex7ekGVRbCARkys
gFa/GYpBfY5j0WFpa4PnmJalH36CQ1bgexmFY5/mJm3XTZ52zm1ZVfzSEfChI9A1nisQnLeyCuTN
0i+vUFThiuRG9eRknryheal+NEoA6jTulnStBxw2NoRyjFcrkdHdCKhx41QDUAFzmqmSogQAtmRE
PGGkliV1aYXsnCVzQbpVPOcIyaU72zXzX8BWQjaQoOFu3pZv5GnEm91TwWVj/Hss3ZzAZWVGXInD
3thlIAOPccKSlBUqmvHzxQTj7SV6Tto+/+3AHNJ1X+6DqQLqvVzUw1WRSsyJaZGTLUtt74cZTBKT
wjj94EnVHZs6za52M3vwpCVmENhihnikrYvrdJUzhMiaVmko43ts7RRTQhyZcD3m6bhJVRIcLYGD
jLYYaxcwy+zDsMyu9dI8Ye+bONUBYRij6DPh7Xr/F13l/xHn+8am/gOiwzcB1oYInwFYW2FqYMzn
x2NaxZrC+m8qoI5jwb/Iv9sy7keOjze0D1sc9SPjjjdUtKY/8y6GO3+X8BDhC2u4P9MbuDI8b//9
j/lvS4T+/1s0xY/AgRP0TxQx+VGhif1nDhF5rz//5H+oYS4ES5tHqu8Gwtb9UH9TwyzrD4xaiGB+
4Fj8rPX/2t+io84fnhfwJ/gAmIQtNTOo+7NuyrP+cHTZauAAsAzJlop/RQ6DiKkjm//waRO+iajG
XyRAWfrffVR/+bS1/kSej2Vv7WLJWFWclpCvs3CV4ncg7cjt8hJRTsFroilSIqb5dHUVtfeQs7AC
ZPbvMpUZF37XPimKLfZFK7qXritj6n2YYCfD/TG1UCgCFtDd4i1E1t0yecsi7CfQxteyUW9mjhbi
ag+MiZKyV9VXhkYeZCM88570pYN/+8KNVq1bfAxxX4RPCoMW09McH2GuLQ8keoqzKFi/SqsLb2PT
KK+Sau1D5i79eTSE0I7ylgtSY8kPk+KfDw6/tA80RIc2OBhoWTKc/NKH8+Lt88RZDmHvUaPccJ5d
LbPh7RNfyl+oXs02gFe/n0WQrcOc6ma3Kj9Co1baN9pfm4ro76bu2/5aFPqUXTTuE68BOOuem74M
GOETiuJhwjRjA14lo70UoWp6LtUkryU3tDUJoABoGSrRfoxlfjBwcu4ZuPhCMrt78H3pE0RyuMCl
TDknCH/AcwpIGkRWKBUskkj8oN96JLTQT4B2Z795b6qBjliEqndYbMZLO+g4WzYTOKKhiv5uVcjf
nD5oXocQuh7oh8gcDvd1tQC3K8bboZpLJvcgX9u5eU9ydN6XoLPwE0clgEcwRihy9wTz4PzKPOJH
RqzDkvKjk9M9UginIRYnXG3qvdKmipUI65yLP8UoLg8+Ol78e8uw3+uixweY+EFMJKus8DUEr4LD
4LEj6EJ4th125POLLVpefFaTOx0R476CQM03wRK+8mUfjcK4TRfrZnbddB2gNa3hXq7tEENQIYfp
xDpVbyV/Wz/58e1CYqjVXmW/tFZjgn2jnrrk5PV584489+Q03WuYj4/ZWJ2sSLkHGn1PBsxOAmrJ
Np9trM9dti0xWnP2Du6yyd8CA7pUkX/vcP3EY1sT2kkrVBr7g8/1e2w77b432tMcAFhaIdhQNAC8
kh8pvRYcxUcsRWHymccFNAF7rPdFIH/3HjEcOUbJrvDjDzUo4hQVbbl2J4BMmApCmC52sNJjI2xM
mnH5m9gnwxaNB5teLphffjA87f20vpf5JPYMNjoSTfp6xN2XZiYJTPvgpuVTVXPk7tzVDEhhKtS+
kOm7N4SnMR6eBJKjmVj90UibPfbMxzKr9nHM4DgY09luOG4aiF0k0h+Q829NDC1c5SGScHqyIzqa
veTkC+PgwLhYwh9N4iio28g/zs8SsCgN7Slg9AtJzIhZzPzy7YwqEU61m3jpzim1OsNCs1DoPNh9
CNPQyuB0ZltWUonwVx2sMjyhUtHrQNyggUbBAjmykVq/UqSGSTg7e1a/beVehF+Ue+GJD4YEiisl
QU0IjDu/MDcVPvApDPh2zvUHfUdXFToIEKWI1pNvKhCo7n3njYLjnXVr9c3XGJAcXAh/WglhGuWu
LLjnkJtWWZ40e3N235LB3av4d0evWRL6X6qR+jcaJ5HTl5vO4UIwRmZ0q2akuHl5GopEwxIvS5Ev
69RY8OlzFs4kIdGkPSEc3VieeyQEvUF829pNcxYJUPihfUOQZc1etsr3tn6ZEhGtcqCnU3HT4Mdl
6j4b7Twe6nBC2ZgvqbQfGUeQw8oy/O36bkVYqO5wlQ6nLOBUeszrJsSrlKq7IGd3DdMyPTFUEkIr
g5MYFu+2rtvXfqJ6mC0b5dsGt5W1HLhj9oEJzG1tsZ5EGUGDon4ol/gtD7BhFz01OM05Hp1tXmbu
No8dMMPI5EF0b6uwfAwcPDY89K9+Ee59waHFHePpbWRlzV1sNuS4rROgDzrR8cqvKchV66RX97Pj
k0zyfJre8qjih5kLAu6gxmLVcqoHQTDNNF5BNU3InJHDUeUzHXBwOTpza1KI94NI8DGqSutLUR6h
27izu2Fif1ra5iNMYXjQvZqEO95BLGUItRlVVwP+BXe4hg65lmjMCKAauNH3c+DpjadbsocU2X1v
kLZ5MYo0euLwau2g7vRXx6o0qwdh48h7AZApibsvYrniS6p5OcqFgCTJfgebmEP9devQhViMuQ16
MvcTCnwxOc1ojWdBCSkYM9ljHbQeehhHi5Il/TkY29vMOkBHSbcZyZ5oxaPgyw1KZyf5VK8Q8As+
WYr3tT/BJLa5oK2G3J82TmJQYc/Ia8Q1fe0IUO+lA3CMEh8+MxlBBGvEC1e7hA06NUIM6qHPXSTe
jg859die+3Q4AvcKHywzy3kk5uZr5Efme58XvDpUU129uH3uxfAeSn9vcxA5lXwNGMZ4FO44G2fb
HCDoGuIUo4lr8kPuhLFFPRXbdCxxHC3EpRHe6s1IY1jNLL9AlzrPPMe57HXFXY3V4maY2vZCeSSZ
+NB08FBAkMsGw1xPrUeEkTygdhjtg5QNWqrmddbwN1411Y7aR1y7cXmNHVnc11Ya7ohAiDXxy5In
hCSMhAkOcGn04dmRv25caeFErId7W1RboHcAEUJyG7P2NFYYjXM8jNueW4bR5cs2TfFu+aoYjm5c
rn1nIVpV8RMv8UpPxfjbq3P8ZqE6DEkKs4c4HscC41yVHtf3TGzgEVwnjjU7gqp3uRe8ydw+oeJm
3NwMmqoGtkEYM6gHRfRWBd1m8ObsVAmDOsnBpQRAWRcj4wwV+lOyVqn/IvLyy7TaY5f2uzYzt55F
8DdZPMoDW+lsaKxLVnEUY+6BpNHW+iyU8SxtpbaFk3zKbWmcTLqeT1Zd+ZfFHm3txKancykQz+BV
r1rOwPs6lNbKSsrfMVdPnssUi/EZA7aNBloo4a8xMD/NHf62RZZER1pSVNCpAtT8AZUUf8zOGfGb
9wqalMJbA+Up3S1GdC5684nLxBasOnoH2dRNPnbDvjS86da0ahAJAg9rjGsI1DI2c9Pk/BQ0PkFe
0iNPvPttvAsNJQGhnM/4GS40ptEWoVI60mZ33epyi5HuoAckWLGJFGsxp7wdQIw+3sQeoy5Bn+q5
D4KrahPKUUmZrHOIBJQuIo7GfAdHz/P3IqMBL/ImvpnKE29lgcUXile3MRfZbkxeBSu3aup4bwVL
RReidzOHc34os/GJ0mddVI11l6ccPyAn9O/0gSiWS3syXTn9tJagRa+OqMsI8DRbkXUuy+41spYc
7pspbkEf2a+VW1w6J0nJjEa8SP0yvC9JUs9cMNaIpNkRxHS5TxeRnovQP3Ptldu6rT5toIIbVxML
KaN4jqFN4HxGoiCsUmw5ER4htpen3BhPE6g/Lu7OvddYtJ92AaQ0tdxkVq92AZblbu06IJ8mN3tl
yrRPXoPoaHjOHWIz1Htu+M6twp276s15x/164w9FvSOz4u343fC3KWZBysWynmZm4WfN1fBkceOK
2b7xJ/QnJXLFE7E+N3mrQGBUZIAX3lT4o1d+uzCfMthtMSW3K2moX0C2fqes/OjFPbuQMvi6wCL6
fOBeZx0atVT94qIJBZDhTsjvwSmS87uDh3UT4Zxa1qRGaW+LBu8gmQv1D3QC9JCB4ENgeelbxYRQ
AepudSnSKVns8sAkW8YHfvuHW3Aj5AfN/CkOVXcVMWVNEg0PYFmd3pWyG9q177UesMjkDT+Au8Y9
xjFcGpCiTKc8KkwJiDaBuUsTMVxG3yP4Gs+3TiyH9VLm9jqxW9jOBr5/PoVcm83Rju9i8mXBBPoi
mTu5HiX0O2xz5hlXW/zAXG8cQC+TzCV8Gz/ItM0I2/ck6yIZVIc2hgy3qoH1f1LMEZ9qR8jXJm6t
+xo3EdZcLiUjAjU0heKr7cJ79EhWMA4O1CR2KXOSkZKM5B8YSpR2ArbDM/xpwfe5d455EhQsXGp8
tKe6bVeNcvMbK5nI8nXNzWDE3mGueLTIQehEsTcctYLyDuy62xK5uFMwXlOLX8PIs/C8F1W8mxXs
Nq9s6InRnMoi4MBrJN4jvVHQ4CIXzdZEUemgVz/AnoZ8Fyoe+bUothEUnuNsB4/YGfJHyarO3Tn4
gQ45/rAoMDt6COP3uTvlq2Jmk1adNa4UTxxq56K52I2OJ+8olGM4j+sgvhql1zONdHeDG7av3IPS
x7gpot95y82pa7i6iGQQ+8UIh9s0x9g7ukRJ45YOAFnP5q61ZfIjI1aCLW30bgdhFwS55itnLHc/
qnFYoTe3e9gl2ZZIK75n4S5o0D4JJ0E+xmpUurF7t36sQ3d4WYIAf68VzttGJ9CwYoCNH5N4R98j
hnZTnurFDQ6mHVtPRHOp8SV0UW7mBqM3qqxcEzMl0WRGP9OMGVwUA0cHFFhaw6oV8AVKo2mw21eT
ER5mKzcvI2fnnZktzk2GIovw4I77IHCLfRGHvIsdomm2ym4hC6mz6+Mkd6DsvDaULN5kQdOkyF5F
BOKw7MbHYa4Ic1qFsJ5sf8w2c6xY9Gxhcd6swnuIl/GNl9UWCnCzqizoDRCOvROKgvhtZU55W1XS
iXd8homx99GM7ViZh1gCqwWeRAFhj/cMKiVVBQw3+2wektfCS+qPwrfw7CSFvHEaARmkiB47O2eF
YHhnCHLyak876LjHMtofoaBPP92OfTjDb33jD7Fau0WdfIwdHsd5SceVk3O1Rp3NDpLR984bA30n
4nesj6A/YYIgWOXlr9JHNIlTxcUmJNHDiZIzztwr4+c4zs+Zn/VHESt6pTqJYQBf985OmacCOzkQ
Y6JkiM3wpmujayvLh4jUzq7j1tYGwQfvQAipBoXIwJNL7FCcsTOi4Osx64uVs1i/k5zYrx+yyOAg
OUCqsvf9UBm7ZFo4q0xjs3JoQYaZs6h90objvjFsZgulvdT4ip0YpM4+K2ccOP5SjnhHa2cT5sNL
NsZEJPkcHhyf4r5cZtcl6MZdNOg4wgKpqzaIQYJwe6VrMeFgG6qP0oFBPcgAv0S72LsoQWGWhdG8
Fq0rrgZr0s6kHGrFi/xrnu2Mum0z+aSAE+2jM9WpUcnMR5w+o8mKjKNKYuigUboXFDU8em6zssL0
Qx8l8XVnu35KPMCUqUUQdCjitZNSzITN5kDsp8bF5If09CYQHcOs+2zafNoFAhYB37GGGy84rGDI
Unwztq54t3EXkDvaE/OSm1KjehcclWvXjF8LZ5rBO8F84PfrzhdEYdHZ+501INisw8b5sJwsPvF0
6TmLhfOhK0bySm0hn6cgkCtaXZdVDPV15aU1D5wOKeyOTE2H0F6SPpk6cJ7KLg5ma2PHKMzlhKnb
fjUpBr7SSQpWxPSo3CyYrP+Nr5fnl+KVvIRDuK8yw16LMj7jfIpJVbf+1vRQ4znUaXazbK6NsKhD
hdp/SajB/Sxi/rlenD/7sGI3ktf6iQ8tIayh9o2fAzZ0qgEX1d8EvRpeAlu7RAqnfePNnEI1puwL
qw2XI8OCj1CzHtIApRz5wiF1urhlHXDEoHtKiT7f0fgo9rXR97dph6V0Q3zhZyYSTDQTNG6/xFsX
9Zyw+yC39invJ9LG/U0SRR9UmcISCA34FFmGVa5cz0vPxE/dbB5atyBkkts84itWi6O2lIRAmBav
7DrzYfBnsBFJlsJwTNXVFJDSusD4MVYcbzPiPo8c27xLOijCbEZjb63IdW8CEzRm3vUzcVniZkfp
UZTRGE1Fah2P+C6gkHHlpHX6CJJ+PizOWKy8BktMOrecSoi7HQHtMsBYZYqWIpK1u+S6y3q0OviR
tntPQymOZ0OQKPJJ9bPDyyPEK/Q9MkXknrvjnEMbqgvDW6VtbN72qQ33SwW0kymU4WAB7ORa9a+Z
iJA3JPEPZt+rTPzwh90AbCqXZlzTcROvgrpxIHQq6D8YvP1oIgqPizzEoihqXmcmEGr0pMq7MRKB
ZqG/VWXYgz3jh+14JQN+35LCGJ2H1pMvC7v82mdow87iAOd4FZM73rcwSFaDGM5s2GIf1JXchqLv
LnysH+Kq8Q++dJ0H/OTZLxla7Z0qyK4kHK+2TPK/Usv37hurS/G9V69Bm6YvLbZivlDj3Dl+dj8W
5JjxKzJnyLxhZPY6Uj4+viNK2kp+Rb1c3EapfTGXOYDWoMxrQbcJ6y7zFJKTw4rDkNVHVbO3TGN8
cPI5vfed8s5LMA9g+PzwW3mszAw+C86xxl1e+3x6z5Qi0IERksMoD4pJLzd07HbmqXHEjwn8fcoU
TiMmP+vOSI4zKnHbpeWeRBoecSIIW3afL6fIrHMytyD3uiTd0E/eg8Zooj2OQ1qds03ZUQ+Adeft
f05F/xXntLBcUPr/1Dz99DHVlN7/ryr5KP7Bdf33P/t3zqgFwZFQk0Obounr09+f1mnL/MMLQo7A
GjdKYYEN5PP/HotM17FA/ni0GFAg8Ze6M/MP/r9tk9ZMz9FXpH/BOR2EmiP6j5ciy7XICFCiGpAd
8zSH9C+XojjDeW/YWKWKYHRIoFfJnsnrEEHIR97j1XCKmGLXFUMsjGWxSqQgj5Z7d/ZSfXHzQYOq
+w9+K1jzi8TWJdXvRkY4KRi9ikgvFYrjlGx03D8aucqPkXvvljd5GOvCTLRoK83AVjSm2FRoLDzr
wuR5iOvsOLDXI4FlrAY5dci0clazONmLY37FQ4alJfWDDQaaBaJAhQsJFM4NAbZi5bttecd56yXq
7QgXUv0DlTg+YBgYjmPJP4i08QqATbqftbYU+yFkItf+FXa8wlv7doiz5g6ECkQxNd8h3g6vo+M2
ey6CT3j3aG3MjOs4VWqT0v+DOtasSY8xlrK2CDa5NaYhMIc6fEggjb+/hIKa99dwBqos+vcZYvNR
GZOm77FSdk58IWmCSlGx+4xNcuniPN/lqSgOnTv4O1qXvrgOdQ+t2XlrYH/hk++PEmrx9MhhpduV
OenwoCofpoLztovsATU0s266RjMSxiXaiAbwYyQNRlUmOqKRan7uGtPcEahXZwI97nMdeOemTpa7
sus9cA7mxcZE9iECiUhP/L0tRmoHJAOFz8XAqrqfrOmnltsejQZ5j7DIf7TOUuAaaL21n7NhZIIm
79nkMNTanbfpwyl8Eo73mBbN/CkEzRRVVs2g58rl6JhGsBlC8YU3d7zgluG5O0SCjL2RzxvXMdJT
bOXklltF5g90yLDBGr+CAsbmD0pueI0gbGwYjg/W6L8SFaCXskziA+mlfGXZyccchc05SGFQIy9f
mgWQgymADcilHjdtHiWPcaXsnQwrY4MzcCdgxG4DxdBW5jjcJgaUneGy9GDvE8dFGukdH9vkvuZD
wbsjwG0Z6kGY9O1LqkfjSg/Jrh6XZz048ws44UjXw7Qeq+kVgY/DpB2aPuem3v2NT4xonx7Haz2Y
UyRHpQJy4qZhdIJBGX3kqU8mkoFeMtkL+gVixajf66E/HhbYGtEEs1OvBZBjELT1qhDX47OvjOhn
PLNm2X9uFB4/e6OehrWXV+D6WTyUXkG6BciCr9eSTi8oLF/ZwdVLy5zyEZv0IuPplQa/U792zIIa
Br3w5Hr14bDF7KnXIcQEtCX44Rh0FITxlr3J1QtUqVepUi9VpV6vcr1oUQ1K+EsvX8J23HUCJYj5
BlZFtpTmoRcQewL+LZoj0dLDVWEkdWfUWqW3O6H3vFpvfAarXxMoa1f2Mr4R7Op+MM8Y6fWq6Oit
ka3Cehq/V0nAv+MjVXgsmPn3stnqvdPVG6jbs2v531sp0tVt44wZN8v+zWLr2NMtDoZZ77N5FAAb
yNtu5w+DeXGgUWz9/8PemS1HiqzZ+lXOC7DNAQeH25gVodAQmlK6wZRSJjM48/D0/VG123ZlZnXW
OXZu+7asUiER4Livf61vAUVcytXIhVTVtdejdfYMSorliCyXwzLG5zu6BRtww933OJYVDRjL0drB
oCcan/M2YwiO3n6zHHTDjFNeHp0w/bwJWMq7brHnSQPJlaY4G7ptMm97OzRA3HLCD7JUX6zl1I+b
BD7GFI37pmj0tuyZ2IQeMqDbaRSDpVqtWVQEPzYf5zLO72M3d87pojVMrh++Nov+QA6Av9IH2qrq
glnHolOgiHv7etEuUh9hdtCm/91dlI06xfOU2N1NWKLhBYM7flij5GRS5J28bgeTeSgaCVFJcMHC
wLeTg2ZcJYuaIhddRfuueQXSxdk5RTGdq0V+cRYhJo7jB+Ey3ckWkcZe5JrRxBnWsi27t02KZYJF
1sExAyAndi75IvkMinXPXWQg+C8OgVIuHlAg/L+xfItHD7t9SVdapHFHoyjli7bULCpTJdjSAx12
DiNrOQJfxlOHKsXOD2URE+NwSQmc7suW3gd/UbK0nfZPwaJuhT353XRRvBArYTQtKlhateb71Ki7
Sjnp54iYu25zYjRGk6gL+7+FAIuupheFrf5DbDMW3W2sAyS4PmLuwiVGp/tDohsWtS5ZdDtzUfDC
MaUmmu0ExIMp2shcfjcXxS+fM2vN5R737exQhi4WbVD+oRK6oClk5D1Cc+pv54EloEYK3rmS6kx8
6pxtc3fVWmmfrWZjvhddfZSNkDtnENnFnoZhG8vC3bqcYtoVhOnqtgxk+2Kmamp2ftvcVC4k5Clh
HJq6M8dMwu/Fm5qHnmA0WWJ7QSPTlSAP/Wi4VN7jpu5d5iM2Q2gAU5n7FpixxITJoWOwRma7hN5D
RqUg0KLabx5kuyj2c0d0sCjs7ElRT43bfZLlXczgnyoZ13yzYt5ZntLTVVAn+NH7MrIm+mHw3g95
0nJT4m40yRattWhTXtvoMaaXk8IodXSPuBtvucf7zTiOHHl8zICf87xIUkgYBtJHn+KoRrLyLqVh
h4eeNQKOy0DBTh0XWOzTmpkWBOpsSwNS8MCRnKg/L5OpX/e2S44+t72rmvzldyNtmeuSS3jxNU3b
+6hrkPrMiQhELZYHImdiNKssWiUBR9agAkfrsyk7EP0CCWpyQjBNtL9+XKaDY3UsoZANjEnjV/pB
jLvSltGVs+zN2j4wN0wX2ZMYctjyDT7WXaMObTMxKBghcBudMSFGRQSiSeiG9J10xZYYDWZXS+W3
5PqbC2uEv8DSu3pxsgA7bqdxZhjvF8v59ntSOMmliHG2Ki/KbkjImmJrjAm4xgS/HUEqzKOVnmjc
rgsypus8rB0QH+Ii42J8aux6eJr6oNiPwzywIpbdTaoHHC5G5N6m5LvWbmvVeyPgq5VRBBmTxvV1
AGHgpTfgXmdDQY5J5qxDvacuoRB6y9ureZrDCCDLGNY+vRgG4ggbnbXhkMcJvOpMfj1/xqIMjLpI
9fekHEBwNqPJxc2EcxPpzr3uXSzDbQMntIVxc3KmmXL43M3m96oaup3IUAa8dqLYMWXg1eduf0M8
hlEBkKRDhBJ2VinGKS/z3Be+dWIlk7LkFzGQRa/NTD8GblteJUVyqksnf66SfLhEC3qrE0lHJn/E
GDIzjJl5X2/KnGRJ3bJBqmOfcauVOu1lqCL/VdkpJTEil/cBDBrmCtlTPYCjpDQRYKxLI0ngzjSR
c2wnitepG9HBWDWU/RLB6iFolPbyS2WRx4lR0DdkMESAvOw+9jOjtVy2D4YN/ycJx/62y7LxVDV2
+6VXPdNcYKRkvcIzOFZjC5j9gjH8kdHXUpIrIal1oHcPfT4yji98nB/5As6lL4NUUnE/6v48xeHN
ZNZbVdrXtbAfx94FxoTiEglNc3z4PFXiUDoEIYbISe/K0H8Ls5m4vWWQXGQ/tu4nc3gTAWUGKz0T
XJ8qe8m1hx2+J+CMFtVchuVtmmF4DQTUznAqbmvgdGfdxFhwhEf9ka2GKz36b2qcNNT3rt9xLlih
GMF+y6pxw3IqtnMC2hYDFD7aNCy2TZhlzBHddtt0yrkLpRtuUi/qiFHMwKRVVRHK68KD0QPhsyLL
X4WOdXBm6PSIjYXEnMwvbRwov0VDN9JgHVGOd4iGjIReFS+iZPuSlfra51x278Kay0JXvwd193WA
zsOIxLwppbeqxZxsqJXBQ6YxRFcdzV2Vl2a7GpvtpiLkCFdhQN7L1nYY0/TGo9lqM94oA8Qp4h6A
OQpLRvqXH6ases4L0LG68ecrawwCSGrpte9CWQBe+9IFvMigiHQHqpUQMA2qVQLyjbOz8HdE/Eqx
VAdMzDjFGvEzsCNrU83iMzEpqwpzs76NFTjYaWq612jIvddywh2bV8anNIZ2HXgQX3sJvZGOnr4F
4lRi12EKSz0LTHO89G7NXkLYgsAJxA8Joo/3Cf/JjaZNLzKcFDVSNWa7eFrXaN5fpyiBuw/Gi0Zp
DkntlUhxyg+zX72qsqnwINEmasb3zRicoxgSiKuGEiuz0d8YvIaegZJn22gG4fa/Gsv/ncbiwq74
ba/8DcSA6P9cMNJ9M16+Na1Ga/mp1MX89w/5U2zx/wW2y1vEVcJNlo8B/7/FFudfdK27WHZJnQsQ
I4IalP8WW6x/YcmW/GfLNKXF6e0/zlzxL9t2BJxhKD74Y1zr/0Vu8eRSIP+D3EKGXuG4tBbtZinZ
/FFuERmR1ABhetUzW3hwvMC+q+1Jn+FExC/I2famhaGPJXbKvnlzkl03WM3Gkfy0UZAEHDUEM9sZ
eFbbEPxyT1VV4HfbkKTAWUVqYs8QO+ssnAi1DRnmmMDyXgqjfCM27+M3SL96RBNeLKhcZ0yIRACy
WkArdmrkgVFeW8p6GWcO4jY+NZQdvTZJ7K0wELVbWH97n9qFVzbbzeuQIoyQGGDJGMkVafoVtlYU
2ORWGuMSLZZ83xhR+Idk7Wrxhlc52zkRCDtzdCgxxrW6Lkr9YeN22CIIYCwlvP0Y4Hs6NUOfXQdZ
WNwiCucPDIbiYxurYZ+1i8KR+x6DatwNGVCZePnF4ukBXh17Pa4Z09aklJ8YTqxDjbgDeIltwqpS
nXEh0YhlprGSq4YeFyQm5gmpM9M8YwWCOYIoW368oSWhllg/M1gRpJf8+htqFh5c5uqrio3Qji4D
Z4M+njN6ktlij5WdOsRJYrxIN/F3siMMRDY7FJeaXcPK9mKLU3JZnaRuIPzY4G+InMb1A97reGuF
OKiTuDCJnDbzlTc7BgZkke91Xn1WCDKICkW3TPfRQV5r4okbQ3v6zlOu+9aSsf0cC5IozZi2BFMA
gM2W630BTt5e4SWg0psQDBUvSaIXa5Z5BLDX4mVp3PvCyzkOzl1jfxPJwDGabNB7GTBVB/PKlKCy
nY9R16TR06AqnyozrM4c76vrIO2/Bng97lUUj89gH6NHJo3hsYsaM1xZo4UTKjUBG4JQs0HElpNq
LlT8sHMPBLurjULn2Hp1r7+GJMtxgpnkI60oVIzShX89ZUsSDxmkOzjV8Kz1IM9Wn25Jf4XAkXQF
v2aiGA++xKYragMpx+rvc5zFfLpNprsMO/+5ysanrmt4QxdLuL9ebk9GQTur53A7cVc5ZHIox5lp
HXNaxECBu4CESBOW70HMcZtxZkSvDE41YfbW2eW8d6kcLwWqRDlBibkaNz2+amkHVI0AZ9ginFBc
2SS9+cqM0mGWOplMvr0SWQq3Bewf8u3UuqeturaMGaKRUDRaVst3kZVPommMk6UYH6zCGeqHnjmm
ZWQNtkBdjFd0EnE7aXMu8IjOEHFy5TDfdvEmMRLW0GUQaqfQMxlr2dOrNuGWI8wM7rZoQ2apKWM2
3pHETGJIu0xTLWLvm7wr6JTDOgytL8ieTVzHxOEzxXm2MrdZ4jl3sHRxs2ZpxSlcGGW74bzznSQe
3aGc8hAJeAQ9I6bqc67H64EA4Rs1bmg1Uor9wMZ5O3SBfCwtYmw90aRN2LXt2poodRqqhZSIWdp6
JFi/C52ivJpUoW7lxD5XMhm7zrnmp2aW5ZMbe+hDRu+dqc1x4q2JMx9DZFLhqWptdPfSCIkns7vx
aJt7SJ06+eIS8N71AyS61dIgRNDHda6HwWVyUhJvbdOcRQH65W7EuXG0eHjwYMiEbXKB4UmHX0hI
6R0nCZ5+gn+fwlMLP2M8sVYBWOiyaXyoWhtpC0cFhla370j1fkIolK/sjy0inJw7P4gxsSgMvGpe
Sm2FzyV5vKshbYIHK20a+hjLmMC9foEK96IGMm8IJRfXXxTgxeEoJT87ykpKLTkdfB+t7HGJfJZa
OgTD0b0Hzy33Q2VMG8ykcu+mEU+6ctOz6alwC/2426BFxRcgj9uRt+RezEb2lnPKOI9CfGaa8EBf
ldeyZiLfddW8TttWrYa4Hi4YM6tdRWvEc9Mmag0oJgPLGylYAdiH7VSNYPXCAuIoHF5Msj76v+LV
UM7TLrQLzvA20UlsPtnFLJviTmVEbPO2nA6BFbpbSq2gWHiNeerSqyrn/VhYQXJqVIwX2gNDT6kw
wm4ObtWqOYLSHKXvEhkkazsS5rYiWrN1XYd+Qlz1xlVUGPlhZmNLmHSpUuRW2xnB6F/M1DWuBpex
qIWstQ3ECH8PN/eD2fpibZC3+ug1ZT52xwsRUGq4htHo3MjM4RbJjWg6GIOMETjN5auiKWrIe5eH
qo6+ukN5lEQiUL7nAUS5wjnoGz4du6PdPOdlI548V0Hujg0FDS+SWh4cwzHWHemVfVXZCrYekUcW
8W225GhkV3lbnJFyFSeACIMCG3U1hrAeFZovYAF1VVND/WK4VEmENGw+Fa5IA3DMC4GK9MvorT3i
m98cDsz3zoiFoRo0Hfdp1r2HUV9jB2/BPXdz8lQZVX2i6cza+A1zANla3V3b9Idg6psbbkPOZ6G/
Q+a7cnWL2qEIj78U2mqtVdAQOPBN7UEomqbwMck91GSYnOFnDZ/jBjwWRwMf/XeNf+vdM7DyWD3h
/3Ws+/A5DEy1GeZ0bjjTzPYqIWrx6KbkZ8JRhG+yGfy1EZNGhu3p4Nh1BmuHjkFbalCUe6bIQb+d
6FAH/+J6NJYiW4DTdD503HgPCRL6kXhSBKQO48Y2VgVR+TzFAlDJIFc4aDqz2shKmE9+IdT32QEk
02NZOROUSe6Ix9J+zswZbynihl4jr4oNggBQGWmEB8tFBcCzBTbTxPIjDbBZDoFwcoh2cK0TWe8A
UcS3MrKBsJlW89UGjPPdM2FCV34YEg6lS/xk9n5WAQkv6i/ZwIlmRVA6WPYUcfVQJn5mbKxYzAtq
1g2j40I57Teqk9hXOrCgGJVH5+QotInMEAoHkXtVBPh8MGqU7JKy/FoATdiKbjBH6JzsFdnEtDyX
5Mo3OPfjnYhmMAkjqDQ46u6wB9iTvLtUvZ1yjXBZZlBoVlblWc2WE7aQZJDs/uC0UOZ7vHTPjLRr
TmC5dbGM0cOL53bPOqRreyhI7Re2V3yMnJa35IquYd8A1p9kdY/bPrjPVUajWRXr6txlVPC25fw4
pM6I/0vExJgUIEl7Cj6rTPHYZ00Ai9tvdkbYWUe6OnuqfcqOmrfRmIy91WXfshCysENlKelmF0Np
DZkyybT60s5JeVS8j651kVt3neNFRxhzbz6wzYeIKrC3NC6QnSC8b1oiczzCDvCXOoKhQJpXqU1n
VcM6Z8tYTEPwONdCAkC0gU+aAXZTdLU7cgHZ2rdsxk82nI1pTE9RpvUFRit7CS+dHnXuN0TWZ29v
humVpmPuJB3fuiK/YT7TzYW/i2tLDtnKLv1Q9i8gpoJtaKqerTRNHhmE2E3IS2NgqEQjY9zE4yVV
3lvqTXcG0vieYVX3mpqdv67L1rudpiw4a6GfJqf02EJ1Ex4Yja0+K9tsU7rVH8AXRG3PTf2vQ5e1
e80HX5tD0dzYAd6GoKNsvO3jc26CkHMjA05QFT2bIrBPSndfsabTFjExBQ0rrPbBeD2NlbvphN3e
pHOdXPl194g7rNrkRa3fVZzS/WNWjMuqGE5A5cHt4CH9o6kp3svE7pkhdKG9dXDOeAjYrPCOsuVX
RpTlgVJfgVVGhCSTM8yM+DFtP7ytMrffw2qfjxZc7aNZzAz9csqTWjfwl3y/fWX4RbBNAsM6tm0S
3xl+6Ny4Vl6u26jSX4bM6+nAEfdQeOwzM55xk6jlS+e4RZVVZJlHjXXZx9oypzeDxonbMIv5lE7V
3Bdz1JCf67A/K5Z0OsCG64kvd9UC0gJNkpjulykjOmQmjoxwnM72a1Txx7WTB0ah1nikPMdHygjF
oS4D54HxO1gKTnAzDWdLr1FND9vQmB7v9Xk6CvAwb+y3sE87fkGEDi7UyiE4wkob+XfCopxjqvru
RXpMJHONXXeILFJAdQK3Xco9CVYLC2rOsDFsVXfTjCW1EcUACMlDBseQUk0PtkAxJOEw7auFXr5x
M/nE9z/vJ7vLecuydQHOaK7LhGTfnGq2kwheR9OSh9Do66+KXqiNU1tL0LEBhihdWp0gQtzlbv7O
4Vmwo8TZ1KHI0LreuyeTqThT2xKZGGDnyhiC7tT2t2bMlx3MAjApXHPmjYtMiGdd3o+WWrQ8f341
CzAGsuMB4LxSX+aOBsBJUzEGvu3g1zrbVmbbbGYDyFRHDx9Q0uDQO/MhhOy8wyxIGlaMFy8B9FPQ
HnboywWX4GSQsPoEJnlc7ibI7Gv8WsnOo8TuK6uC3pUVOJgOCzl18E5OvEKhUtFa81hp9zZUORwv
PLvbIKYL1SNSQbkkpV+xiYypKcI5eCLQb1Wgb+oyKo4yiYa1qXzu3gQK1s5RozgbMmg2Skcer0dO
ZkXnJhdr4m0RmuG7qQ0CCNV8m9AzQsNmmr8QNeK3ycdjlxnfQ+n3pzhna9QwLL7xZ4VoCU1Vjdkb
1Un+jtxJc0iId66BvEf7BMMYaMz029h2nwzxd/8rdv1F7Poou6Ktp8s3kgfFX1GMPnLT/xw733+r
8/di+vkf/NtA5PxL2JAVMBB5FruYRTT600D0O02Lf+SaNJYJ7EOmZf7FQPT/V1T8C3pRoCUgZfmm
qxzPsfk7/2ogYqdCn2G79IlMQcjhu3FZROiHCMDaxHJ06rPrO+MHeebm6i+X6G+YCqhyP2ppwuKq
LCwFQjUuI/YfP1nRPpoYIcwlgul5gGAhxNeKOg9FyZKeOurf3YXFjnH0W5N3SL+//3hzgUr+oOUJ
Qm/SsW2fShziZT9BJ1vZEGlxk3KN4lcyPU0y+tY9lwbwkt6zp3Yys2+S55TJS4pdPEZpL/ctA9U/
cQ5QFv6+KnpBR/z0eyiYl9iP+GW4PZbr9BcLVy9KXhOTgWMigW0i7DT6IukaRIoZjfgf/uhFn/zp
s1wKXVFWXQf10vrpmutBD3PP+HoNS0/2j7waPJyTGKLOSAFc8750xn9AZ/x6g9nKwoHkgxgxbUf9
dIM148BKRMpwzZt0US0akkdXWdszAG0xdu3rMRb6Rs2N+Pr7L/jvrisQOGEK0KA+MvCP17UpcJBY
2kwhcwS1S89MEiRHezRI3Rkh+47ff9qvdzMCNCZA8A/cTPKXbxGHTTemdM2kWeacmrwBl9CRpZpH
NsC9ifl5mjn5M+Ms/uE5+psLjCrOk4sBiT/U+en+0V1r0xJj50TZXOfUJxxAw94UmyxMPgkX+Ffp
cl/9/q9dvrSf7iNMjxbivcc3Cjfmx2s7zkzLcIHnjOAd8dUxS+7UxMXM8/uP+fUrlIKJnYC7wT92
FcOGvz4ahU0PhKVHGp0YG4qVkS5xIWoZPkFFcaL//Yf9yngRXD4+xnEka6/384IAojAtKstC4Epk
8qyYAoc0ioluj1zQNdtRuzJFcI8iXu6djT1maNvWW0MrZG5cLoj9PCqG6h9+rV+vAdVlrJLMNgQv
EPOn5yf1sGcTemGUzNhsOgnafgDA+elwjmP6HX9/Df7uw2zspKxFS3n9zx82T0JGY5ixJuqBBE4l
4r0T2lG0auSgX3//Wb/eQ8vLzZQouyxJtuP/+OVyxJPEUSHfDnHn7+1k4B7KNWmB9e8/59cnU5ms
8thATb5V4fx0AdvARJmj5mBdDzQbJZMBkW4YnE020yOwch0//BB03jzm0LCSf/jsX9dbZXL7StzD
rO14kn/8G9uiCdtRL3UFyuLt1sUzIGHmreR+rMSifE9bvHp+//f+zXXFeyAtrMn4j395aCqTAweg
i5xEITFKmJjZMyuvt/n9p/yy6vwJROJNwrK34HV+/Mt+AiJ5MgnOQeXJ4x8spFF6aHI8vH+OWv/H
V6X5i92ZtRWx3V1I1sunLtf7L+/KsjZ6w+5Hqt5QL/1TQOT7wAFBr9Immr2Dkc1TuMfYlZFcKjtu
qAkwx2dc5MWhEf3sk/JSqX1Iu8Sc/+Gr/uPZ+GFN5It2ffKL8HeYYv68n6E72W8nmBcchnW599Ce
+n3iOsSmTAunD4p4cqKwGLxeHvpU92DkYMyA4SKe02+x8ivcnCN56q1nd/E/Pde/PARKeB7jdMta
1jhX/nTh+pGUAlG6eU06lGBM2+dvs++RsIHoGt/jDjHEOc4Mbkz2iWwDTcYA1naaLYXfStsvjhqK
g0WBs9r4YW8dySPiJ5M185pNAyVxQqHTLMnYX11A20mHiNj5AxMOvkaQBZMuEKJqbqZ1j0Nt3k0j
3SC7ASkHWc6gDmclAc80K4FueMaB6H2Dd1OMhyZwkwRlH/8y3AGP/w9TOnKxxfT/GE5+h8q0PFtI
qZzXdTTyS/hdexlrM74j01jsrDxOI7rGxuxDgchbOGEYKLwRc/EatYKfGBv9eEckbml9Gm1M6qGs
ihVoA3ZE7Zx76SuhvZGOApsx6u8fo5+/F1Z1xdKn+HJMgE/ezy/SLKXuC47/2sBvtcPpSXOnRNbp
/mFRWN4WPBt/uT+ZVvPzGQATWGDe5Mmf1sFkJBWNtcYDkh270bthGX7NMHcqEbRETOvDXEN87Asz
3s4i0RDcWvsuiAl0AUGhnwB+vX3tjovqUoSchpE1ojvKOXZZGl1TgwSzmyl8uhqGRK55pwWXOWVi
uLF58BAkclwec5Fne0aLFobSYK53Qxu/zVZvGNjkYDs3Q+xuSz1k0Py0IHg5HcqxSr6IGu44VJx0
eIhlD/iBDQ+DO64mjCJt4YedTJwzblXdL0tiDP8gkIcgUPqO2CGZpDhOk7X2SrfeJ1iiwNvi7imx
0Qf2kfVAbaJCgowIlCpmUkYpciuNCOp+0Jiq0wzFOzWEC13IEPUm8I1KkxnV7j6KpnEnlVPTNg82
8QVXzpWWdHS986Wba9m4Dq4ZfKjN3mCmQwkFbx5c6FnePwpkAkQRMguNxlbbtVNyb2JGBJ3Nb0GT
eOUa7sGfPeNInXKJNJA194GY9KViXPTACCX/Jok8YHGMKoaCcGcaQq3Y2/aob7edryt7X2ce3dMM
Jf3vtTbrkkfNcL4EfTHSaghuMsSGjPra2g3In1qN3R1B9+redPrsyuU+uS6qgFhYS8tY7VNTbENL
4OKLm2KSNVANI9nHHtPntWEyf2WMUeEgxYfxLQomciSLYbTtBv9LzR11gcGuVyWTKSZJMXVy2WDa
r62oYKD43rwqsuDZKQbrDu8kBPDZ+jQTzFl04HmQvGcDRw8ezGnn15kvVqFU1nnK3eREFsy5aN8c
agbhoUuUIbGhbsEb+D5OqvTWJT3R1h7gtpneZIH+UJG7VDBBH6utYdr3Y87gQs4ZSp9nm896SItw
D63d2ulEi3srkVimhDNCa9L2UgD3UQ+Ltc+hcx5c+rzSqd1dVKbbbUZ/3D6gyi2Fho0WJssEdBg3
Ysu8l0ZZMLpcwcQwXNJiRnukEKEFLhqQXaTYr1aPUG4eIytowyOHluwqxUgXobvG4HjJJSTbuZ0o
ZSKky5VM4cPgjQ55jRgyW48o6Xf5bIg9/cpi05lyPlODOB45ZoNLq+PX3o7gAST1Q7DEYFrcU1UH
vIj29jpxnhNOjiuuqsMAsLiaxgAwM+/x1cDCRcfLALXIyNNdVnVMs+fedz6txJ9Bg2OnzsAlFeOt
Lps+wIccUp+aLmVeaK+YQ8huzulYb3sE8vt+NI1b0vF3UMXAuVshZDMneiocx7xSfvigCRved1MV
f0agCK4KEDpJ2zz6sRNu3JwWgNp51+P8nqqavDGVd/0bu51PX/JyG43+az1W8gstdIAgOLlcjbNF
g2afX4Ae3QJsL074wIwXCHO3zqjwRYTxqzl/1kX85IVYLRiyrGdvOk4iPLNIkZ7s+q1qm301M2ry
qTbdgjJ9DUMfVItj3ZoGtLTW0bukmJ9s1Y7rXIyn0B3PtFFmvE3BSRumvafC6ns3OUx1rFck1K8i
ip98PHaUb5WA2hkWgsoa30EwdAk2kumD/d1ltOdHT6T4OuCqrCzTwOaggaaXRU4cFtia5h4DLbfq
a/NSBfBvIl681yW+ltrU7crqR5cxQhJuIte8zeTENzRTPh0l4TXbz2wVZPBCYu2Sg6KD8QZGMFSE
nCyrSfMsnyCcI0gkAWh3gHSUUzTMbHZdUZF+g8ZKSqxikNHamjFza+NxSqlWsJPHcHD3bHVmNghO
tR15Trp4Ge7q8MGyeYa8osQQLOjLGqDrWPE3D1EbRtzseJu6siSpdtP5hA9vw8PLjfGzzZz2i9Oa
xTHgObuGNIWzoKD4Xsf86gu1wND9bdqYmEgNa3yQRt2uzbx4ElN/mlVdb4mjc8ggGLq2nArk3XzF
buI8N7hy/Aq5bjY1fGdfbjMrP/Vm84VZ+7HBq7OPRxqdKcDc0uaJ+cAmze44o70JKS0ExwAjgrLf
J4WiSLm6KfhicvVIcQaY9aZ7SlpzZzjhfcb+a4VKMWLvHu7TxPsIXRzlrLEh8C+n3Woj+misENeu
xYpYFGpaKYBxODOJXvkQM86J1h9WVFP0k3pHv7VpjsqK757R0UpR5vF3jofEjLNAbEGkRZ84tIsT
wb18h1SfPUinzZ5mcvhbaRFp6jXeUKELzQJtRps0THdzKvbsmvd6sFDOXeubBc2Guw5Ro2um+Bzn
BcZ3PeFslrhh+oe80Ndtpy9FMyZfxrG6p8vBWRv42NaW9j7MKSNVGGX21dzXFnrWRIYFBvzKrChm
yiC7Rm18M7M6X+qqvwinZPwxQMNzp7Usx7Nd4bN2NNm2lMOFh//fo10UetuxMpzreezvrYiK0K7r
byyZ3hAFegzmnh0nqsUhHfrv5dyWK4Bq11Fosm4UxXVvdUxSQqxi0hDfXdjt9IDbln2Kbbi1WJpO
KRT3VZnTomRlA4WiIeQnuqvZZairoBnvbdrm4A1xIZlc8oXn7asijLhRIxUkLDjVyiii9EaEGKjs
xbTkF8WT3+YfnGwoPsOKBbqGesRNjfDHvThLMDhquqma6djWPk1snf/KAu7gLZ7fgj6OaYaCdbEi
Bc0+xQivzdgSZzlmmnnqUn46d/dDzk2JdEGDcJpNqygOFqNs0JONWyroSorCiiDZLQX2lUj3EUMb
W1JegTKOrdrnTU5GZF3r/H0wfGxDZENFbLQr1AB/53UtjZoAMnMJWa3p7duCffR6YIYKvfPaJcJB
VyB4N2zt74yZTvCJx9s0SLF+hXJhVmLOZbz70ms3Pv9ZDq+Dm7LEd2QiMCxt8ALnoAoPwTD90QQv
K/NEBzOWyGQrvJq3cVF0wPhwIoA4wxP+75L3uI8+XBVfhcu1xab/6FAVBKtDqqvBqeFKU4W5qnJk
uNrKzA1OkSWT/Zf6doZbd575R3d75UCGGKtm79rGc8CpbcDswSgMO7gi0wWPW6Z6g6LxaWV0Zsbl
aRbGvhZE940u9aHS/KdzHVX5SeTBZ1KQvvl30brEBlOW6mFw8tu5wUIJQOIVKwhun+GphCERdbxh
m9LcSghgO5ISS2dmdod+mu3Gri+3Vk5XxX8q082Or4Nc1KYskuYmSQY27C7jpYj13Q6Ggw9UgUCw
vY8ckgfhUD9UFVUuhqF3HnoaNcHLhsegt7P13BWDqmv8BxcrVDcyR25yRwNUWAuxTKTt0Z1sevB6
CRI+C09QaIt96cxcoNbAiG+4/luM2rMNaMBeXgXOZvSnOzrhTiDNSRON/U1flB9qYrrKDDC5Lj12
5OymX7y8ulPeUNDt6UYHx4p5anDCK6IztWXEB8wDxlPMqeQx9PyvROCQi9RVL6qL5xqPDra9tkEg
HF35PVYeronZ5uim1Jvw8YrGLpPHQVUkhO35TN4X5igvAbbY/Svy+nvXemqBJemtS9uBO5jWit6a
XblAPCGmJEcQ/I9p6D1EEQjBEdcDnuR7hWX2RlhUEMzl/CYH41i3GoITjNhNZqvLmC3UhSYItnmo
74x0Mbou1IXEVQThwNQmeFCpXHIYejjZBtH8Ng56epkZ5+8Yt9yXVfI1rTuXaofotlwgCXM7ZnB7
muq7NLN7+jlZ/NGRMDxicxVkFquJMmJ7uDdJE0Ibnewnw6Q11RpI0GVBiJvBbMZjP8y3rXJauAm0
NjhhAkS4mnDSeFH1nuTdNWTcM4ludazAFmxsTj0b3lf4CdEC03NQxPNpjPvXtsjcNUEs1jm2IzNL
6LXyobsTPHaLQ0C9iAE9gUG9365xmN5WbXBLL/px6LsOHEPi73XZ8taZFFkTOaSUzYHGNb3Iws9F
eE5Yc71NbNqbmGyaKz8hUzM3B+WNLGesLCtRqe2UGwW1lsBU0D0wERZPZW58wwPk3Ymwic7Cq6Zj
qSprl8d8zbiwjW3mDuHZ7qvdYrWKBov0LpbcvuCD3czY+7niCfJoqae44C7x/ou789iNI0m38Ks0
Zp9AegPc6UU5lqF3orRJFKnq9C7S57PN7r7Y/bKKlEg1SfW0BsLobhpoksqqSBMZ8f/nfCdd2GV/
6zXVLQkF5bQFbQzB5YjZbCZXCNnKDuxjVV5k4FomqFqPtcGdOwbuyqhPDV5eLHKixL+sHeuaFEB9
agzivJCNuz51zuCkLGvUESthc5rAIXeQ79t56JU3xF7fKEEhb5B3XLS2d1koUF1pU5PCEnyUm+KI
8F+YioZ+DHatw3CsrgnHWg9DN7eLHEGgYFvCDoZX9cIHjDMhVmmUNR+12LuoY6yIWYXzhwzt1DYy
VZmadtofq8IggaFxVkHiXigwgKeNNWpnW3fl5BjskvY2gbg682Jljp/6SOoim52y8keVd+OzmysT
n5S5uRVb6AhjhcbaRLgY0S+LrNFGQ5YaZTM8LK25kFohCF02WueGDWN15ciuH2PhlKKE+IAcYqQU
hm4O1gjHyakRs4C+RPnHa7qvnLhcGuA+TwqClS86LyuAuDZMfpIoWTIWWqCdqrHIqGYFlS6Rhk7N
Z+plhvqZSo5xK+FjWkqy355WmulVRwp5orc54sezPKChj1g4kGKCGmv1HF6vy8taadCbZ1oczwli
J5qJR8qGBVi20GZq5TrbCxVro7KuUdj55ypVZVirPZxF99qx+wsg4PI9jkRsPPaW+Y4E1f5eEwOg
LRiipEuHa9PrY971Pj7ahSzL1ceOE8QdVhKcReoVO16/uTDUBD4f9SypZLMQ+ieu5F13ujIZAPdP
uy6+dNk8x0N9rnrOBYVgLDqiradwoc86n+wT4prCE7yZ6AU8t3TvDT+MzvwQn/HIkQ4zGUIBAEuS
x+4LYVtz4oPaFVBQEElR1iKsJ4BhKkvcu1Pgx+1StN6aeHaSzxDAnoF92TR184HQg2xSFnIN8Ez9
mNr5rWUFFOEwvFKx8a37sDMk9hxgDWhTDZvAwUAeWv4HHw4n1UchN8uEuQSxv3Eb93Z8RXrvnZrw
wHJvZAZYBOhcEn4LvMKAiptRQOxmaUXq3oC4E/gxokFEku0sAUBslc1K0orLoNbOKjzTM79T3Q3J
MUAQwuwIi1F35edS0kCvrtMt+zLvvkiFfR5DJ1x0oBygv2FCHYIOd2UlgdBo20sKlLDM7LXfmsN5
16D5lITXH+GZZz4LR74c9txjOfWMKx7w7QjdDljNnz1jbYcQ124OeG2Xxs5VD/prxWtRTAQvVtRm
7PHIwAjPrSeY9iCn0tpWrHNPC5EaO/UBne2jObnd47IHFm3lvCxt+SZGHj3ZI7Fb/IE3zkABwQwS
40qBSUG8heKjusbM2lWFM+u+MK5tfAkPRmM0t/U+wKPSbwtFtjc+MhSCQSTW4UYXnsS2i0bWpouO
wlWehAUmR6dXN5gC6mmXG+SwP3Gp67J7CK3yZM+kxtq6pbN94FG3RdZu98BpnpjFnjat4mLd7BHT
osiTFazwemUTQLUcrTfLLDeaG63r0Q4Lx7zDCaHOCxbRU5ZSykJ3EgUpgVrP8b5HcwId5gGlIdIE
e3WppaaN1xbKLNK+A9LZbAJ/mqlaRMhk2Sx4ACMSQJxmYhHKNBF2edf27R+hli56W3PnIAj8Kekk
0OF9TZvFWV+GRyNkK7vyhJxIs0Q1xUmFIRxYnNbIN7rh8l5Qc0DGnhOiJk97Ciqm3E33oGQ16OQj
zEvUz94AJVeYm+JJIbpm0ch5uexzw5p1SasIpvdYWmW9GZ6KxMzXgYfxDtJuny0yE+Vzb3veFcRK
4yQN62MpIVrK1Iz4Y1wF/kfIcWg0lZJcywQp3FaFzLZwKBzvkEcpNAm0DjKsF4it44S+fhyWrj6n
jz5amUWpPORjpZn9UkEQuFuzUOHZ8fRpp/ohN2RvODYheFHPchEbpqktoHUg4MfVXY05YLAFrItM
DtIUECNwc0iRQlCpkKha83xjPETUFjrbQW56k83J4Dv7lPrcBTAZiGzVuBXhPoNMbXetVHjOd1XV
Njy9VQ2Q3UyGVHwKOWZ7pzmCd4FC8rh376iYm4/loTLBWiY1Rl8cPfFtCdR37EqQCzGvYSRIk1C1
c+TkDas3WNcRhRSllkeRt6sZK94VJiR5y/SCKznRzXsv8cxzhH6Dt7T27QSBiThcsTwFVuwkabms
5SC3L2IyWhooFY2lLdyqjOB9Y9r9kJkxN1UamfygazoNhzvG1H0hxJLCta92vZj6fa1pZHCrIEnX
I8w1OdUKvTuP+zoUOPFlbek3DWYpYfiuNa2pO1LPFkkv3ydFIk/JarazXaVKpX7WN6aezEMjIQGo
iVBizgqvlboFqCxIIZTlYcl1vilLc5qXiQOoEeTDBD28E621wK3seUhVdYZLYMZ2+0gZpIte76jI
2sV9YllHmtoeOW1+2bVRe5eFlJ8d5UHCRoaI/gx4F1rIEjJslYPUhwS2RPpoXAyUW2d26SvQFPyP
Pqtav6l3dkWmXmS1w8cyJpXcphrZlwheo4HaHTsu6g3zHl/GrOpac9aHFFzGTby/0LPcYqv5SZD2
6U1lU6Jt5JWAFhv0TpOGnOmpJz4Hjr1spPaT4lXmaWY2ePudDhKEV5zxT/QrSubRNdAK41ZW8nBZ
G929XZGCGo5W6ILV9pwtFGzwuFCtdcZ3BZlq2VxiypRzNORYgYGS47U40uUqMy/aOLZhHjkNs0En
zB69aAMqkYzxjkfELBLtmCid9N6DqV5MI1Sh+roocalRaxjzZxYQIsJ2SUYsG3rdiKAcpz6p7SN3
j+0J+0ZoZboKmZ3Aol4/hgfbZ/MiR5o69QVQhLnWFqYFKV5CWZulaposuGHscqE1TSdvYH5KIGzJ
9DSXaobRYa5LSAzcFNv6idJ4srlpMQpmKy5vMCxxVKnDzO0qvrdlQUWaoBmhC4uaw2sRVoKiuGDF
3HnXVdzH2nHUYc8CuCLx355ZCG2wnMGZ0/ISae2QuseC5LVq0aVO6S98+I7y6PD37Ekm4LsfJwro
uSuCKYWyIQiEpHTA8EO7RDgZ5YDh9tNEY4d18qkxzSI410myTE4iyJnpTG7rkiwVLffKYeJA95BO
HDNXgyVHdilgCD/eKBUKeoxAxZmnC3ZYqkWcuZEl/oOtR+UZ9zDQQdFolTTXECq0t7UD3VgTHZJ8
R/LLJdZDVPx4Y9zzSM7FEh1ZO/Z8bgvSNe2Jixd7Jlq6lx7rztPBS4MVvbg/HGv4wCuVTRYL8E2B
o/SMybvaBLq5SRs4UtjCzCPkCqPyo6WWoxnVUaJmA3ZmKHrE8epTpXBYG6V6u8K/6U/E2HzvO/pa
U8Ostc+1DaqOnrl756YquUWU1fw7onf9dlG2iJLY5QsRLilBs7ZsiJY/Ruvts6jD5b00Sq3YxJZG
IciPTec06fpuqQY2ctzaCQ22ISizXfS2IRCwnpV7ArnmemyrLGrize46EcHW3vsICmhQ81oYjz4C
T+kvJMVRL8B5tcFRa2NpsySSbAZZvqpVoCZ7HwHyDMAbr3kIABnJxfqleyBy3OJKFSq7GgpyOiPp
Uaf/Ba+AnEmcU1TCrGa/axHQ00ENpnRq1fuYKgKNM6tSZ3sLQESj9RYSa3YRKdad1lLYaRXI+EnX
uBfEO8LDHOX+iXBlZoYsnlpqmp/YAtmvGDX/kVO34KYpZ0/IuI3oTpZRsxJO9Y7K36JCye77bYU/
Ur/VN+p+B6LpGnlR/idlfySICJ080/KTNO0Gs72Mv5Z80Lio8fEWllHCHRa1Zr8lUC1sAZ086fMd
Gnd3vt5X30jzNWUwzw6q/NpLh7VM5/gvqfJxtgA82QvyDaFRKHpVjK9lZLEedPgWOgBQx6MGX6kJ
f0hCOZ6bCHU8Jh70975r2oCnoCLjMoBVhzkzZ161XyjuJcD9g0/N8Jnivs0Nmer+KLZvhG3PVCzt
z8T2NCQdmnq+qx75scqe3ZJiYvbadFiQilCcHLT1faidhlGzq8FpFOyVhhV7Gm+KsboKZloiyauv
QnripY3NVxW9XrSBNPkqoM/LHGOD28AHUh3ZuEw9UBF7zTw8MPuUAg6pKG/L5XszrS4EXTGWry9U
8kUcaB9KxRh3buRsrjz83+UEO7t1+VUPDx/cWeaEtS/r0KJCFziz0JazNY/sigzG4SNqOqraHrVH
OTTFxV4N77PsZ0dbhtFVrbXKXWuAPjKigKRjTfWp45jqmdo5t5E51leVJAmPagPQhZyhLUCO55Py
5CTs7Up1GQVgekEL1+cDSYAsM2KXt73v7LTWLT8nUbqLwxQZP4T3bROq1mmR6UU5yUcEj1XWfA49
PZrdJMjREofGSZQxe+B4jeV5gQOvmdDcXuiFtOzIS1hBtR+olhprVW2JxrGCfOpk/UdM6eEcIclN
kkQPRoXMJJNA/PS5PjFS8osMh7TPZkAv6KoSa6LCJGwQ2BjOxmRc30hSPEv7NIePVXbHEbtx+Eud
f0kpPN10AJwaVs6NnQTmLCvZTkg17UgN2e066zCQTYyeLbOXSL2/KUURLJym8TboPCouBI4qhzzm
4yihhhU3w9UgEwgZYcSaN9zEU5LskFLJztyr9WuLoMwEvdjCsBVvRkNwztpLuamUCOdiEK4Tp/+U
l0o5tzk3OynjfRRoLdgnU+tvBjtvlUketEgGge73xFB1+LSkIXHg+7kJBUurD0aUechc2SRlOLNd
NgZ1y5tsUhjgRmKJbXVGWuU1EK9qrdYtGTq8nifCr6OlQzWNInxXnpWFTUHJgrhMm9jf2JGVTn2E
mqfEkVJDp+zc67Z8RE2RTQjbrmlqayj/HBIvwyLJrwNZQq7EpEpm+xhawFtwoQ9qOO+lxJrl1F5O
PMWkFiwnlAQDpZxivXY2VSp4CxqecSmT0Xo89HVxY7hsYhMqlXcS/tS+l9ZZX8vqDCdidkwVeypX
4lNQG8l5XRvOxgyTYK0qhrIshFTeENGubEQh28eZVxSfKR7Lm0AqvI2iwIpztQB8jQfOAYWX5M6Z
z+g60Caj6eMR7VmFyTLvERE69rhmzAbyvDoNNHWc4g1RJaOib2FU57WZSgRw0rbw2Phf5wAIzl0U
p3MsprzMvaEbMHbH2aWs5lubkOLjMuZ1uCj7JltaOTHRgd6HgNv66t4BRwUtRlCfzk1MU8RDAJio
xUlPmfvSa306wwPeamXaUOpdSw2lxnHJSAcoa+ZuoZDrTTLkETUTZW21sTTxXUYABgAic0tlcxHF
ZUlOROfkE9H39jqLiOKiyZ196plpuiVPtXMlsgjKd5gn3cy3Snz/INazZd8pzAFkKs175GrLxOqr
+RvRno3ckPeOxfgx19OjpqJO93GeuqfKf+yjPCvBmqzpfV2+yQ0onq3+pwDPsLCTk44t1sU7AZ6I
BQYs+DTHXg/vbCjjZ6tDZKfZeAr1a6hv+kwi0WRqmhUZO5mRpw+9lvr1/LUczg4SeTytKnmMC3Qa
uKYEc8vO5FnqJqo4AEr7wE3HVMpN9TVrMzYGNGDsG1skvyRsltVgUU8YEHKO6ZoR4QznhDHAn0ta
Zj+zRxk3dSXNPiso6IUIaBSBBRJNBYun0Bwhjqk7ZUduakuiZGAQ5gmhDp2f0fLQu8bIJn6TK/1U
0WtvJ1chSAdyhaZ57kdrVUuVe61si3XlDMwPhtbRxdCG49yhB+gBpTohKR4QyjDc+11q05Gn9x0Z
zGNtEBxHGNpPtU4mICCXWmz35rhL1rPPut2uKhmyYOGEJ5lVfwy4yakmdoE6DTIf7ltg4Nru9IiN
TZ4DbUN1lZ4ZKKY8wrAEsx6r7SUw+mISqAGVpVoLCzAWboYhNCmCidknGWMinhgJkq1PGtN6oIwX
LATW5NKA/UKobjmGBYwo/EimfYVFAUm2OZEV1C0hZfyF34tkpbJpmGqd/eBYHiIHxJTgn5TqQygp
3sqBv1LO4qoQS8pRhNPCvp6x2ZUmPSbzc843OiL0eJuoC6GTplhRFwNGnEXkA3mSBi6S5Ff5bKCL
IW0ceUium4y958xMWlvhl+nJoCvDuQ3Onqo8eQDDmnmVHq1F95gVFEUv+qM6zaBJAp3KnndBBZbF
S/H58jt5XjJJ00BOCpmKGRIVNiTA9kxNg9Utt83Iw/AXlP+kGtuiftnSZlxgoaA/ZOmIsDrjU6MZ
Bil82AmnIG6tJTus6m5Ig3apaHnMwsFOCQQqpfwOvz8N1TzTCVoyJLSCluiTk8o1wk0rd3wPFn0u
PS/2y14NwkRqygtfo6RZxj010DrNhlVAAfa7oss/SS5HFbYMUEKz2fva38i/s6yudBJiHuX0A8iT
btomJkmRFOYR9egsEZizxl1nBbS1hxO2pVlv0QiuSoFBxmEXvCTTNuaO7VIErsyG3blDR5LVWNiB
zh0qrVZnkIJ9aZdUPc2ZqM6S9qAf/n8TOfs4kNm22kJCCar+ot6NNr4Sv3P5BNieQhT6vP91sCv/
nT94+wC/7faftvr8z3/gEHzxd7hTd4ePPvzN+P+/bz8nQF8CpLLBQ/U/47d+9sv9/+MZ23/Px3/+
OLA/f/UXn/U0qKcfLoOd2IoHv9//on/8lqfbZPfPf0y2BORKH/73X6Kqdsn9TnjPbYuqoaHk//ql
/vmPF1/5mbj5vc9YbpP7+uWBCZbUcHj86JGPs3Ynfjuw25+ONp59lcPjDvrRw+9RZTEZwtL5Nt5W
Qbqtdk9H3X+MhW/u6QfjJfp75+dquxXjpzwdaX9om2Dupx/8/UNPxC7ZvbCu4gsz0YL/6KmZ7ASB
30/HGb+xjWERy9nTj/7+d7724Sal3rdkONUwZPXHj3714Mc7pOPgdbO4rHbfDELRFVTY/4GP2X43
T+CZ0fjvPFV/vusPUQV4Cn704p7+G6C+HxzFye4hig8R3Xsm4G/nWcJslX579S3DUv8Dl2W5K8sX
jzDGGwJk/wN37eR7WeM/eKIm22YrvjkrPBKqziri/ev92kvj9xdvl/n43V6+Bb/7B1/eo+dbwee/
cojv/8XTC+qVQzyOaZxYcOzqz7mS+496+RajRpzlX67rYep5oL8PaTKtnr2lnn3Q0wHGT9CwkTEn
4uh/PFfP/u7b0/LoTntr0H95SFheZC7dF4rAK6O6qrafq99ezrSvTKs8Fl+O8uyLPx/gl7n5Jw+R
HKpnX+7NIX6zQPh7Y3xcUvzEER7WMF/O/SvD+/7Anp2eN67dI2viJ92Zjyun9wZ1Guw+70S5ffDL
r0uLV67Zf93Q9ovZ90b29mL4VxjeYTH63vgufZY7h/XsH9t4+N6L409T3fMp5Sfflofl8HuD+3YV
/Qtcsq/vncOpfmUGeXmNci7e7vBC+0nzweN24b0T/3KP8QucdgsIiMVyUrN0krIcTbcwlr83wlen
8Th7AF9d9c/+6RszOAsY0DaPr8KfdN0YIzFklgLyhG0TRB/5O0uo15YZ/+YQnxY0P2mIzxc1bz4/
rw3rrd3WG5fv5850bOIOO9D3bsi3N7G/wON32KZSV3p3hIflhfQykO+XGR2b8L8wupeT+3/5bflI
5n9vWNQNPotxjbHfyrPE+KXWh8ikD0WG94b4vF5xm4k8SyhXfKmD/Qr351PB471R7sskv9aoYM6M
lK33RvVKieaXuGCPVZ53h7btf63b8PGl+uZ7e7arq5JS7bOy+OFafcNk/HJS3nh5fy0efX9V8r2/
oKA1/slDvNuK3/8PAAD//w==</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544000" cy="3311999"/>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68</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4239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12</v>
      </c>
    </row>
    <row r="2" spans="1:2" x14ac:dyDescent="0.2">
      <c r="A2" s="2" t="s">
        <v>13</v>
      </c>
    </row>
    <row r="4" spans="1:2" x14ac:dyDescent="0.2">
      <c r="A4" s="3"/>
      <c r="B4" s="4"/>
    </row>
    <row r="5" spans="1:2" ht="30" customHeight="1" x14ac:dyDescent="0.2">
      <c r="A5" s="3" t="s">
        <v>14</v>
      </c>
      <c r="B5" s="4" t="s">
        <v>15</v>
      </c>
    </row>
    <row r="6" spans="1:2" ht="16" x14ac:dyDescent="0.2">
      <c r="A6" s="3" t="s">
        <v>16</v>
      </c>
      <c r="B6" s="4" t="s">
        <v>17</v>
      </c>
    </row>
    <row r="7" spans="1:2" ht="16" x14ac:dyDescent="0.2">
      <c r="A7" s="3" t="s">
        <v>18</v>
      </c>
      <c r="B7" s="4" t="s">
        <v>19</v>
      </c>
    </row>
    <row r="8" spans="1:2" ht="16" x14ac:dyDescent="0.2">
      <c r="A8" s="3" t="s">
        <v>20</v>
      </c>
      <c r="B8" s="4" t="s">
        <v>21</v>
      </c>
    </row>
    <row r="9" spans="1:2" x14ac:dyDescent="0.2">
      <c r="A9" s="3"/>
      <c r="B9" s="4"/>
    </row>
    <row r="10" spans="1:2" x14ac:dyDescent="0.2">
      <c r="A10" s="3" t="s">
        <v>22</v>
      </c>
      <c r="B10" s="4"/>
    </row>
    <row r="11" spans="1:2" ht="30" customHeight="1" x14ac:dyDescent="0.2">
      <c r="A11" s="3" t="s">
        <v>23</v>
      </c>
      <c r="B11" s="4" t="s">
        <v>24</v>
      </c>
    </row>
    <row r="12" spans="1:2" ht="30" customHeight="1" x14ac:dyDescent="0.2">
      <c r="A12" s="3" t="s">
        <v>25</v>
      </c>
      <c r="B12" s="4" t="s">
        <v>26</v>
      </c>
    </row>
    <row r="13" spans="1:2" ht="30" customHeight="1" x14ac:dyDescent="0.2">
      <c r="A13" s="3" t="s">
        <v>27</v>
      </c>
      <c r="B13" s="4" t="s">
        <v>28</v>
      </c>
    </row>
    <row r="14" spans="1:2" ht="16" x14ac:dyDescent="0.2">
      <c r="A14" s="3" t="s">
        <v>29</v>
      </c>
      <c r="B14" s="4" t="s">
        <v>30</v>
      </c>
    </row>
    <row r="15" spans="1:2" ht="30" customHeight="1" x14ac:dyDescent="0.2">
      <c r="A15" s="3" t="s">
        <v>31</v>
      </c>
      <c r="B15" s="4" t="s">
        <v>32</v>
      </c>
    </row>
    <row r="16" spans="1:2" ht="30" customHeight="1" x14ac:dyDescent="0.2">
      <c r="A16" s="3" t="s">
        <v>33</v>
      </c>
      <c r="B16" s="4" t="s">
        <v>34</v>
      </c>
    </row>
    <row r="17" spans="1:2" ht="30" customHeight="1" x14ac:dyDescent="0.2">
      <c r="A17" s="3" t="s">
        <v>35</v>
      </c>
      <c r="B17" s="4" t="s">
        <v>36</v>
      </c>
    </row>
    <row r="18" spans="1:2" ht="30" customHeight="1" x14ac:dyDescent="0.2">
      <c r="A18" s="3" t="s">
        <v>37</v>
      </c>
      <c r="B18" s="4" t="s">
        <v>38</v>
      </c>
    </row>
    <row r="19" spans="1:2" ht="16" x14ac:dyDescent="0.2">
      <c r="A19" s="3" t="s">
        <v>39</v>
      </c>
      <c r="B19" s="4" t="s">
        <v>40</v>
      </c>
    </row>
    <row r="20" spans="1:2" ht="16" x14ac:dyDescent="0.2">
      <c r="A20" s="3" t="s">
        <v>41</v>
      </c>
      <c r="B20" s="4" t="s">
        <v>42</v>
      </c>
    </row>
    <row r="21" spans="1:2" ht="16" x14ac:dyDescent="0.2">
      <c r="A21" s="3" t="s">
        <v>43</v>
      </c>
      <c r="B21" s="4" t="s">
        <v>44</v>
      </c>
    </row>
    <row r="22" spans="1:2" ht="30" customHeight="1" x14ac:dyDescent="0.2">
      <c r="A22" s="3" t="s">
        <v>45</v>
      </c>
      <c r="B22" s="4" t="s">
        <v>46</v>
      </c>
    </row>
    <row r="23" spans="1:2" x14ac:dyDescent="0.2">
      <c r="A23" s="3"/>
      <c r="B23" s="4"/>
    </row>
    <row r="24" spans="1:2" ht="30" customHeight="1" x14ac:dyDescent="0.2">
      <c r="A24" s="3" t="s">
        <v>47</v>
      </c>
      <c r="B24" s="4" t="s">
        <v>48</v>
      </c>
    </row>
    <row r="25" spans="1:2" ht="30" customHeight="1" x14ac:dyDescent="0.2">
      <c r="A25" s="3" t="s">
        <v>49</v>
      </c>
      <c r="B25" s="4" t="s">
        <v>50</v>
      </c>
    </row>
    <row r="26" spans="1:2" x14ac:dyDescent="0.2">
      <c r="A26" s="3"/>
      <c r="B26" s="4"/>
    </row>
    <row r="27" spans="1:2" ht="30" customHeight="1" x14ac:dyDescent="0.2">
      <c r="A27" s="3" t="s">
        <v>51</v>
      </c>
      <c r="B27" s="4" t="s">
        <v>52</v>
      </c>
    </row>
    <row r="28" spans="1:2" x14ac:dyDescent="0.2">
      <c r="A28" s="3"/>
      <c r="B28" s="4"/>
    </row>
    <row r="29" spans="1:2" x14ac:dyDescent="0.2">
      <c r="A29" s="3" t="s">
        <v>53</v>
      </c>
      <c r="B29" s="4"/>
    </row>
    <row r="30" spans="1:2" ht="16" x14ac:dyDescent="0.2">
      <c r="A30" s="3" t="s">
        <v>54</v>
      </c>
      <c r="B30" s="4" t="s">
        <v>55</v>
      </c>
    </row>
    <row r="31" spans="1:2" ht="16" x14ac:dyDescent="0.2">
      <c r="A31" s="3" t="s">
        <v>56</v>
      </c>
      <c r="B31" s="4" t="s">
        <v>57</v>
      </c>
    </row>
    <row r="32" spans="1:2" ht="16" x14ac:dyDescent="0.2">
      <c r="A32" s="3" t="s">
        <v>58</v>
      </c>
      <c r="B32" s="4" t="s">
        <v>59</v>
      </c>
    </row>
    <row r="33" spans="1:2" ht="16" x14ac:dyDescent="0.2">
      <c r="A33" s="3" t="s">
        <v>60</v>
      </c>
      <c r="B33" s="4" t="s">
        <v>61</v>
      </c>
    </row>
    <row r="34" spans="1:2" ht="16" x14ac:dyDescent="0.2">
      <c r="A34" s="3" t="s">
        <v>62</v>
      </c>
      <c r="B34" s="4" t="s">
        <v>63</v>
      </c>
    </row>
    <row r="35" spans="1:2" ht="16" x14ac:dyDescent="0.2">
      <c r="A35" s="3" t="s">
        <v>64</v>
      </c>
      <c r="B35" s="4" t="s">
        <v>65</v>
      </c>
    </row>
    <row r="36" spans="1:2" ht="16" x14ac:dyDescent="0.2">
      <c r="A36" s="3" t="s">
        <v>66</v>
      </c>
      <c r="B36" s="4" t="s">
        <v>67</v>
      </c>
    </row>
    <row r="37" spans="1:2" ht="16" x14ac:dyDescent="0.2">
      <c r="A37" s="3" t="s">
        <v>68</v>
      </c>
      <c r="B37" s="4" t="s">
        <v>69</v>
      </c>
    </row>
    <row r="38" spans="1:2" ht="16" x14ac:dyDescent="0.2">
      <c r="A38" s="3" t="s">
        <v>70</v>
      </c>
      <c r="B38" s="4" t="s">
        <v>71</v>
      </c>
    </row>
    <row r="39" spans="1:2" ht="16" x14ac:dyDescent="0.2">
      <c r="A39" s="3" t="s">
        <v>72</v>
      </c>
      <c r="B39" s="4" t="s">
        <v>73</v>
      </c>
    </row>
    <row r="40" spans="1:2" ht="16" x14ac:dyDescent="0.2">
      <c r="A40" s="3" t="s">
        <v>74</v>
      </c>
      <c r="B40" s="4" t="s">
        <v>75</v>
      </c>
    </row>
    <row r="41" spans="1:2" ht="16" x14ac:dyDescent="0.2">
      <c r="A41" s="3" t="s">
        <v>76</v>
      </c>
      <c r="B41" s="4" t="s">
        <v>77</v>
      </c>
    </row>
    <row r="42" spans="1:2" ht="16" x14ac:dyDescent="0.2">
      <c r="A42" s="3" t="s">
        <v>78</v>
      </c>
      <c r="B42" s="4" t="s">
        <v>79</v>
      </c>
    </row>
    <row r="43" spans="1:2" ht="16" x14ac:dyDescent="0.2">
      <c r="A43" s="3" t="s">
        <v>80</v>
      </c>
      <c r="B43" s="4" t="s">
        <v>81</v>
      </c>
    </row>
    <row r="44" spans="1:2" x14ac:dyDescent="0.2">
      <c r="A44" s="3"/>
      <c r="B44" s="4"/>
    </row>
    <row r="45" spans="1:2" ht="30" customHeight="1" x14ac:dyDescent="0.2">
      <c r="A45" s="3" t="s">
        <v>82</v>
      </c>
      <c r="B45" s="4" t="s">
        <v>83</v>
      </c>
    </row>
    <row r="46" spans="1:2" ht="30" customHeight="1" x14ac:dyDescent="0.2">
      <c r="A46" s="3" t="s">
        <v>84</v>
      </c>
      <c r="B46" s="4" t="s">
        <v>85</v>
      </c>
    </row>
    <row r="47" spans="1:2" ht="16" x14ac:dyDescent="0.2">
      <c r="A47" s="3" t="s">
        <v>86</v>
      </c>
      <c r="B47" s="4" t="s">
        <v>87</v>
      </c>
    </row>
    <row r="48" spans="1:2" ht="30" customHeight="1" x14ac:dyDescent="0.2">
      <c r="A48" s="3" t="s">
        <v>88</v>
      </c>
      <c r="B48" s="4" t="s">
        <v>89</v>
      </c>
    </row>
    <row r="49" spans="1:2" ht="30" customHeight="1" x14ac:dyDescent="0.2">
      <c r="A49" s="3" t="s">
        <v>90</v>
      </c>
      <c r="B49" s="4" t="s">
        <v>91</v>
      </c>
    </row>
    <row r="50" spans="1:2" ht="16" x14ac:dyDescent="0.2">
      <c r="A50" s="3" t="s">
        <v>92</v>
      </c>
      <c r="B50" s="4" t="s">
        <v>93</v>
      </c>
    </row>
    <row r="52" spans="1:2" ht="48" x14ac:dyDescent="0.2">
      <c r="A52" s="3" t="s">
        <v>242</v>
      </c>
      <c r="B52" s="4" t="s">
        <v>243</v>
      </c>
    </row>
    <row r="53" spans="1:2" ht="48" x14ac:dyDescent="0.2">
      <c r="B53" s="4"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94</v>
      </c>
    </row>
    <row r="2" spans="1:11" x14ac:dyDescent="0.2">
      <c r="A2" s="2" t="s">
        <v>95</v>
      </c>
    </row>
    <row r="4" spans="1:11" ht="30" customHeight="1" x14ac:dyDescent="0.2">
      <c r="A4" s="5" t="s">
        <v>96</v>
      </c>
      <c r="B4" s="5" t="s">
        <v>97</v>
      </c>
      <c r="C4" s="5" t="s">
        <v>98</v>
      </c>
      <c r="D4" s="5" t="s">
        <v>99</v>
      </c>
      <c r="E4" s="5" t="s">
        <v>100</v>
      </c>
      <c r="F4" s="5" t="s">
        <v>101</v>
      </c>
      <c r="G4" s="5" t="s">
        <v>102</v>
      </c>
      <c r="H4" s="5" t="s">
        <v>103</v>
      </c>
      <c r="I4" s="5" t="s">
        <v>104</v>
      </c>
      <c r="J4" s="5" t="s">
        <v>105</v>
      </c>
      <c r="K4" s="5" t="s">
        <v>106</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107</v>
      </c>
    </row>
    <row r="2" spans="1:31" x14ac:dyDescent="0.2">
      <c r="A2" s="2" t="s">
        <v>108</v>
      </c>
    </row>
    <row r="4" spans="1:31" x14ac:dyDescent="0.2">
      <c r="A4" s="11" t="s">
        <v>109</v>
      </c>
      <c r="B4" s="47">
        <v>2016</v>
      </c>
      <c r="C4" s="32"/>
      <c r="D4" s="32"/>
      <c r="E4" s="47">
        <v>2017</v>
      </c>
      <c r="F4" s="32"/>
      <c r="G4" s="32"/>
      <c r="H4" s="47">
        <v>2018</v>
      </c>
      <c r="I4" s="32"/>
      <c r="J4" s="32"/>
      <c r="K4" s="47">
        <v>2019</v>
      </c>
      <c r="L4" s="32"/>
      <c r="M4" s="32"/>
      <c r="N4" s="47">
        <v>2020</v>
      </c>
      <c r="O4" s="32"/>
      <c r="P4" s="32"/>
      <c r="Q4" s="47">
        <v>2021</v>
      </c>
      <c r="R4" s="32"/>
      <c r="S4" s="32"/>
      <c r="T4" s="47">
        <v>2022</v>
      </c>
      <c r="U4" s="32"/>
      <c r="V4" s="32"/>
      <c r="W4" s="47">
        <v>2023</v>
      </c>
      <c r="X4" s="32"/>
      <c r="Y4" s="32"/>
      <c r="Z4" s="47">
        <v>2024</v>
      </c>
      <c r="AA4" s="32"/>
      <c r="AB4" s="32"/>
      <c r="AC4" s="47">
        <v>2025</v>
      </c>
      <c r="AD4" s="32"/>
      <c r="AE4" s="32"/>
    </row>
    <row r="5" spans="1:31" ht="30" customHeight="1" x14ac:dyDescent="0.2">
      <c r="A5" s="5" t="s">
        <v>109</v>
      </c>
      <c r="B5" s="5" t="s">
        <v>98</v>
      </c>
      <c r="C5" s="5" t="s">
        <v>99</v>
      </c>
      <c r="D5" s="5" t="s">
        <v>110</v>
      </c>
      <c r="E5" s="5" t="s">
        <v>98</v>
      </c>
      <c r="F5" s="5" t="s">
        <v>99</v>
      </c>
      <c r="G5" s="5" t="s">
        <v>110</v>
      </c>
      <c r="H5" s="5" t="s">
        <v>98</v>
      </c>
      <c r="I5" s="5" t="s">
        <v>99</v>
      </c>
      <c r="J5" s="5" t="s">
        <v>110</v>
      </c>
      <c r="K5" s="5" t="s">
        <v>98</v>
      </c>
      <c r="L5" s="5" t="s">
        <v>99</v>
      </c>
      <c r="M5" s="5" t="s">
        <v>110</v>
      </c>
      <c r="N5" s="5" t="s">
        <v>98</v>
      </c>
      <c r="O5" s="5" t="s">
        <v>99</v>
      </c>
      <c r="P5" s="5" t="s">
        <v>110</v>
      </c>
      <c r="Q5" s="5" t="s">
        <v>98</v>
      </c>
      <c r="R5" s="5" t="s">
        <v>99</v>
      </c>
      <c r="S5" s="5" t="s">
        <v>110</v>
      </c>
      <c r="T5" s="5" t="s">
        <v>98</v>
      </c>
      <c r="U5" s="5" t="s">
        <v>99</v>
      </c>
      <c r="V5" s="5" t="s">
        <v>110</v>
      </c>
      <c r="W5" s="5" t="s">
        <v>98</v>
      </c>
      <c r="X5" s="5" t="s">
        <v>99</v>
      </c>
      <c r="Y5" s="5" t="s">
        <v>110</v>
      </c>
      <c r="Z5" s="5" t="s">
        <v>98</v>
      </c>
      <c r="AA5" s="5" t="s">
        <v>99</v>
      </c>
      <c r="AB5" s="5" t="s">
        <v>110</v>
      </c>
      <c r="AC5" s="5" t="s">
        <v>98</v>
      </c>
      <c r="AD5" s="5" t="s">
        <v>99</v>
      </c>
      <c r="AE5" s="5" t="s">
        <v>110</v>
      </c>
    </row>
    <row r="6" spans="1:31" x14ac:dyDescent="0.2">
      <c r="A6" s="12" t="s">
        <v>111</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112</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113</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114</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115</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116</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117</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118</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119</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120</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121</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110</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13" zoomScale="111" workbookViewId="0">
      <selection activeCell="D53" sqref="D53"/>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122</v>
      </c>
    </row>
    <row r="2" spans="1:14" x14ac:dyDescent="0.2">
      <c r="A2" s="2" t="s">
        <v>123</v>
      </c>
    </row>
    <row r="4" spans="1:14" ht="30" customHeight="1" x14ac:dyDescent="0.2">
      <c r="A4" s="5" t="s">
        <v>124</v>
      </c>
      <c r="B4" s="5" t="s">
        <v>125</v>
      </c>
      <c r="C4" s="5" t="s">
        <v>126</v>
      </c>
      <c r="D4" s="5" t="s">
        <v>101</v>
      </c>
      <c r="E4" s="5" t="s">
        <v>102</v>
      </c>
      <c r="F4" s="5" t="s">
        <v>127</v>
      </c>
      <c r="G4" s="5" t="s">
        <v>128</v>
      </c>
      <c r="H4" s="5" t="s">
        <v>100</v>
      </c>
      <c r="I4" s="5" t="s">
        <v>129</v>
      </c>
      <c r="J4" s="5" t="s">
        <v>130</v>
      </c>
      <c r="K4" s="5" t="s">
        <v>131</v>
      </c>
      <c r="L4" s="5" t="s">
        <v>132</v>
      </c>
      <c r="M4" s="5" t="s">
        <v>105</v>
      </c>
      <c r="N4" s="5" t="s">
        <v>133</v>
      </c>
    </row>
    <row r="5" spans="1:14" x14ac:dyDescent="0.2">
      <c r="A5" s="6" t="s">
        <v>134</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253</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262</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137</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254</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139</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255</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256</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257</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259</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258</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145</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146</v>
      </c>
      <c r="B17" s="7">
        <v>32698</v>
      </c>
      <c r="C17" s="7">
        <v>22709</v>
      </c>
      <c r="D17" s="7">
        <f t="shared" si="0"/>
        <v>9989</v>
      </c>
      <c r="E17" s="9">
        <f t="shared" si="1"/>
        <v>0.43986965520278304</v>
      </c>
      <c r="F17" s="7">
        <v>23337</v>
      </c>
      <c r="G17" s="7">
        <v>9361</v>
      </c>
      <c r="H17" s="8">
        <f t="shared" si="2"/>
        <v>0.28628662303504804</v>
      </c>
      <c r="I17" s="7">
        <v>310</v>
      </c>
      <c r="J17" s="7">
        <v>8930</v>
      </c>
      <c r="K17" s="7" t="s">
        <v>147</v>
      </c>
      <c r="L17" s="10" t="s">
        <v>147</v>
      </c>
      <c r="M17" s="10" t="s">
        <v>147</v>
      </c>
      <c r="N17" s="10" t="s">
        <v>147</v>
      </c>
    </row>
    <row r="18" spans="1:14" x14ac:dyDescent="0.2">
      <c r="A18" s="13" t="s">
        <v>110</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148</v>
      </c>
    </row>
    <row r="22" spans="1:14" x14ac:dyDescent="0.2">
      <c r="A22" s="2" t="s">
        <v>245</v>
      </c>
    </row>
    <row r="23" spans="1:14" x14ac:dyDescent="0.2">
      <c r="A23" s="2" t="s">
        <v>246</v>
      </c>
    </row>
    <row r="24" spans="1:14" x14ac:dyDescent="0.2">
      <c r="A24" s="2" t="s">
        <v>247</v>
      </c>
    </row>
    <row r="25" spans="1:14" x14ac:dyDescent="0.2">
      <c r="A25" s="2" t="s">
        <v>248</v>
      </c>
    </row>
    <row r="28" spans="1:14" x14ac:dyDescent="0.2">
      <c r="A28" s="16" t="s">
        <v>249</v>
      </c>
    </row>
    <row r="29" spans="1:14" x14ac:dyDescent="0.2">
      <c r="A29" s="2" t="s">
        <v>250</v>
      </c>
    </row>
    <row r="30" spans="1:14" ht="30" x14ac:dyDescent="0.2">
      <c r="A30" s="5" t="s">
        <v>251</v>
      </c>
      <c r="B30" s="5" t="s">
        <v>252</v>
      </c>
      <c r="C30" s="5" t="s">
        <v>125</v>
      </c>
      <c r="D30" s="5" t="s">
        <v>131</v>
      </c>
      <c r="E30" s="5" t="s">
        <v>132</v>
      </c>
    </row>
    <row r="31" spans="1:14" x14ac:dyDescent="0.2">
      <c r="A31" t="e" vm="1">
        <v>#VALUE!</v>
      </c>
      <c r="B31" t="s">
        <v>134</v>
      </c>
      <c r="C31" s="7">
        <f>B5</f>
        <v>76079</v>
      </c>
      <c r="D31" s="7">
        <f t="shared" ref="D31:E33" si="5">K5</f>
        <v>11245898</v>
      </c>
      <c r="E31" s="9">
        <f t="shared" si="5"/>
        <v>6.7650444633234272</v>
      </c>
    </row>
    <row r="32" spans="1:14" x14ac:dyDescent="0.2">
      <c r="A32" t="e" vm="2">
        <v>#VALUE!</v>
      </c>
      <c r="B32" t="s">
        <v>135</v>
      </c>
      <c r="C32" s="7">
        <f>B6</f>
        <v>144501</v>
      </c>
      <c r="D32" s="7">
        <f t="shared" si="5"/>
        <v>13248928</v>
      </c>
      <c r="E32" s="9">
        <f t="shared" si="5"/>
        <v>10.906618256209105</v>
      </c>
    </row>
    <row r="33" spans="1:5" x14ac:dyDescent="0.2">
      <c r="A33" t="e" vm="3">
        <v>#VALUE!</v>
      </c>
      <c r="B33" t="s">
        <v>136</v>
      </c>
      <c r="C33" s="7">
        <f>B7</f>
        <v>27777</v>
      </c>
      <c r="D33" s="7">
        <f t="shared" si="5"/>
        <v>6242012</v>
      </c>
      <c r="E33" s="9">
        <f t="shared" si="5"/>
        <v>4.4500074655415593</v>
      </c>
    </row>
    <row r="34" spans="1:5" x14ac:dyDescent="0.2">
      <c r="A34" t="e" vm="4">
        <v>#VALUE!</v>
      </c>
      <c r="B34" t="s">
        <v>136</v>
      </c>
      <c r="C34" s="7">
        <f>B7</f>
        <v>27777</v>
      </c>
      <c r="D34" s="7">
        <f>K7</f>
        <v>6242012</v>
      </c>
      <c r="E34" s="9">
        <f>L7</f>
        <v>4.4500074655415593</v>
      </c>
    </row>
    <row r="35" spans="1:5" x14ac:dyDescent="0.2">
      <c r="A35" t="e" vm="5">
        <v>#VALUE!</v>
      </c>
      <c r="B35" t="s">
        <v>140</v>
      </c>
      <c r="C35" s="7">
        <f>B11</f>
        <v>78772</v>
      </c>
      <c r="D35" s="7">
        <f>K11</f>
        <v>8709370</v>
      </c>
      <c r="E35" s="9">
        <f>L11</f>
        <v>9.044511830362012</v>
      </c>
    </row>
    <row r="36" spans="1:5" x14ac:dyDescent="0.2">
      <c r="A36" t="e" vm="6">
        <v>#VALUE!</v>
      </c>
      <c r="B36" t="s">
        <v>137</v>
      </c>
      <c r="C36" s="7">
        <f>B8</f>
        <v>22099</v>
      </c>
      <c r="D36" s="7">
        <f>K8</f>
        <v>1862565</v>
      </c>
      <c r="E36" s="9">
        <f>L8</f>
        <v>11.864820825045031</v>
      </c>
    </row>
    <row r="37" spans="1:5" x14ac:dyDescent="0.2">
      <c r="A37" t="e" vm="7">
        <v>#VALUE!</v>
      </c>
      <c r="B37" t="s">
        <v>138</v>
      </c>
      <c r="C37" s="7">
        <f>B9</f>
        <v>49741</v>
      </c>
      <c r="D37" s="7">
        <f>K9</f>
        <v>6280793</v>
      </c>
      <c r="E37" s="9">
        <f>L9</f>
        <v>7.9195413700149011</v>
      </c>
    </row>
    <row r="38" spans="1:5" x14ac:dyDescent="0.2">
      <c r="A38" t="e" vm="8">
        <v>#VALUE!</v>
      </c>
      <c r="B38" t="s">
        <v>140</v>
      </c>
      <c r="C38" s="7">
        <f>B11</f>
        <v>78772</v>
      </c>
      <c r="D38" s="7">
        <f>K11</f>
        <v>8709370</v>
      </c>
      <c r="E38" s="9">
        <f>L11</f>
        <v>9.044511830362012</v>
      </c>
    </row>
    <row r="39" spans="1:5" x14ac:dyDescent="0.2">
      <c r="A39" t="e" vm="9">
        <v>#VALUE!</v>
      </c>
      <c r="B39" t="s">
        <v>139</v>
      </c>
      <c r="C39" s="7">
        <f>B10</f>
        <v>18752</v>
      </c>
      <c r="D39" s="7">
        <f>K10</f>
        <v>1573597</v>
      </c>
      <c r="E39" s="9">
        <f>L10</f>
        <v>11.916647019535498</v>
      </c>
    </row>
    <row r="40" spans="1:5" x14ac:dyDescent="0.2">
      <c r="A40" t="e" vm="10">
        <v>#VALUE!</v>
      </c>
      <c r="B40" t="s">
        <v>141</v>
      </c>
      <c r="C40" s="7">
        <f>B12</f>
        <v>144750</v>
      </c>
      <c r="D40" s="7">
        <f>K12</f>
        <v>18034454</v>
      </c>
      <c r="E40" s="9">
        <f>L12</f>
        <v>8.0263034300899836</v>
      </c>
    </row>
    <row r="41" spans="1:5" x14ac:dyDescent="0.2">
      <c r="A41" t="e" vm="11">
        <v>#VALUE!</v>
      </c>
      <c r="B41" t="s">
        <v>142</v>
      </c>
      <c r="C41" s="7">
        <f>B13</f>
        <v>30113</v>
      </c>
      <c r="D41" s="7">
        <f>K13</f>
        <v>5141710</v>
      </c>
      <c r="E41" s="9">
        <f>L13</f>
        <v>5.8566119053777825</v>
      </c>
    </row>
    <row r="42" spans="1:5" x14ac:dyDescent="0.2">
      <c r="A42" t="e" vm="12">
        <v>#VALUE!</v>
      </c>
      <c r="B42" t="s">
        <v>142</v>
      </c>
      <c r="C42" s="7">
        <f>B13</f>
        <v>30113</v>
      </c>
      <c r="D42" s="7">
        <f>K13</f>
        <v>5141710</v>
      </c>
      <c r="E42" s="9">
        <f>L13</f>
        <v>5.8566119053777825</v>
      </c>
    </row>
    <row r="43" spans="1:5" x14ac:dyDescent="0.2">
      <c r="A43" t="e" vm="13">
        <v>#VALUE!</v>
      </c>
      <c r="B43" t="s">
        <v>144</v>
      </c>
      <c r="C43" s="7">
        <f>B15</f>
        <v>13696</v>
      </c>
      <c r="D43" s="7">
        <f>K15</f>
        <v>6142699</v>
      </c>
      <c r="E43" s="9">
        <f>L15</f>
        <v>2.2296387955848074</v>
      </c>
    </row>
    <row r="44" spans="1:5" x14ac:dyDescent="0.2">
      <c r="A44" t="e" vm="14">
        <v>#VALUE!</v>
      </c>
      <c r="B44" t="s">
        <v>143</v>
      </c>
      <c r="C44" s="7">
        <f>B14</f>
        <v>2168</v>
      </c>
      <c r="D44" s="7">
        <f>K14</f>
        <v>2135597</v>
      </c>
      <c r="E44" s="9">
        <f>L14</f>
        <v>1.0151728064798742</v>
      </c>
    </row>
    <row r="45" spans="1:5" x14ac:dyDescent="0.2">
      <c r="A45" t="e" vm="15">
        <v>#VALUE!</v>
      </c>
      <c r="B45" t="s">
        <v>145</v>
      </c>
      <c r="C45" s="7">
        <f>B16</f>
        <v>54471</v>
      </c>
      <c r="D45" s="7">
        <f>K16</f>
        <v>2959517</v>
      </c>
      <c r="E45" s="9">
        <f>L16</f>
        <v>18.405368173252594</v>
      </c>
    </row>
    <row r="46" spans="1:5" x14ac:dyDescent="0.2">
      <c r="A46" t="s">
        <v>260</v>
      </c>
      <c r="B46" t="s">
        <v>144</v>
      </c>
      <c r="C46" s="7">
        <f>B15</f>
        <v>13696</v>
      </c>
      <c r="D46" s="7">
        <f>K15</f>
        <v>6142699</v>
      </c>
      <c r="E46" s="9">
        <f>L15</f>
        <v>2.2296387955848074</v>
      </c>
    </row>
    <row r="48" spans="1:5" x14ac:dyDescent="0.2">
      <c r="A48" s="2" t="s">
        <v>261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0"/>
  <sheetViews>
    <sheetView workbookViewId="0">
      <selection activeCell="F19" sqref="F19"/>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149</v>
      </c>
    </row>
    <row r="2" spans="1:9" x14ac:dyDescent="0.2">
      <c r="A2" s="2" t="s">
        <v>150</v>
      </c>
    </row>
    <row r="4" spans="1:9" ht="30" customHeight="1" x14ac:dyDescent="0.2">
      <c r="A4" s="5" t="s">
        <v>151</v>
      </c>
      <c r="B4" s="5" t="s">
        <v>152</v>
      </c>
      <c r="C4" s="5" t="s">
        <v>153</v>
      </c>
      <c r="D4" s="5" t="s">
        <v>154</v>
      </c>
      <c r="E4" s="5" t="s">
        <v>155</v>
      </c>
      <c r="F4" s="5" t="s">
        <v>156</v>
      </c>
      <c r="G4" s="5" t="s">
        <v>157</v>
      </c>
      <c r="H4" s="5" t="s">
        <v>158</v>
      </c>
      <c r="I4" s="5" t="s">
        <v>159</v>
      </c>
    </row>
    <row r="5" spans="1:9" x14ac:dyDescent="0.2">
      <c r="A5" s="6" t="s">
        <v>160</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161</v>
      </c>
      <c r="B6" s="17">
        <v>6.7</v>
      </c>
      <c r="C6" s="17">
        <v>6.56</v>
      </c>
      <c r="D6" s="17">
        <v>6.11</v>
      </c>
      <c r="E6" s="17">
        <v>6.01</v>
      </c>
      <c r="F6" s="17">
        <v>6.16</v>
      </c>
      <c r="G6" s="17">
        <v>6.45</v>
      </c>
      <c r="H6" s="17">
        <v>6.87</v>
      </c>
      <c r="I6" s="9">
        <f t="shared" si="0"/>
        <v>2.5373134328358304E-2</v>
      </c>
    </row>
    <row r="7" spans="1:9" x14ac:dyDescent="0.2">
      <c r="A7" s="6" t="s">
        <v>162</v>
      </c>
      <c r="B7" s="17">
        <v>1.47</v>
      </c>
      <c r="C7" s="17">
        <v>1.55</v>
      </c>
      <c r="D7" s="17">
        <v>1.46</v>
      </c>
      <c r="E7" s="17">
        <v>1.35</v>
      </c>
      <c r="F7" s="17">
        <v>1.32</v>
      </c>
      <c r="G7" s="17">
        <v>1.45</v>
      </c>
      <c r="H7" s="17">
        <v>1.62</v>
      </c>
      <c r="I7" s="9">
        <f t="shared" si="0"/>
        <v>0.10204081632653073</v>
      </c>
    </row>
    <row r="8" spans="1:9" x14ac:dyDescent="0.2">
      <c r="A8" s="6" t="s">
        <v>163</v>
      </c>
      <c r="B8" s="17">
        <v>2.89</v>
      </c>
      <c r="C8" s="17">
        <v>3.04</v>
      </c>
      <c r="D8" s="17">
        <v>3.14</v>
      </c>
      <c r="E8" s="17">
        <v>3.12</v>
      </c>
      <c r="F8" s="17">
        <v>3.27</v>
      </c>
      <c r="G8" s="17">
        <v>3.44</v>
      </c>
      <c r="H8" s="17">
        <v>3.38</v>
      </c>
      <c r="I8" s="9">
        <f t="shared" si="0"/>
        <v>0.16955017301038056</v>
      </c>
    </row>
    <row r="9" spans="1:9" x14ac:dyDescent="0.2">
      <c r="A9" s="6" t="s">
        <v>164</v>
      </c>
      <c r="B9" s="17">
        <v>0.75</v>
      </c>
      <c r="C9" s="17">
        <v>0.81</v>
      </c>
      <c r="D9" s="17">
        <v>0.87</v>
      </c>
      <c r="E9" s="17">
        <v>0.87</v>
      </c>
      <c r="F9" s="17">
        <v>0.9</v>
      </c>
      <c r="G9" s="17">
        <v>0.91</v>
      </c>
      <c r="H9" s="17">
        <v>0.9</v>
      </c>
      <c r="I9" s="9">
        <f t="shared" si="0"/>
        <v>0.19999999999999996</v>
      </c>
    </row>
    <row r="10" spans="1:9" x14ac:dyDescent="0.2">
      <c r="A10" s="6" t="s">
        <v>165</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166</v>
      </c>
    </row>
    <row r="14" spans="1:9" ht="30" customHeight="1" x14ac:dyDescent="0.2">
      <c r="A14" s="5" t="s">
        <v>167</v>
      </c>
      <c r="B14" s="5" t="s">
        <v>168</v>
      </c>
    </row>
    <row r="15" spans="1:9" x14ac:dyDescent="0.2">
      <c r="A15" s="6" t="s">
        <v>169</v>
      </c>
      <c r="B15" s="19">
        <f>H6/H10</f>
        <v>9.8706896551724146</v>
      </c>
    </row>
    <row r="16" spans="1:9" x14ac:dyDescent="0.2">
      <c r="A16" s="6" t="s">
        <v>170</v>
      </c>
      <c r="B16" s="19">
        <f>H8/H10</f>
        <v>4.8563218390804597</v>
      </c>
    </row>
    <row r="17" spans="1:2" x14ac:dyDescent="0.2">
      <c r="A17" s="6" t="s">
        <v>171</v>
      </c>
      <c r="B17" s="16">
        <f>H10/H6</f>
        <v>0.10131004366812227</v>
      </c>
    </row>
    <row r="18" spans="1:2" x14ac:dyDescent="0.2">
      <c r="A18" s="6" t="s">
        <v>172</v>
      </c>
      <c r="B18" s="16">
        <f>H10/H8</f>
        <v>0.2059171597633136</v>
      </c>
    </row>
    <row r="19" spans="1:2" x14ac:dyDescent="0.2">
      <c r="A19" s="6" t="s">
        <v>173</v>
      </c>
      <c r="B19" s="19">
        <f>H6-H8</f>
        <v>3.49</v>
      </c>
    </row>
    <row r="20" spans="1:2" x14ac:dyDescent="0.2">
      <c r="A20" s="6" t="s">
        <v>174</v>
      </c>
      <c r="B20" s="19">
        <f>H8-H10</f>
        <v>2.6840000000000002</v>
      </c>
    </row>
    <row r="22" spans="1:2" x14ac:dyDescent="0.2">
      <c r="A22" s="2" t="s">
        <v>175</v>
      </c>
    </row>
    <row r="24" spans="1:2" x14ac:dyDescent="0.2">
      <c r="A24" s="18" t="s">
        <v>176</v>
      </c>
    </row>
    <row r="25" spans="1:2" x14ac:dyDescent="0.2">
      <c r="A25" s="2" t="s">
        <v>177</v>
      </c>
    </row>
    <row r="26" spans="1:2" ht="18" customHeight="1" x14ac:dyDescent="0.2">
      <c r="A26" s="5" t="s">
        <v>178</v>
      </c>
      <c r="B26" s="5" t="s">
        <v>179</v>
      </c>
    </row>
    <row r="27" spans="1:2" x14ac:dyDescent="0.2">
      <c r="A27" s="6" t="s">
        <v>160</v>
      </c>
      <c r="B27" s="17">
        <f>H5</f>
        <v>69.13</v>
      </c>
    </row>
    <row r="28" spans="1:2" x14ac:dyDescent="0.2">
      <c r="A28" s="6" t="s">
        <v>180</v>
      </c>
      <c r="B28" s="17">
        <f>H6</f>
        <v>6.87</v>
      </c>
    </row>
    <row r="29" spans="1:2" x14ac:dyDescent="0.2">
      <c r="A29" s="6" t="s">
        <v>181</v>
      </c>
      <c r="B29" s="17">
        <f>H8</f>
        <v>3.38</v>
      </c>
    </row>
    <row r="30" spans="1:2" x14ac:dyDescent="0.2">
      <c r="A30" s="6" t="s">
        <v>182</v>
      </c>
      <c r="B30" s="17">
        <f>H9</f>
        <v>0.9</v>
      </c>
    </row>
    <row r="31" spans="1:2" x14ac:dyDescent="0.2">
      <c r="A31" s="6" t="s">
        <v>183</v>
      </c>
      <c r="B31" s="17">
        <f>H10</f>
        <v>0.69599999999999995</v>
      </c>
    </row>
    <row r="33" spans="1:8" x14ac:dyDescent="0.2">
      <c r="A33" s="18" t="s">
        <v>276</v>
      </c>
    </row>
    <row r="34" spans="1:8" x14ac:dyDescent="0.2">
      <c r="A34" s="2" t="s">
        <v>277</v>
      </c>
    </row>
    <row r="35" spans="1:8" x14ac:dyDescent="0.2">
      <c r="A35" s="5" t="s">
        <v>278</v>
      </c>
      <c r="B35" s="5">
        <v>2019</v>
      </c>
      <c r="C35" s="5">
        <v>2020</v>
      </c>
      <c r="D35" s="5">
        <v>2021</v>
      </c>
      <c r="E35" s="5">
        <v>2022</v>
      </c>
      <c r="F35" s="5">
        <v>2023</v>
      </c>
      <c r="G35" s="5">
        <v>2024</v>
      </c>
      <c r="H35" s="5">
        <v>2025</v>
      </c>
    </row>
    <row r="36" spans="1:8" x14ac:dyDescent="0.2">
      <c r="A36" s="6" t="s">
        <v>180</v>
      </c>
      <c r="B36" s="12">
        <f t="shared" ref="B36:H36" si="1">B6/$B$6*100</f>
        <v>100</v>
      </c>
      <c r="C36" s="12">
        <f t="shared" si="1"/>
        <v>97.910447761194021</v>
      </c>
      <c r="D36" s="12">
        <f t="shared" si="1"/>
        <v>91.194029850746276</v>
      </c>
      <c r="E36" s="12">
        <f t="shared" si="1"/>
        <v>89.701492537313428</v>
      </c>
      <c r="F36" s="12">
        <f t="shared" si="1"/>
        <v>91.940298507462686</v>
      </c>
      <c r="G36" s="12">
        <f t="shared" si="1"/>
        <v>96.268656716417908</v>
      </c>
      <c r="H36" s="12">
        <f t="shared" si="1"/>
        <v>102.53731343283583</v>
      </c>
    </row>
    <row r="37" spans="1:8" x14ac:dyDescent="0.2">
      <c r="A37" s="6" t="s">
        <v>181</v>
      </c>
      <c r="B37" s="12">
        <f t="shared" ref="B37:H37" si="2">B8/$B$8*100</f>
        <v>100</v>
      </c>
      <c r="C37" s="12">
        <f t="shared" si="2"/>
        <v>105.19031141868511</v>
      </c>
      <c r="D37" s="12">
        <f t="shared" si="2"/>
        <v>108.65051903114187</v>
      </c>
      <c r="E37" s="12">
        <f t="shared" si="2"/>
        <v>107.9584775086505</v>
      </c>
      <c r="F37" s="12">
        <f t="shared" si="2"/>
        <v>113.14878892733564</v>
      </c>
      <c r="G37" s="12">
        <f t="shared" si="2"/>
        <v>119.03114186851211</v>
      </c>
      <c r="H37" s="12">
        <f t="shared" si="2"/>
        <v>116.95501730103805</v>
      </c>
    </row>
    <row r="38" spans="1:8" x14ac:dyDescent="0.2">
      <c r="A38" s="6" t="s">
        <v>165</v>
      </c>
      <c r="B38" s="12">
        <f t="shared" ref="B38:H38" si="3">B10/$B$10*100</f>
        <v>100</v>
      </c>
      <c r="C38" s="12">
        <f t="shared" si="3"/>
        <v>101.24416796267496</v>
      </c>
      <c r="D38" s="12">
        <f t="shared" si="3"/>
        <v>104.82115085536547</v>
      </c>
      <c r="E38" s="12">
        <f t="shared" si="3"/>
        <v>106.22083981337479</v>
      </c>
      <c r="F38" s="12">
        <f t="shared" si="3"/>
        <v>106.06531881804044</v>
      </c>
      <c r="G38" s="12">
        <f t="shared" si="3"/>
        <v>106.84292379471229</v>
      </c>
      <c r="H38" s="12">
        <f t="shared" si="3"/>
        <v>108.2426127527216</v>
      </c>
    </row>
    <row r="40" spans="1:8" x14ac:dyDescent="0.2">
      <c r="A40" s="2" t="s">
        <v>279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184</v>
      </c>
    </row>
    <row r="2" spans="1:11" x14ac:dyDescent="0.2">
      <c r="A2" s="2" t="s">
        <v>185</v>
      </c>
    </row>
    <row r="4" spans="1:11" ht="30" customHeight="1" x14ac:dyDescent="0.2">
      <c r="A4" s="5" t="s">
        <v>186</v>
      </c>
      <c r="B4" s="5" t="s">
        <v>131</v>
      </c>
      <c r="C4" s="5" t="s">
        <v>187</v>
      </c>
      <c r="D4" s="5" t="s">
        <v>188</v>
      </c>
      <c r="E4" s="5" t="s">
        <v>189</v>
      </c>
      <c r="F4" s="5" t="s">
        <v>190</v>
      </c>
      <c r="G4" s="5" t="s">
        <v>191</v>
      </c>
      <c r="H4" s="5" t="s">
        <v>192</v>
      </c>
      <c r="I4" s="5" t="s">
        <v>193</v>
      </c>
      <c r="J4" s="5" t="s">
        <v>194</v>
      </c>
      <c r="K4" s="5" t="s">
        <v>195</v>
      </c>
    </row>
    <row r="5" spans="1:11" x14ac:dyDescent="0.2">
      <c r="A5" s="6" t="s">
        <v>196</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197</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198</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199</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200</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201</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202</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203</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204</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205</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206</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207</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208</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209</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210</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211</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212</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213</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7"/>
  <sheetViews>
    <sheetView zoomScale="110" workbookViewId="0">
      <selection activeCell="G14" sqref="G14"/>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214</v>
      </c>
    </row>
    <row r="2" spans="1:7" x14ac:dyDescent="0.2">
      <c r="A2" s="2" t="s">
        <v>215</v>
      </c>
    </row>
    <row r="4" spans="1:7" x14ac:dyDescent="0.2">
      <c r="A4" s="18" t="s">
        <v>216</v>
      </c>
    </row>
    <row r="5" spans="1:7" ht="30" customHeight="1" x14ac:dyDescent="0.2">
      <c r="A5" s="5" t="s">
        <v>109</v>
      </c>
      <c r="B5" s="5" t="s">
        <v>217</v>
      </c>
      <c r="C5" s="5" t="s">
        <v>158</v>
      </c>
      <c r="D5" s="5" t="s">
        <v>101</v>
      </c>
      <c r="E5" s="5" t="s">
        <v>102</v>
      </c>
      <c r="F5" s="5" t="s">
        <v>218</v>
      </c>
      <c r="G5" s="5" t="s">
        <v>219</v>
      </c>
    </row>
    <row r="6" spans="1:7" x14ac:dyDescent="0.2">
      <c r="A6" s="6" t="s">
        <v>111</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112</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113</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114</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115</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116</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117</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118</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119</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120</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121</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220</v>
      </c>
    </row>
    <row r="20" spans="1:8" ht="30" customHeight="1" x14ac:dyDescent="0.2">
      <c r="A20" s="5" t="s">
        <v>124</v>
      </c>
      <c r="B20" s="5" t="s">
        <v>125</v>
      </c>
      <c r="C20" s="5" t="s">
        <v>131</v>
      </c>
      <c r="D20" s="5" t="s">
        <v>132</v>
      </c>
      <c r="E20" s="5" t="s">
        <v>221</v>
      </c>
      <c r="F20" s="5" t="s">
        <v>100</v>
      </c>
      <c r="G20" s="5" t="s">
        <v>222</v>
      </c>
      <c r="H20" s="5" t="s">
        <v>223</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224</v>
      </c>
    </row>
    <row r="36" spans="1:2" x14ac:dyDescent="0.2">
      <c r="A36" s="2" t="s">
        <v>225</v>
      </c>
    </row>
    <row r="37" spans="1:2" ht="28" customHeight="1" x14ac:dyDescent="0.2">
      <c r="A37" s="5" t="s">
        <v>109</v>
      </c>
      <c r="B37" s="5" t="s">
        <v>226</v>
      </c>
    </row>
    <row r="38" spans="1:2" x14ac:dyDescent="0.2">
      <c r="A38" s="6" t="s">
        <v>111</v>
      </c>
      <c r="B38" s="26">
        <f t="shared" ref="B38:B48" si="6">D6</f>
        <v>298</v>
      </c>
    </row>
    <row r="39" spans="1:2" x14ac:dyDescent="0.2">
      <c r="A39" s="6" t="s">
        <v>112</v>
      </c>
      <c r="B39" s="26">
        <f t="shared" si="6"/>
        <v>-2576</v>
      </c>
    </row>
    <row r="40" spans="1:2" x14ac:dyDescent="0.2">
      <c r="A40" s="6" t="s">
        <v>113</v>
      </c>
      <c r="B40" s="26">
        <f t="shared" si="6"/>
        <v>1123</v>
      </c>
    </row>
    <row r="41" spans="1:2" x14ac:dyDescent="0.2">
      <c r="A41" s="6" t="s">
        <v>114</v>
      </c>
      <c r="B41" s="26">
        <f t="shared" si="6"/>
        <v>2145</v>
      </c>
    </row>
    <row r="42" spans="1:2" x14ac:dyDescent="0.2">
      <c r="A42" s="6" t="s">
        <v>115</v>
      </c>
      <c r="B42" s="26">
        <f t="shared" si="6"/>
        <v>12863</v>
      </c>
    </row>
    <row r="43" spans="1:2" x14ac:dyDescent="0.2">
      <c r="A43" s="6" t="s">
        <v>116</v>
      </c>
      <c r="B43" s="26">
        <f t="shared" si="6"/>
        <v>16524</v>
      </c>
    </row>
    <row r="44" spans="1:2" x14ac:dyDescent="0.2">
      <c r="A44" s="6" t="s">
        <v>117</v>
      </c>
      <c r="B44" s="26">
        <f t="shared" si="6"/>
        <v>-3</v>
      </c>
    </row>
    <row r="45" spans="1:2" x14ac:dyDescent="0.2">
      <c r="A45" s="6" t="s">
        <v>118</v>
      </c>
      <c r="B45" s="26">
        <f t="shared" si="6"/>
        <v>-39109</v>
      </c>
    </row>
    <row r="46" spans="1:2" x14ac:dyDescent="0.2">
      <c r="A46" s="6" t="s">
        <v>119</v>
      </c>
      <c r="B46" s="26">
        <f t="shared" si="6"/>
        <v>-18304</v>
      </c>
    </row>
    <row r="47" spans="1:2" x14ac:dyDescent="0.2">
      <c r="A47" s="6" t="s">
        <v>120</v>
      </c>
      <c r="B47" s="26">
        <f t="shared" si="6"/>
        <v>25992</v>
      </c>
    </row>
    <row r="48" spans="1:2" x14ac:dyDescent="0.2">
      <c r="A48" s="6" t="s">
        <v>121</v>
      </c>
      <c r="B48" s="26">
        <f t="shared" si="6"/>
        <v>53506</v>
      </c>
    </row>
    <row r="49" spans="1:2" x14ac:dyDescent="0.2">
      <c r="A49" s="13" t="s">
        <v>110</v>
      </c>
      <c r="B49" s="27">
        <f>SUM(B38:B48)</f>
        <v>52459</v>
      </c>
    </row>
    <row r="51" spans="1:2" x14ac:dyDescent="0.2">
      <c r="A51" s="18" t="s">
        <v>227</v>
      </c>
    </row>
    <row r="52" spans="1:2" x14ac:dyDescent="0.2">
      <c r="A52" s="12" t="s">
        <v>125</v>
      </c>
      <c r="B52" s="14">
        <f>'01_Timeseries'!B14</f>
        <v>695617</v>
      </c>
    </row>
    <row r="53" spans="1:2" x14ac:dyDescent="0.2">
      <c r="A53" s="12" t="s">
        <v>228</v>
      </c>
      <c r="B53" s="27">
        <f>'01_Timeseries'!F14</f>
        <v>8909</v>
      </c>
    </row>
    <row r="54" spans="1:2" x14ac:dyDescent="0.2">
      <c r="A54" s="12" t="s">
        <v>229</v>
      </c>
      <c r="B54" s="15">
        <f>'01_Timeseries'!G14</f>
        <v>1.297349091608078E-2</v>
      </c>
    </row>
    <row r="55" spans="1:2" x14ac:dyDescent="0.2">
      <c r="A55" s="12" t="s">
        <v>230</v>
      </c>
      <c r="B55" s="15">
        <f>'01_Timeseries'!B14/'01_Timeseries'!B5-1</f>
        <v>8.1564716601519427E-2</v>
      </c>
    </row>
    <row r="56" spans="1:2" x14ac:dyDescent="0.2">
      <c r="A56" s="12" t="s">
        <v>231</v>
      </c>
      <c r="B56" s="16">
        <f>'01_Timeseries'!E14</f>
        <v>0.34725287047326331</v>
      </c>
    </row>
    <row r="57" spans="1:2" x14ac:dyDescent="0.2">
      <c r="A57" s="12" t="s">
        <v>232</v>
      </c>
      <c r="B57" s="28">
        <f>('01_Timeseries'!E14-'01_Timeseries'!E5)*100</f>
        <v>-2.0630293539312117</v>
      </c>
    </row>
    <row r="58" spans="1:2" x14ac:dyDescent="0.2">
      <c r="A58" s="12" t="s">
        <v>233</v>
      </c>
      <c r="B58" s="16">
        <f>'02_Age_Gender'!AE16/'01_Timeseries'!B14</f>
        <v>0.4401171909254662</v>
      </c>
    </row>
    <row r="59" spans="1:2" x14ac:dyDescent="0.2">
      <c r="A59" s="12" t="s">
        <v>234</v>
      </c>
      <c r="B59" s="16">
        <f>SUM('02_Age_Gender'!AE6:AE8)/'01_Timeseries'!B14</f>
        <v>6.1525235869738661E-2</v>
      </c>
    </row>
    <row r="60" spans="1:2" x14ac:dyDescent="0.2">
      <c r="A60" s="12" t="s">
        <v>235</v>
      </c>
      <c r="B60" s="15">
        <f>SUM('02_Age_Gender'!AE6:AE8)/SUM('02_Age_Gender'!D6:D8)-1</f>
        <v>-2.6278069756330624E-2</v>
      </c>
    </row>
    <row r="61" spans="1:2" x14ac:dyDescent="0.2">
      <c r="A61" s="12" t="s">
        <v>236</v>
      </c>
      <c r="B61" s="14">
        <f>'01_Timeseries'!I14</f>
        <v>721</v>
      </c>
    </row>
    <row r="62" spans="1:2" x14ac:dyDescent="0.2">
      <c r="A62" s="12" t="s">
        <v>237</v>
      </c>
      <c r="B62" s="24">
        <f>'01_Timeseries'!B14/83577140*1000</f>
        <v>8.3230534091020587</v>
      </c>
    </row>
    <row r="63" spans="1:2" x14ac:dyDescent="0.2">
      <c r="A63" s="12" t="s">
        <v>238</v>
      </c>
      <c r="B63" s="24">
        <f>'04_Funnel'!B15</f>
        <v>9.8706896551724146</v>
      </c>
    </row>
    <row r="64" spans="1:2" x14ac:dyDescent="0.2">
      <c r="A64" s="12" t="s">
        <v>239</v>
      </c>
      <c r="B64" s="19">
        <f>'04_Funnel'!B19</f>
        <v>3.49</v>
      </c>
    </row>
    <row r="65" spans="1:2" x14ac:dyDescent="0.2">
      <c r="A65" s="12" t="s">
        <v>240</v>
      </c>
      <c r="B65" s="24">
        <f>'05_Europe'!H6</f>
        <v>53.307071937218645</v>
      </c>
    </row>
    <row r="67" spans="1:2" x14ac:dyDescent="0.2">
      <c r="A67" s="16" t="s">
        <v>265</v>
      </c>
    </row>
    <row r="68" spans="1:2" x14ac:dyDescent="0.2">
      <c r="A68" t="s">
        <v>266</v>
      </c>
      <c r="B68" s="7">
        <f>'20_Dashboard'!D5</f>
        <v>2021</v>
      </c>
    </row>
    <row r="69" spans="1:2" x14ac:dyDescent="0.2">
      <c r="A69" t="s">
        <v>267</v>
      </c>
      <c r="B69" s="7">
        <f>INDEX('01_Timeseries'!$B$5:$B$14,MATCH($B$68,'01_Timeseries'!$A$5:$A$14,0))</f>
        <v>673983</v>
      </c>
    </row>
    <row r="70" spans="1:2" x14ac:dyDescent="0.2">
      <c r="A70" t="s">
        <v>268</v>
      </c>
      <c r="B70" s="12">
        <f>INDEX('01_Timeseries'!$E$5:$E$14,MATCH($B$68,'01_Timeseries'!$A$5:$A$14,0))</f>
        <v>0.3593043147972575</v>
      </c>
    </row>
    <row r="71" spans="1:2" x14ac:dyDescent="0.2">
      <c r="A71" t="s">
        <v>269</v>
      </c>
      <c r="B71" s="7">
        <f>SUM(INDEX('02_Age_Gender'!$B$6:$AE$8,0,($B$68-2016)*3+3))</f>
        <v>43918</v>
      </c>
    </row>
    <row r="72" spans="1:2" x14ac:dyDescent="0.2">
      <c r="A72" t="s">
        <v>270</v>
      </c>
      <c r="B72" s="12">
        <f>INDEX('02_Age_Gender'!$B$16:$AE$16,($B$68-2016)*3+3)/$B$69</f>
        <v>0.42302995772890412</v>
      </c>
    </row>
    <row r="73" spans="1:2" x14ac:dyDescent="0.2">
      <c r="A73" t="s">
        <v>271</v>
      </c>
      <c r="B73" s="7">
        <f>'01_Timeseries'!B14-$B$69</f>
        <v>21634</v>
      </c>
    </row>
    <row r="74" spans="1:2" x14ac:dyDescent="0.2">
      <c r="A74" t="s">
        <v>272</v>
      </c>
      <c r="B74" s="12">
        <f>'01_Timeseries'!B14/$B$69-1</f>
        <v>3.2098732460611012E-2</v>
      </c>
    </row>
    <row r="75" spans="1:2" x14ac:dyDescent="0.2">
      <c r="A75" t="s">
        <v>273</v>
      </c>
      <c r="B75" s="12">
        <f>('01_Timeseries'!E14-$B$70)*100</f>
        <v>-1.2051444323994187</v>
      </c>
    </row>
    <row r="76" spans="1:2" x14ac:dyDescent="0.2">
      <c r="A76" t="s">
        <v>274</v>
      </c>
      <c r="B76" s="12">
        <f>($B$58-$B$72)*100</f>
        <v>1.7087233196562079</v>
      </c>
    </row>
    <row r="77" spans="1:2" x14ac:dyDescent="0.2">
      <c r="A77" t="s">
        <v>275</v>
      </c>
      <c r="B77" s="12">
        <f>SUM('02_Age_Gender'!AE6:AE8)/$B$71-1</f>
        <v>-2.550207204335353E-2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A3" zoomScale="111" zoomScaleNormal="162" workbookViewId="0">
      <selection activeCell="G17" sqref="G17"/>
    </sheetView>
  </sheetViews>
  <sheetFormatPr baseColWidth="10" defaultColWidth="8.83203125" defaultRowHeight="15" x14ac:dyDescent="0.2"/>
  <cols>
    <col min="1" max="1" width="2" customWidth="1"/>
    <col min="2" max="12" width="17" customWidth="1"/>
    <col min="13" max="13" width="2" customWidth="1"/>
  </cols>
  <sheetData>
    <row r="2" spans="2:13" x14ac:dyDescent="0.2">
      <c r="B2" s="43" t="s">
        <v>0</v>
      </c>
      <c r="C2" s="37"/>
      <c r="D2" s="37"/>
      <c r="E2" s="37"/>
      <c r="F2" s="37"/>
      <c r="G2" s="37"/>
      <c r="H2" s="37"/>
      <c r="I2" s="37"/>
      <c r="J2" s="37"/>
      <c r="K2" s="37"/>
      <c r="L2" s="37"/>
    </row>
    <row r="3" spans="2:13" x14ac:dyDescent="0.2">
      <c r="B3" s="37"/>
      <c r="C3" s="37"/>
      <c r="D3" s="37"/>
      <c r="E3" s="37"/>
      <c r="F3" s="37"/>
      <c r="G3" s="37"/>
      <c r="H3" s="37"/>
      <c r="I3" s="37"/>
      <c r="J3" s="37"/>
      <c r="K3" s="37"/>
      <c r="L3" s="37"/>
    </row>
    <row r="4" spans="2:13" x14ac:dyDescent="0.2">
      <c r="B4" s="35" t="s">
        <v>1</v>
      </c>
      <c r="C4" s="32"/>
      <c r="D4" s="32"/>
      <c r="E4" s="32"/>
      <c r="F4" s="32"/>
      <c r="G4" s="32"/>
      <c r="H4" s="32"/>
      <c r="I4" s="32"/>
      <c r="J4" s="32"/>
      <c r="K4" s="32"/>
      <c r="L4" s="32"/>
    </row>
    <row r="5" spans="2:13" ht="25" x14ac:dyDescent="0.2">
      <c r="B5" s="16" t="s">
        <v>263</v>
      </c>
      <c r="D5" s="30">
        <v>2021</v>
      </c>
      <c r="F5" s="2" t="s">
        <v>264</v>
      </c>
    </row>
    <row r="6" spans="2:13" ht="16" customHeight="1" x14ac:dyDescent="0.2">
      <c r="B6" s="36" t="s">
        <v>2</v>
      </c>
      <c r="C6" s="37"/>
      <c r="D6" s="36" t="str">
        <f>"GROWTH vs "&amp;'06_Metrics'!B68</f>
        <v>GROWTH vs 2021</v>
      </c>
      <c r="E6" s="37"/>
      <c r="F6" s="38" t="s">
        <v>3</v>
      </c>
      <c r="G6" s="39"/>
      <c r="H6" s="38" t="s">
        <v>4</v>
      </c>
      <c r="I6" s="39"/>
      <c r="J6" s="38" t="str">
        <f>"UNDER 19 vs "&amp;'06_Metrics'!B68</f>
        <v>UNDER 19 vs 2021</v>
      </c>
      <c r="K6" s="39"/>
      <c r="L6" s="40" t="s">
        <v>5</v>
      </c>
      <c r="M6" s="41"/>
    </row>
    <row r="7" spans="2:13" ht="22" customHeight="1" x14ac:dyDescent="0.2">
      <c r="B7" s="45">
        <f>'06_Metrics'!B52</f>
        <v>695617</v>
      </c>
      <c r="C7" s="34"/>
      <c r="D7" s="44">
        <f>'06_Metrics'!B74</f>
        <v>3.2098732460611012E-2</v>
      </c>
      <c r="E7" s="34"/>
      <c r="F7" s="33">
        <f>'06_Metrics'!B56</f>
        <v>0.34725287047326331</v>
      </c>
      <c r="G7" s="34"/>
      <c r="H7" s="33">
        <f>'06_Metrics'!B58</f>
        <v>0.4401171909254662</v>
      </c>
      <c r="I7" s="34"/>
      <c r="J7" s="33">
        <f>'06_Metrics'!B77</f>
        <v>-2.550207204335353E-2</v>
      </c>
      <c r="K7" s="34"/>
      <c r="L7" s="46">
        <f>'06_Metrics'!B63</f>
        <v>9.8706896551724146</v>
      </c>
      <c r="M7" s="34"/>
    </row>
    <row r="8" spans="2:13" ht="22" customHeight="1" x14ac:dyDescent="0.2">
      <c r="B8" s="32"/>
      <c r="C8" s="32"/>
      <c r="D8" s="32"/>
      <c r="E8" s="32"/>
      <c r="F8" s="32"/>
      <c r="G8" s="32"/>
      <c r="H8" s="32"/>
      <c r="I8" s="32"/>
      <c r="J8" s="32"/>
      <c r="K8" s="32"/>
      <c r="L8" s="32"/>
      <c r="M8" s="32"/>
    </row>
    <row r="9" spans="2:13" x14ac:dyDescent="0.2">
      <c r="B9" s="42" t="str">
        <f>"Compared with "&amp;'06_Metrics'!B68&amp;": "&amp;TEXT('06_Metrics'!B73,"+#,##0;-#,##0")&amp;" members "&amp;"("&amp;TEXT('06_Metrics'!B74,"+0.0%;-0.0%")&amp;")"&amp;"     ·     female share "&amp;TEXT('06_Metrics'!B75,"+0.0;-0.0")&amp;" pp"&amp;"     ·     aged 61+ "&amp;TEXT('06_Metrics'!B76,"+0.0;-0.0")&amp;" pp"&amp;"     ·     under 19 "&amp;TEXT('06_Metrics'!B77,"+0.0%;-0.0%")</f>
        <v>Compared with 2021: +21634,0 members (+03%)     ·     female share -01 pp     ·     aged 61+ +02 pp     ·     under 19 -03%</v>
      </c>
      <c r="C9" s="32"/>
      <c r="D9" s="32"/>
      <c r="E9" s="32"/>
      <c r="F9" s="32"/>
      <c r="G9" s="32"/>
      <c r="H9" s="32"/>
      <c r="I9" s="32"/>
      <c r="J9" s="32"/>
      <c r="K9" s="32"/>
      <c r="L9" s="32"/>
      <c r="M9" s="32"/>
    </row>
    <row r="11" spans="2:13" x14ac:dyDescent="0.2">
      <c r="B11" s="29" t="s">
        <v>241</v>
      </c>
      <c r="H11" s="29" t="s">
        <v>6</v>
      </c>
    </row>
    <row r="29" spans="2:8" x14ac:dyDescent="0.2">
      <c r="B29" s="29" t="s">
        <v>7</v>
      </c>
      <c r="H29" s="29" t="s">
        <v>8</v>
      </c>
    </row>
    <row r="47" spans="2:8" x14ac:dyDescent="0.2">
      <c r="B47" s="29" t="s">
        <v>9</v>
      </c>
      <c r="H47" s="29" t="s">
        <v>10</v>
      </c>
    </row>
    <row r="67" spans="2:12" x14ac:dyDescent="0.2">
      <c r="B67" s="31" t="s">
        <v>11</v>
      </c>
      <c r="C67" s="32"/>
      <c r="D67" s="32"/>
      <c r="E67" s="32"/>
      <c r="F67" s="32"/>
      <c r="G67" s="32"/>
      <c r="H67" s="32"/>
      <c r="I67" s="32"/>
      <c r="J67" s="32"/>
      <c r="K67" s="32"/>
      <c r="L67" s="32"/>
    </row>
    <row r="68" spans="2:12" x14ac:dyDescent="0.2">
      <c r="B68" s="32"/>
      <c r="C68" s="32"/>
      <c r="D68" s="32"/>
      <c r="E68" s="32"/>
      <c r="F68" s="32"/>
      <c r="G68" s="32"/>
      <c r="H68" s="32"/>
      <c r="I68" s="32"/>
      <c r="J68" s="32"/>
      <c r="K68" s="32"/>
      <c r="L68" s="32"/>
    </row>
  </sheetData>
  <mergeCells count="16">
    <mergeCell ref="B2:L3"/>
    <mergeCell ref="F6:G6"/>
    <mergeCell ref="D7:E8"/>
    <mergeCell ref="B7:C8"/>
    <mergeCell ref="J6:K6"/>
    <mergeCell ref="L7:M8"/>
    <mergeCell ref="B67:L68"/>
    <mergeCell ref="H7:I8"/>
    <mergeCell ref="F7:G8"/>
    <mergeCell ref="J7:K8"/>
    <mergeCell ref="B4:L4"/>
    <mergeCell ref="B6:C6"/>
    <mergeCell ref="D6:E6"/>
    <mergeCell ref="H6:I6"/>
    <mergeCell ref="L6:M6"/>
    <mergeCell ref="B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2026-09-24T14:42:01Z</dcterms:modified>
</cp:coreProperties>
</file>