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D0090DE3-EC43-E042-ACFD-99AB3BABF620}" xr6:coauthVersionLast="47" xr6:coauthVersionMax="47" xr10:uidLastSave="{00000000-0000-0000-0000-000000000000}"/>
  <bookViews>
    <workbookView xWindow="0" yWindow="660" windowWidth="29400" windowHeight="16920" activeTab="3"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69" i="12"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J6" i="15"/>
  <c r="B70" i="12" l="1"/>
  <c r="B75" i="12" s="1"/>
  <c r="B71" i="12"/>
  <c r="B77" i="12" s="1"/>
  <c r="J7" i="15" s="1"/>
  <c r="D6" i="15"/>
  <c r="B73" i="12"/>
  <c r="B72" i="12"/>
  <c r="B76" i="12" s="1"/>
  <c r="B74" i="12"/>
  <c r="D7" i="15" s="1"/>
  <c r="B9" i="15" l="1"/>
</calcChain>
</file>

<file path=xl/sharedStrings.xml><?xml version="1.0" encoding="utf-8"?>
<sst xmlns="http://schemas.openxmlformats.org/spreadsheetml/2006/main" count="438" uniqueCount="295">
  <si>
    <t>Primary audience: DGV executive board   ·   Secondary: the twelve state golf associations   |   Players as at 30 Sep 2025, facilities 31 Dec 2025   |   Sources: DGV; Allensbach/AWA; The R&amp;A; Destatis</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</si>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</sst>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0" fontId="6" fillId="3" borderId="0" xfId="0" applyFont="1" applyFill="1" applyAlignment="1">
      <alignment horizontal="center"/>
    </xf>
    <xf numFmtId="0" fontId="4" fillId="2" borderId="2" xfId="0" applyFont="1" applyFill="1" applyBorder="1" applyAlignment="1">
      <alignment horizontal="center" vertical="center" wrapText="1"/>
    </xf>
    <xf numFmtId="165" fontId="0" fillId="0" borderId="2" xfId="0" applyNumberFormat="1" applyBorder="1"/>
    <xf numFmtId="165" fontId="5" fillId="0" borderId="2" xfId="0" applyNumberFormat="1" applyFont="1"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6" fontId="0" fillId="0" borderId="7" xfId="0" applyNumberFormat="1" applyBorder="1"/>
    <xf numFmtId="3" fontId="5" fillId="0" borderId="8" xfId="0" applyNumberFormat="1" applyFont="1" applyBorder="1"/>
    <xf numFmtId="3" fontId="5" fillId="0" borderId="9" xfId="0" applyNumberFormat="1" applyFont="1" applyBorder="1"/>
    <xf numFmtId="164" fontId="5" fillId="0" borderId="9" xfId="0" applyNumberFormat="1" applyFont="1" applyBorder="1"/>
    <xf numFmtId="3" fontId="0" fillId="0" borderId="9" xfId="0" applyNumberFormat="1" applyBorder="1"/>
    <xf numFmtId="166" fontId="0" fillId="0" borderId="9" xfId="0" applyNumberFormat="1" applyBorder="1"/>
    <xf numFmtId="166" fontId="0" fillId="0" borderId="10"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Untapped potential to national average</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+1090,7%</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+792,0%</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+802,6%</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+1840,5%</a:t>
                  </a:r>
                </a:p>
              </cx:txP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891227</xdr:colOff>
      <xdr:row>65</xdr:row>
      <xdr:rowOff>133685</xdr:rowOff>
    </xdr:from>
    <xdr:ext cx="4680000" cy="5400000"/>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3627" y="12833685"/>
              <a:ext cx="4680000" cy="5400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45">
        <v>2016</v>
      </c>
      <c r="C4" s="33"/>
      <c r="D4" s="33"/>
      <c r="E4" s="45">
        <v>2017</v>
      </c>
      <c r="F4" s="33"/>
      <c r="G4" s="33"/>
      <c r="H4" s="45">
        <v>2018</v>
      </c>
      <c r="I4" s="33"/>
      <c r="J4" s="33"/>
      <c r="K4" s="45">
        <v>2019</v>
      </c>
      <c r="L4" s="33"/>
      <c r="M4" s="33"/>
      <c r="N4" s="45">
        <v>2020</v>
      </c>
      <c r="O4" s="33"/>
      <c r="P4" s="33"/>
      <c r="Q4" s="45">
        <v>2021</v>
      </c>
      <c r="R4" s="33"/>
      <c r="S4" s="33"/>
      <c r="T4" s="45">
        <v>2022</v>
      </c>
      <c r="U4" s="33"/>
      <c r="V4" s="33"/>
      <c r="W4" s="45">
        <v>2023</v>
      </c>
      <c r="X4" s="33"/>
      <c r="Y4" s="33"/>
      <c r="Z4" s="45">
        <v>2024</v>
      </c>
      <c r="AA4" s="33"/>
      <c r="AB4" s="33"/>
      <c r="AC4" s="45">
        <v>2025</v>
      </c>
      <c r="AD4" s="33"/>
      <c r="AE4" s="33"/>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abSelected="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49">
        <v>2025</v>
      </c>
      <c r="G3" s="50"/>
      <c r="H3" s="50"/>
      <c r="I3" s="50"/>
      <c r="J3" s="50"/>
      <c r="K3" s="50"/>
      <c r="L3" s="50"/>
      <c r="M3" s="50"/>
      <c r="N3" s="51"/>
    </row>
    <row r="4" spans="1:14" ht="30" customHeight="1" x14ac:dyDescent="0.2">
      <c r="A4" s="5" t="s">
        <v>119</v>
      </c>
      <c r="B4" s="5" t="s">
        <v>120</v>
      </c>
      <c r="C4" s="5" t="s">
        <v>121</v>
      </c>
      <c r="D4" s="5" t="s">
        <v>96</v>
      </c>
      <c r="E4" s="46" t="s">
        <v>97</v>
      </c>
      <c r="F4" s="52" t="s">
        <v>122</v>
      </c>
      <c r="G4" s="5" t="s">
        <v>123</v>
      </c>
      <c r="H4" s="5" t="s">
        <v>95</v>
      </c>
      <c r="I4" s="5" t="s">
        <v>124</v>
      </c>
      <c r="J4" s="5" t="s">
        <v>125</v>
      </c>
      <c r="K4" s="5" t="s">
        <v>126</v>
      </c>
      <c r="L4" s="5" t="s">
        <v>127</v>
      </c>
      <c r="M4" s="5" t="s">
        <v>100</v>
      </c>
      <c r="N4" s="53" t="s">
        <v>128</v>
      </c>
    </row>
    <row r="5" spans="1:14" x14ac:dyDescent="0.2">
      <c r="A5" s="6" t="s">
        <v>129</v>
      </c>
      <c r="B5" s="7">
        <v>76079</v>
      </c>
      <c r="C5" s="7">
        <v>73638</v>
      </c>
      <c r="D5" s="7">
        <f t="shared" ref="D5:D17" si="0">B5-C5</f>
        <v>2441</v>
      </c>
      <c r="E5" s="47">
        <f t="shared" ref="E5:E17" si="1">IFERROR(D5/C5,"")</f>
        <v>3.3148646079469837E-2</v>
      </c>
      <c r="F5" s="54">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55">
        <v>89</v>
      </c>
    </row>
    <row r="6" spans="1:14" x14ac:dyDescent="0.2">
      <c r="A6" s="6" t="s">
        <v>248</v>
      </c>
      <c r="B6" s="7">
        <v>144501</v>
      </c>
      <c r="C6" s="7">
        <v>138837</v>
      </c>
      <c r="D6" s="7">
        <f t="shared" si="0"/>
        <v>5664</v>
      </c>
      <c r="E6" s="47">
        <f t="shared" si="1"/>
        <v>4.0796041401067441E-2</v>
      </c>
      <c r="F6" s="54">
        <v>92486</v>
      </c>
      <c r="G6" s="7">
        <v>52015</v>
      </c>
      <c r="H6" s="8">
        <f t="shared" si="2"/>
        <v>0.35996290683109461</v>
      </c>
      <c r="I6" s="7">
        <v>9557</v>
      </c>
      <c r="J6" s="7">
        <v>63445</v>
      </c>
      <c r="K6" s="7">
        <v>13248928</v>
      </c>
      <c r="L6" s="10">
        <f t="shared" si="3"/>
        <v>10.906618256209105</v>
      </c>
      <c r="M6" s="10">
        <f t="shared" si="4"/>
        <v>845.03508771929819</v>
      </c>
      <c r="N6" s="55">
        <v>171</v>
      </c>
    </row>
    <row r="7" spans="1:14" x14ac:dyDescent="0.2">
      <c r="A7" s="6" t="s">
        <v>257</v>
      </c>
      <c r="B7" s="7">
        <v>27777</v>
      </c>
      <c r="C7" s="7">
        <v>24022</v>
      </c>
      <c r="D7" s="7">
        <f t="shared" si="0"/>
        <v>3755</v>
      </c>
      <c r="E7" s="47">
        <f t="shared" si="1"/>
        <v>0.1563150445425027</v>
      </c>
      <c r="F7" s="54">
        <v>18775</v>
      </c>
      <c r="G7" s="7">
        <v>9002</v>
      </c>
      <c r="H7" s="8">
        <f t="shared" si="2"/>
        <v>0.32408107427007954</v>
      </c>
      <c r="I7" s="7">
        <v>1774</v>
      </c>
      <c r="J7" s="7">
        <v>11155</v>
      </c>
      <c r="K7" s="7">
        <v>6242012</v>
      </c>
      <c r="L7" s="10">
        <f t="shared" si="3"/>
        <v>4.4500074655415593</v>
      </c>
      <c r="M7" s="10">
        <f t="shared" si="4"/>
        <v>1461.9473684210527</v>
      </c>
      <c r="N7" s="55">
        <v>19</v>
      </c>
    </row>
    <row r="8" spans="1:14" x14ac:dyDescent="0.2">
      <c r="A8" s="6" t="s">
        <v>132</v>
      </c>
      <c r="B8" s="7">
        <v>22099</v>
      </c>
      <c r="C8" s="7">
        <v>21615</v>
      </c>
      <c r="D8" s="7">
        <f t="shared" si="0"/>
        <v>484</v>
      </c>
      <c r="E8" s="47">
        <f t="shared" si="1"/>
        <v>2.2391857506361322E-2</v>
      </c>
      <c r="F8" s="54">
        <v>13936</v>
      </c>
      <c r="G8" s="7">
        <v>8163</v>
      </c>
      <c r="H8" s="8">
        <f t="shared" si="2"/>
        <v>0.36938323001040774</v>
      </c>
      <c r="I8" s="7">
        <v>2351</v>
      </c>
      <c r="J8" s="7">
        <v>9527</v>
      </c>
      <c r="K8" s="7">
        <v>1862565</v>
      </c>
      <c r="L8" s="10">
        <f t="shared" si="3"/>
        <v>11.864820825045031</v>
      </c>
      <c r="M8" s="10">
        <f t="shared" si="4"/>
        <v>1163.1052631578948</v>
      </c>
      <c r="N8" s="55">
        <v>19</v>
      </c>
    </row>
    <row r="9" spans="1:14" x14ac:dyDescent="0.2">
      <c r="A9" s="6" t="s">
        <v>249</v>
      </c>
      <c r="B9" s="7">
        <v>49741</v>
      </c>
      <c r="C9" s="7">
        <v>48284</v>
      </c>
      <c r="D9" s="7">
        <f t="shared" si="0"/>
        <v>1457</v>
      </c>
      <c r="E9" s="47">
        <f t="shared" si="1"/>
        <v>3.0175627537072321E-2</v>
      </c>
      <c r="F9" s="54">
        <v>32266</v>
      </c>
      <c r="G9" s="7">
        <v>17475</v>
      </c>
      <c r="H9" s="8">
        <f t="shared" si="2"/>
        <v>0.35131983675438772</v>
      </c>
      <c r="I9" s="7">
        <v>3830</v>
      </c>
      <c r="J9" s="7">
        <v>22652</v>
      </c>
      <c r="K9" s="7">
        <v>6280793</v>
      </c>
      <c r="L9" s="10">
        <f t="shared" si="3"/>
        <v>7.9195413700149011</v>
      </c>
      <c r="M9" s="10">
        <f t="shared" si="4"/>
        <v>938.5094339622641</v>
      </c>
      <c r="N9" s="55">
        <v>53</v>
      </c>
    </row>
    <row r="10" spans="1:14" x14ac:dyDescent="0.2">
      <c r="A10" s="6" t="s">
        <v>134</v>
      </c>
      <c r="B10" s="7">
        <v>18752</v>
      </c>
      <c r="C10" s="7">
        <v>17152</v>
      </c>
      <c r="D10" s="7">
        <f t="shared" si="0"/>
        <v>1600</v>
      </c>
      <c r="E10" s="47">
        <f t="shared" si="1"/>
        <v>9.3283582089552244E-2</v>
      </c>
      <c r="F10" s="54">
        <v>12251</v>
      </c>
      <c r="G10" s="7">
        <v>6501</v>
      </c>
      <c r="H10" s="8">
        <f t="shared" si="2"/>
        <v>0.34668302047781568</v>
      </c>
      <c r="I10" s="7">
        <v>557</v>
      </c>
      <c r="J10" s="7">
        <v>7183</v>
      </c>
      <c r="K10" s="7">
        <v>1573597</v>
      </c>
      <c r="L10" s="10">
        <f t="shared" si="3"/>
        <v>11.916647019535498</v>
      </c>
      <c r="M10" s="10">
        <f t="shared" si="4"/>
        <v>1103.0588235294117</v>
      </c>
      <c r="N10" s="55">
        <v>17</v>
      </c>
    </row>
    <row r="11" spans="1:14" x14ac:dyDescent="0.2">
      <c r="A11" s="6" t="s">
        <v>250</v>
      </c>
      <c r="B11" s="7">
        <v>78772</v>
      </c>
      <c r="C11" s="7">
        <v>72383</v>
      </c>
      <c r="D11" s="7">
        <f t="shared" si="0"/>
        <v>6389</v>
      </c>
      <c r="E11" s="47">
        <f t="shared" si="1"/>
        <v>8.8266581932221658E-2</v>
      </c>
      <c r="F11" s="54">
        <v>52184</v>
      </c>
      <c r="G11" s="7">
        <v>26588</v>
      </c>
      <c r="H11" s="8">
        <f t="shared" si="2"/>
        <v>0.33753110242218048</v>
      </c>
      <c r="I11" s="7">
        <v>4131</v>
      </c>
      <c r="J11" s="7">
        <v>35353</v>
      </c>
      <c r="K11" s="7">
        <v>8709370</v>
      </c>
      <c r="L11" s="10">
        <f t="shared" si="3"/>
        <v>9.044511830362012</v>
      </c>
      <c r="M11" s="10">
        <f t="shared" si="4"/>
        <v>1009.8974358974359</v>
      </c>
      <c r="N11" s="55">
        <v>78</v>
      </c>
    </row>
    <row r="12" spans="1:14" x14ac:dyDescent="0.2">
      <c r="A12" s="6" t="s">
        <v>251</v>
      </c>
      <c r="B12" s="7">
        <v>144750</v>
      </c>
      <c r="C12" s="7">
        <v>134637</v>
      </c>
      <c r="D12" s="7">
        <f t="shared" si="0"/>
        <v>10113</v>
      </c>
      <c r="E12" s="47">
        <f t="shared" si="1"/>
        <v>7.5113081842287044E-2</v>
      </c>
      <c r="F12" s="54">
        <v>94837</v>
      </c>
      <c r="G12" s="7">
        <v>49913</v>
      </c>
      <c r="H12" s="8">
        <f t="shared" si="2"/>
        <v>0.34482210708117444</v>
      </c>
      <c r="I12" s="7">
        <v>8113</v>
      </c>
      <c r="J12" s="7">
        <v>67040</v>
      </c>
      <c r="K12" s="7">
        <v>18034454</v>
      </c>
      <c r="L12" s="10">
        <f t="shared" si="3"/>
        <v>8.0263034300899836</v>
      </c>
      <c r="M12" s="10">
        <f>IFERROR(B12/N12,"")</f>
        <v>921.97452229299358</v>
      </c>
      <c r="N12" s="55">
        <v>157</v>
      </c>
    </row>
    <row r="13" spans="1:14" x14ac:dyDescent="0.2">
      <c r="A13" s="6" t="s">
        <v>252</v>
      </c>
      <c r="B13" s="7">
        <v>30113</v>
      </c>
      <c r="C13" s="7">
        <v>28298</v>
      </c>
      <c r="D13" s="7">
        <f t="shared" si="0"/>
        <v>1815</v>
      </c>
      <c r="E13" s="47">
        <f t="shared" si="1"/>
        <v>6.4138808396353095E-2</v>
      </c>
      <c r="F13" s="54">
        <v>19803</v>
      </c>
      <c r="G13" s="7">
        <v>10310</v>
      </c>
      <c r="H13" s="8">
        <f t="shared" si="2"/>
        <v>0.34237704645834027</v>
      </c>
      <c r="I13" s="7">
        <v>1877</v>
      </c>
      <c r="J13" s="7">
        <v>14337</v>
      </c>
      <c r="K13" s="7">
        <v>5141710</v>
      </c>
      <c r="L13" s="10">
        <f t="shared" si="3"/>
        <v>5.8566119053777825</v>
      </c>
      <c r="M13" s="10">
        <f t="shared" si="4"/>
        <v>772.12820512820508</v>
      </c>
      <c r="N13" s="55">
        <v>39</v>
      </c>
    </row>
    <row r="14" spans="1:14" x14ac:dyDescent="0.2">
      <c r="A14" s="6" t="s">
        <v>254</v>
      </c>
      <c r="B14" s="7">
        <v>2168</v>
      </c>
      <c r="C14" s="7">
        <v>1601</v>
      </c>
      <c r="D14" s="7">
        <f t="shared" si="0"/>
        <v>567</v>
      </c>
      <c r="E14" s="47">
        <f>IFERROR(D14/C14,"")</f>
        <v>0.35415365396627108</v>
      </c>
      <c r="F14" s="54">
        <v>1113</v>
      </c>
      <c r="G14" s="7">
        <v>1055</v>
      </c>
      <c r="H14" s="8">
        <f t="shared" si="2"/>
        <v>0.48662361623616235</v>
      </c>
      <c r="I14" s="7">
        <v>172</v>
      </c>
      <c r="J14" s="7">
        <v>679</v>
      </c>
      <c r="K14" s="7">
        <v>2135597</v>
      </c>
      <c r="L14" s="10">
        <f t="shared" si="3"/>
        <v>1.0151728064798742</v>
      </c>
      <c r="M14" s="10">
        <f t="shared" si="4"/>
        <v>433.6</v>
      </c>
      <c r="N14" s="55">
        <v>5</v>
      </c>
    </row>
    <row r="15" spans="1:14" x14ac:dyDescent="0.2">
      <c r="A15" s="6" t="s">
        <v>253</v>
      </c>
      <c r="B15" s="7">
        <v>13696</v>
      </c>
      <c r="C15" s="7">
        <v>11727</v>
      </c>
      <c r="D15" s="7">
        <f t="shared" si="0"/>
        <v>1969</v>
      </c>
      <c r="E15" s="47">
        <f t="shared" si="1"/>
        <v>0.16790312953014411</v>
      </c>
      <c r="F15" s="54">
        <v>9222</v>
      </c>
      <c r="G15" s="7">
        <v>4474</v>
      </c>
      <c r="H15" s="8">
        <f t="shared" si="2"/>
        <v>0.32666471962616822</v>
      </c>
      <c r="I15" s="7">
        <v>835</v>
      </c>
      <c r="J15" s="7">
        <v>4784</v>
      </c>
      <c r="K15" s="7">
        <v>6142699</v>
      </c>
      <c r="L15" s="10">
        <f t="shared" si="3"/>
        <v>2.2296387955848074</v>
      </c>
      <c r="M15" s="10">
        <f t="shared" si="4"/>
        <v>652.19047619047615</v>
      </c>
      <c r="N15" s="55">
        <v>21</v>
      </c>
    </row>
    <row r="16" spans="1:14" x14ac:dyDescent="0.2">
      <c r="A16" s="6" t="s">
        <v>140</v>
      </c>
      <c r="B16" s="7">
        <v>54471</v>
      </c>
      <c r="C16" s="7">
        <v>48255</v>
      </c>
      <c r="D16" s="7">
        <f t="shared" si="0"/>
        <v>6216</v>
      </c>
      <c r="E16" s="47">
        <f t="shared" si="1"/>
        <v>0.12881566677028286</v>
      </c>
      <c r="F16" s="54">
        <v>35144</v>
      </c>
      <c r="G16" s="7">
        <v>19327</v>
      </c>
      <c r="H16" s="8">
        <f t="shared" si="2"/>
        <v>0.35481265260413797</v>
      </c>
      <c r="I16" s="7">
        <v>3399</v>
      </c>
      <c r="J16" s="7">
        <v>24189</v>
      </c>
      <c r="K16" s="7">
        <v>2959517</v>
      </c>
      <c r="L16" s="10">
        <f t="shared" si="3"/>
        <v>18.405368173252594</v>
      </c>
      <c r="M16" s="10">
        <f t="shared" si="4"/>
        <v>1027.7547169811321</v>
      </c>
      <c r="N16" s="55">
        <v>53</v>
      </c>
    </row>
    <row r="17" spans="1:14" x14ac:dyDescent="0.2">
      <c r="A17" s="6" t="s">
        <v>141</v>
      </c>
      <c r="B17" s="7">
        <v>32698</v>
      </c>
      <c r="C17" s="7">
        <v>22709</v>
      </c>
      <c r="D17" s="7">
        <f t="shared" si="0"/>
        <v>9989</v>
      </c>
      <c r="E17" s="47">
        <f t="shared" si="1"/>
        <v>0.43986965520278304</v>
      </c>
      <c r="F17" s="54">
        <v>23337</v>
      </c>
      <c r="G17" s="7">
        <v>9361</v>
      </c>
      <c r="H17" s="8">
        <f t="shared" si="2"/>
        <v>0.28628662303504804</v>
      </c>
      <c r="I17" s="7">
        <v>310</v>
      </c>
      <c r="J17" s="7">
        <v>8930</v>
      </c>
      <c r="K17" s="7" t="s">
        <v>142</v>
      </c>
      <c r="L17" s="10" t="s">
        <v>142</v>
      </c>
      <c r="M17" s="10" t="s">
        <v>142</v>
      </c>
      <c r="N17" s="56" t="s">
        <v>142</v>
      </c>
    </row>
    <row r="18" spans="1:14" x14ac:dyDescent="0.2">
      <c r="A18" s="13" t="s">
        <v>105</v>
      </c>
      <c r="B18" s="14">
        <f>SUM(B5:B17)</f>
        <v>695617</v>
      </c>
      <c r="C18" s="14">
        <f>SUM(C5:C17)</f>
        <v>643158</v>
      </c>
      <c r="D18" s="14">
        <f>SUM(D5:D17)</f>
        <v>52459</v>
      </c>
      <c r="E18" s="48">
        <f>D18/C18</f>
        <v>8.1564716601519371E-2</v>
      </c>
      <c r="F18" s="57">
        <f>SUM(F5:F17)</f>
        <v>454062</v>
      </c>
      <c r="G18" s="58">
        <f>SUM(G5:G17)</f>
        <v>241555</v>
      </c>
      <c r="H18" s="59">
        <f t="shared" si="2"/>
        <v>0.34725287047326331</v>
      </c>
      <c r="I18" s="58">
        <f>SUM(I5:I17)</f>
        <v>42798</v>
      </c>
      <c r="J18" s="58">
        <f>SUM(J5:J17)</f>
        <v>306153</v>
      </c>
      <c r="K18" s="60"/>
      <c r="L18" s="61"/>
      <c r="M18" s="61"/>
      <c r="N18" s="62"/>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127</v>
      </c>
      <c r="F30" s="5" t="s">
        <v>279</v>
      </c>
      <c r="G30" s="5" t="s">
        <v>225</v>
      </c>
    </row>
    <row r="31" spans="1:14" x14ac:dyDescent="0.2">
      <c r="A31" t="s">
        <v>129</v>
      </c>
      <c r="B31" t="s">
        <v>129</v>
      </c>
      <c r="C31" s="7">
        <f>B5</f>
        <v>76079</v>
      </c>
      <c r="D31" s="7">
        <f t="shared" ref="D31:E33" si="5">K5</f>
        <v>11245898</v>
      </c>
      <c r="E31" s="9">
        <f t="shared" si="5"/>
        <v>6.7650444633234272</v>
      </c>
      <c r="F31" s="9">
        <f>L5</f>
        <v>6.7650444633234272</v>
      </c>
      <c r="G31" s="16">
        <f>E5</f>
        <v>3.3148646079469837E-2</v>
      </c>
    </row>
    <row r="32" spans="1:14" x14ac:dyDescent="0.2">
      <c r="A32" t="s">
        <v>248</v>
      </c>
      <c r="B32" t="s">
        <v>130</v>
      </c>
      <c r="C32" s="7">
        <f>B6</f>
        <v>144501</v>
      </c>
      <c r="D32" s="7">
        <f t="shared" si="5"/>
        <v>13248928</v>
      </c>
      <c r="E32" s="9">
        <f t="shared" si="5"/>
        <v>10.906618256209105</v>
      </c>
      <c r="F32" s="9">
        <f>L6</f>
        <v>10.906618256209105</v>
      </c>
      <c r="G32" s="16">
        <f>E6</f>
        <v>4.0796041401067441E-2</v>
      </c>
    </row>
    <row r="33" spans="1:7" x14ac:dyDescent="0.2">
      <c r="A33" t="s">
        <v>284</v>
      </c>
      <c r="B33" t="s">
        <v>131</v>
      </c>
      <c r="C33" s="7">
        <f>B7</f>
        <v>27777</v>
      </c>
      <c r="D33" s="7">
        <f t="shared" si="5"/>
        <v>6242012</v>
      </c>
      <c r="E33" s="9">
        <f t="shared" si="5"/>
        <v>4.4500074655415593</v>
      </c>
      <c r="F33" s="9">
        <f>L7</f>
        <v>4.4500074655415593</v>
      </c>
      <c r="G33" s="16">
        <f>E7</f>
        <v>0.1563150445425027</v>
      </c>
    </row>
    <row r="34" spans="1:7" x14ac:dyDescent="0.2">
      <c r="A34" t="s">
        <v>285</v>
      </c>
      <c r="B34" t="s">
        <v>131</v>
      </c>
      <c r="C34" s="7">
        <f>B7</f>
        <v>27777</v>
      </c>
      <c r="D34" s="7">
        <f>K7</f>
        <v>6242012</v>
      </c>
      <c r="E34" s="9">
        <f>L7</f>
        <v>4.4500074655415593</v>
      </c>
      <c r="F34" s="9">
        <f>L7</f>
        <v>4.4500074655415593</v>
      </c>
      <c r="G34" s="16">
        <f>E7</f>
        <v>0.1563150445425027</v>
      </c>
    </row>
    <row r="35" spans="1:7" x14ac:dyDescent="0.2">
      <c r="A35" t="s">
        <v>286</v>
      </c>
      <c r="B35" t="s">
        <v>135</v>
      </c>
      <c r="C35" s="7">
        <f>B11</f>
        <v>78772</v>
      </c>
      <c r="D35" s="7">
        <f>K11</f>
        <v>8709370</v>
      </c>
      <c r="E35" s="9">
        <f>L11</f>
        <v>9.044511830362012</v>
      </c>
      <c r="F35" s="9">
        <f>L11</f>
        <v>9.044511830362012</v>
      </c>
      <c r="G35" s="16">
        <f>E11</f>
        <v>8.8266581932221658E-2</v>
      </c>
    </row>
    <row r="36" spans="1:7" x14ac:dyDescent="0.2">
      <c r="A36" t="s">
        <v>132</v>
      </c>
      <c r="B36" t="s">
        <v>132</v>
      </c>
      <c r="C36" s="7">
        <f>B8</f>
        <v>22099</v>
      </c>
      <c r="D36" s="7">
        <f>K8</f>
        <v>1862565</v>
      </c>
      <c r="E36" s="9">
        <f>L8</f>
        <v>11.864820825045031</v>
      </c>
      <c r="F36" s="9">
        <f>L8</f>
        <v>11.864820825045031</v>
      </c>
      <c r="G36" s="16">
        <f>E8</f>
        <v>2.2391857506361322E-2</v>
      </c>
    </row>
    <row r="37" spans="1:7" x14ac:dyDescent="0.2">
      <c r="A37" t="s">
        <v>249</v>
      </c>
      <c r="B37" t="s">
        <v>133</v>
      </c>
      <c r="C37" s="7">
        <f>B9</f>
        <v>49741</v>
      </c>
      <c r="D37" s="7">
        <f>K9</f>
        <v>6280793</v>
      </c>
      <c r="E37" s="9">
        <f>L9</f>
        <v>7.9195413700149011</v>
      </c>
      <c r="F37" s="9">
        <f>L9</f>
        <v>7.9195413700149011</v>
      </c>
      <c r="G37" s="16">
        <f>E9</f>
        <v>3.0175627537072321E-2</v>
      </c>
    </row>
    <row r="38" spans="1:7" x14ac:dyDescent="0.2">
      <c r="A38" t="s">
        <v>250</v>
      </c>
      <c r="B38" t="s">
        <v>135</v>
      </c>
      <c r="C38" s="7">
        <f>B11</f>
        <v>78772</v>
      </c>
      <c r="D38" s="7">
        <f>K11</f>
        <v>8709370</v>
      </c>
      <c r="E38" s="9">
        <f>L11</f>
        <v>9.044511830362012</v>
      </c>
      <c r="F38" s="9">
        <f>L11</f>
        <v>9.044511830362012</v>
      </c>
      <c r="G38" s="16">
        <f>E11</f>
        <v>8.8266581932221658E-2</v>
      </c>
    </row>
    <row r="39" spans="1:7" x14ac:dyDescent="0.2">
      <c r="A39" t="s">
        <v>134</v>
      </c>
      <c r="B39" t="s">
        <v>134</v>
      </c>
      <c r="C39" s="7">
        <f>B10</f>
        <v>18752</v>
      </c>
      <c r="D39" s="7">
        <f>K10</f>
        <v>1573597</v>
      </c>
      <c r="E39" s="9">
        <f>L10</f>
        <v>11.916647019535498</v>
      </c>
      <c r="F39" s="9">
        <f>L10</f>
        <v>11.916647019535498</v>
      </c>
      <c r="G39" s="16">
        <f>E10</f>
        <v>9.3283582089552244E-2</v>
      </c>
    </row>
    <row r="40" spans="1:7" x14ac:dyDescent="0.2">
      <c r="A40" t="s">
        <v>251</v>
      </c>
      <c r="B40" t="s">
        <v>136</v>
      </c>
      <c r="C40" s="7">
        <f>B12</f>
        <v>144750</v>
      </c>
      <c r="D40" s="7">
        <f>K12</f>
        <v>18034454</v>
      </c>
      <c r="E40" s="9">
        <f>L12</f>
        <v>8.0263034300899836</v>
      </c>
      <c r="F40" s="9">
        <f>L12</f>
        <v>8.0263034300899836</v>
      </c>
      <c r="G40" s="16">
        <f>E12</f>
        <v>7.5113081842287044E-2</v>
      </c>
    </row>
    <row r="41" spans="1:7" x14ac:dyDescent="0.2">
      <c r="A41" t="s">
        <v>252</v>
      </c>
      <c r="B41" t="s">
        <v>137</v>
      </c>
      <c r="C41" s="7">
        <f>B13</f>
        <v>30113</v>
      </c>
      <c r="D41" s="7">
        <f>K13</f>
        <v>5141710</v>
      </c>
      <c r="E41" s="9">
        <f>L13</f>
        <v>5.8566119053777825</v>
      </c>
      <c r="F41" s="9">
        <f>L13</f>
        <v>5.8566119053777825</v>
      </c>
      <c r="G41" s="16">
        <f>E13</f>
        <v>6.4138808396353095E-2</v>
      </c>
    </row>
    <row r="42" spans="1:7" x14ac:dyDescent="0.2">
      <c r="A42" t="s">
        <v>287</v>
      </c>
      <c r="B42" t="s">
        <v>137</v>
      </c>
      <c r="C42" s="7">
        <f>B13</f>
        <v>30113</v>
      </c>
      <c r="D42" s="7">
        <f>K13</f>
        <v>5141710</v>
      </c>
      <c r="E42" s="9">
        <f>L13</f>
        <v>5.8566119053777825</v>
      </c>
      <c r="F42" s="9">
        <f>L13</f>
        <v>5.8566119053777825</v>
      </c>
      <c r="G42" s="16">
        <f>E13</f>
        <v>6.4138808396353095E-2</v>
      </c>
    </row>
    <row r="43" spans="1:7" x14ac:dyDescent="0.2">
      <c r="A43" t="s">
        <v>253</v>
      </c>
      <c r="B43" t="s">
        <v>139</v>
      </c>
      <c r="C43" s="7">
        <f>B15</f>
        <v>13696</v>
      </c>
      <c r="D43" s="7">
        <f>K15</f>
        <v>6142699</v>
      </c>
      <c r="E43" s="9">
        <f>L15</f>
        <v>2.2296387955848074</v>
      </c>
      <c r="F43" s="9">
        <f>L15</f>
        <v>2.2296387955848074</v>
      </c>
      <c r="G43" s="16">
        <f>E15</f>
        <v>0.16790312953014411</v>
      </c>
    </row>
    <row r="44" spans="1:7" x14ac:dyDescent="0.2">
      <c r="A44" t="s">
        <v>254</v>
      </c>
      <c r="B44" t="s">
        <v>138</v>
      </c>
      <c r="C44" s="7">
        <f>B14</f>
        <v>2168</v>
      </c>
      <c r="D44" s="7">
        <f>K14</f>
        <v>2135597</v>
      </c>
      <c r="E44" s="9">
        <f>L14</f>
        <v>1.0151728064798742</v>
      </c>
      <c r="F44" s="9">
        <f>L14</f>
        <v>1.0151728064798742</v>
      </c>
      <c r="G44" s="16">
        <f>E14</f>
        <v>0.35415365396627108</v>
      </c>
    </row>
    <row r="45" spans="1:7" x14ac:dyDescent="0.2">
      <c r="A45" t="s">
        <v>140</v>
      </c>
      <c r="B45" t="s">
        <v>140</v>
      </c>
      <c r="C45" s="7">
        <f>B16</f>
        <v>54471</v>
      </c>
      <c r="D45" s="7">
        <f>K16</f>
        <v>2959517</v>
      </c>
      <c r="E45" s="9">
        <f>L16</f>
        <v>18.405368173252594</v>
      </c>
      <c r="F45" s="9">
        <f>L16</f>
        <v>18.405368173252594</v>
      </c>
      <c r="G45" s="16">
        <f>E16</f>
        <v>0.12881566677028286</v>
      </c>
    </row>
    <row r="46" spans="1:7" x14ac:dyDescent="0.2">
      <c r="A46" t="s">
        <v>255</v>
      </c>
      <c r="B46" t="s">
        <v>139</v>
      </c>
      <c r="C46" s="7">
        <f>B15</f>
        <v>13696</v>
      </c>
      <c r="D46" s="7">
        <f>K15</f>
        <v>6142699</v>
      </c>
      <c r="E46" s="9">
        <f>L15</f>
        <v>2.2296387955848074</v>
      </c>
      <c r="F46" s="9">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topLeftCell="A36"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2024</v>
      </c>
    </row>
    <row r="69" spans="1:3" x14ac:dyDescent="0.2">
      <c r="A69" t="s">
        <v>261</v>
      </c>
      <c r="B69" s="7">
        <f>INDEX('01_Timeseries'!$B$5:$B$14,MATCH($B$68,'01_Timeseries'!$A$5:$A$14,0))</f>
        <v>686708</v>
      </c>
    </row>
    <row r="70" spans="1:3" x14ac:dyDescent="0.2">
      <c r="A70" t="s">
        <v>262</v>
      </c>
      <c r="B70" s="12">
        <f>INDEX('01_Timeseries'!$E$5:$E$14,MATCH($B$68,'01_Timeseries'!$A$5:$A$14,0))</f>
        <v>0.35144340826086196</v>
      </c>
    </row>
    <row r="71" spans="1:3" x14ac:dyDescent="0.2">
      <c r="A71" t="s">
        <v>263</v>
      </c>
      <c r="B71" s="7">
        <f>SUM(INDEX('02_Age_Gender'!$B$6:$AE$8,0,($B$68-2016)*3+3))</f>
        <v>42247</v>
      </c>
    </row>
    <row r="72" spans="1:3" x14ac:dyDescent="0.2">
      <c r="A72" t="s">
        <v>264</v>
      </c>
      <c r="B72" s="12">
        <f>INDEX('02_Age_Gender'!$B$16:$AE$16,($B$68-2016)*3+3)/$B$69</f>
        <v>0.4349810982251554</v>
      </c>
    </row>
    <row r="73" spans="1:3" x14ac:dyDescent="0.2">
      <c r="A73" t="s">
        <v>265</v>
      </c>
      <c r="B73" s="7">
        <f>'01_Timeseries'!B14-$B$69</f>
        <v>8909</v>
      </c>
    </row>
    <row r="74" spans="1:3" x14ac:dyDescent="0.2">
      <c r="A74" t="s">
        <v>266</v>
      </c>
      <c r="B74" s="12">
        <f>'01_Timeseries'!B14/$B$69-1</f>
        <v>1.2973490916080799E-2</v>
      </c>
    </row>
    <row r="75" spans="1:3" x14ac:dyDescent="0.2">
      <c r="A75" t="s">
        <v>267</v>
      </c>
      <c r="B75" s="12">
        <f>('01_Timeseries'!E14-$B$70)*100</f>
        <v>-0.41905377875986471</v>
      </c>
    </row>
    <row r="76" spans="1:3" x14ac:dyDescent="0.2">
      <c r="A76" t="s">
        <v>268</v>
      </c>
      <c r="B76" s="12">
        <f>($B$58-$B$72)*100</f>
        <v>0.51360927003107903</v>
      </c>
    </row>
    <row r="77" spans="1:3" x14ac:dyDescent="0.2">
      <c r="A77" t="s">
        <v>269</v>
      </c>
      <c r="B77" s="12">
        <f>SUM('02_Age_Gender'!AE6:AE8)/$B$71-1</f>
        <v>1.304234620209721E-2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99"/>
  <sheetViews>
    <sheetView showGridLines="0" topLeftCell="A58" zoomScaleNormal="234" workbookViewId="0">
      <selection activeCell="G89" sqref="G89"/>
    </sheetView>
  </sheetViews>
  <sheetFormatPr baseColWidth="10" defaultColWidth="8.83203125" defaultRowHeight="15" x14ac:dyDescent="0.2"/>
  <cols>
    <col min="1" max="1" width="2" customWidth="1"/>
    <col min="2" max="12" width="17" customWidth="1"/>
    <col min="13" max="13" width="2" customWidth="1"/>
  </cols>
  <sheetData>
    <row r="2" spans="2:13" x14ac:dyDescent="0.2">
      <c r="B2" s="42" t="s">
        <v>293</v>
      </c>
      <c r="C2" s="38"/>
      <c r="D2" s="38"/>
      <c r="E2" s="38"/>
      <c r="F2" s="38"/>
      <c r="G2" s="38"/>
      <c r="H2" s="38"/>
      <c r="I2" s="38"/>
      <c r="J2" s="38"/>
      <c r="K2" s="38"/>
      <c r="L2" s="38"/>
    </row>
    <row r="3" spans="2:13" x14ac:dyDescent="0.2">
      <c r="B3" s="38"/>
      <c r="C3" s="38"/>
      <c r="D3" s="38"/>
      <c r="E3" s="38"/>
      <c r="F3" s="38"/>
      <c r="G3" s="38"/>
      <c r="H3" s="38"/>
      <c r="I3" s="38"/>
      <c r="J3" s="38"/>
      <c r="K3" s="38"/>
      <c r="L3" s="38"/>
    </row>
    <row r="4" spans="2:13" x14ac:dyDescent="0.2">
      <c r="B4" s="36" t="s">
        <v>0</v>
      </c>
      <c r="C4" s="33"/>
      <c r="D4" s="33"/>
      <c r="E4" s="33"/>
      <c r="F4" s="33"/>
      <c r="G4" s="33"/>
      <c r="H4" s="33"/>
      <c r="I4" s="33"/>
      <c r="J4" s="33"/>
      <c r="K4" s="33"/>
      <c r="L4" s="33"/>
    </row>
    <row r="5" spans="2:13" ht="25" x14ac:dyDescent="0.2">
      <c r="B5" s="16" t="s">
        <v>258</v>
      </c>
      <c r="C5" s="30">
        <v>2024</v>
      </c>
      <c r="F5" s="2"/>
    </row>
    <row r="6" spans="2:13" ht="16" customHeight="1" x14ac:dyDescent="0.2">
      <c r="B6" s="37" t="s">
        <v>1</v>
      </c>
      <c r="C6" s="38"/>
      <c r="D6" s="37" t="str">
        <f>"GROWTH vs "&amp;'06_Metrics'!B68</f>
        <v>GROWTH vs 2024</v>
      </c>
      <c r="E6" s="38"/>
      <c r="F6" s="39" t="s">
        <v>294</v>
      </c>
      <c r="G6" s="40"/>
      <c r="H6" s="39" t="s">
        <v>2</v>
      </c>
      <c r="I6" s="40"/>
      <c r="J6" s="39" t="str">
        <f>"UNDER 19 vs "&amp;'06_Metrics'!B68</f>
        <v>UNDER 19 vs 2024</v>
      </c>
      <c r="K6" s="40"/>
    </row>
    <row r="7" spans="2:13" ht="22" customHeight="1" x14ac:dyDescent="0.2">
      <c r="B7" s="44">
        <f>'06_Metrics'!B52</f>
        <v>695617</v>
      </c>
      <c r="C7" s="35"/>
      <c r="D7" s="43">
        <f>'06_Metrics'!B74</f>
        <v>1.2973490916080799E-2</v>
      </c>
      <c r="E7" s="35"/>
      <c r="F7" s="34">
        <f>'06_Metrics'!B56</f>
        <v>0.34725287047326331</v>
      </c>
      <c r="G7" s="35"/>
      <c r="H7" s="34">
        <f>'06_Metrics'!B58</f>
        <v>0.4401171909254662</v>
      </c>
      <c r="I7" s="35"/>
      <c r="J7" s="34">
        <f>'06_Metrics'!B77</f>
        <v>1.304234620209721E-2</v>
      </c>
      <c r="K7" s="35"/>
    </row>
    <row r="8" spans="2:13" ht="22" customHeight="1" x14ac:dyDescent="0.2">
      <c r="B8" s="33"/>
      <c r="C8" s="33"/>
      <c r="D8" s="33"/>
      <c r="E8" s="33"/>
      <c r="F8" s="33"/>
      <c r="G8" s="33"/>
      <c r="H8" s="33"/>
      <c r="I8" s="33"/>
      <c r="J8" s="33"/>
      <c r="K8" s="33"/>
    </row>
    <row r="9" spans="2:13" x14ac:dyDescent="0.2">
      <c r="B9" s="41"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33"/>
      <c r="D9" s="33"/>
      <c r="E9" s="33"/>
      <c r="F9" s="33"/>
      <c r="G9" s="33"/>
      <c r="H9" s="33"/>
      <c r="I9" s="33"/>
      <c r="J9" s="33"/>
      <c r="K9" s="33"/>
      <c r="L9" s="33"/>
      <c r="M9" s="33"/>
    </row>
    <row r="11" spans="2:13" x14ac:dyDescent="0.2">
      <c r="B11" s="29" t="s">
        <v>236</v>
      </c>
      <c r="H11" s="29" t="s">
        <v>3</v>
      </c>
    </row>
    <row r="29" spans="2:8" x14ac:dyDescent="0.2">
      <c r="B29" s="29" t="s">
        <v>4</v>
      </c>
      <c r="H29" s="29" t="s">
        <v>292</v>
      </c>
    </row>
    <row r="47" spans="2:8" x14ac:dyDescent="0.2">
      <c r="B47" s="29" t="s">
        <v>5</v>
      </c>
      <c r="H47" s="29" t="s">
        <v>6</v>
      </c>
    </row>
    <row r="65" spans="2:2" x14ac:dyDescent="0.2">
      <c r="B65" s="18" t="s">
        <v>291</v>
      </c>
    </row>
    <row r="98" spans="2:12" x14ac:dyDescent="0.2">
      <c r="B98" s="32" t="s">
        <v>281</v>
      </c>
      <c r="C98" s="33"/>
      <c r="D98" s="33"/>
      <c r="E98" s="33"/>
      <c r="F98" s="33"/>
      <c r="G98" s="33"/>
      <c r="H98" s="33"/>
      <c r="I98" s="33"/>
      <c r="J98" s="33"/>
      <c r="K98" s="33"/>
      <c r="L98" s="33"/>
    </row>
    <row r="99" spans="2:12" x14ac:dyDescent="0.2">
      <c r="B99" s="33"/>
      <c r="C99" s="33"/>
      <c r="D99" s="33"/>
      <c r="E99" s="33"/>
      <c r="F99" s="33"/>
      <c r="G99" s="33"/>
      <c r="H99" s="33"/>
      <c r="I99" s="33"/>
      <c r="J99" s="33"/>
      <c r="K99" s="33"/>
      <c r="L99" s="33"/>
    </row>
  </sheetData>
  <mergeCells count="14">
    <mergeCell ref="B2:L3"/>
    <mergeCell ref="F6:G6"/>
    <mergeCell ref="D7:E8"/>
    <mergeCell ref="B7:C8"/>
    <mergeCell ref="J6:K6"/>
    <mergeCell ref="B98:L99"/>
    <mergeCell ref="H7:I8"/>
    <mergeCell ref="F7:G8"/>
    <mergeCell ref="J7:K8"/>
    <mergeCell ref="B4:L4"/>
    <mergeCell ref="B6:C6"/>
    <mergeCell ref="D6:E6"/>
    <mergeCell ref="H6:I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2026-09-25T00:22:04Z</dcterms:modified>
</cp:coreProperties>
</file>