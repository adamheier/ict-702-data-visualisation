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74D44D72-EDC8-E34C-9CD6-21680ACBCB1C}" xr6:coauthVersionLast="47" xr6:coauthVersionMax="47" xr10:uidLastSave="{00000000-0000-0000-0000-000000000000}"/>
  <bookViews>
    <workbookView xWindow="0" yWindow="660" windowWidth="29400" windowHeight="1846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5.0" hidden="1">'03_States'!$A$31:$A$46</definedName>
    <definedName name="_xlchart.v5.1" hidden="1">'03_States'!$F$30</definedName>
    <definedName name="_xlchart.v5.10" hidden="1">'03_States'!$F$31:$F$46</definedName>
    <definedName name="_xlchart.v5.11" hidden="1">'06_Metrics'!$A$20</definedName>
    <definedName name="_xlchart.v5.12" hidden="1">'03_States'!$A$31:$A$46</definedName>
    <definedName name="_xlchart.v5.13" hidden="1">'03_States'!$F$30</definedName>
    <definedName name="_xlchart.v5.14" hidden="1">'03_States'!$F$31:$F$46</definedName>
    <definedName name="_xlchart.v5.15" hidden="1">'06_Metrics'!$A$20</definedName>
    <definedName name="_xlchart.v5.2" hidden="1">'03_States'!$F$31:$F$46</definedName>
    <definedName name="_xlchart.v5.3" hidden="1">'06_Metrics'!$A$20</definedName>
    <definedName name="_xlchart.v5.4" hidden="1">'03_States'!$A$31:$A$46</definedName>
    <definedName name="_xlchart.v5.5" hidden="1">'03_States'!$F$30</definedName>
    <definedName name="_xlchart.v5.6" hidden="1">'03_States'!$F$31:$F$46</definedName>
    <definedName name="_xlchart.v5.7" hidden="1">'06_Metrics'!$A$20</definedName>
    <definedName name="_xlchart.v5.8" hidden="1">'03_States'!$A$31:$A$46</definedName>
    <definedName name="_xlchart.v5.9" hidden="1">'03_States'!$F$30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9" i="15" l="1"/>
  <c r="B113" i="12"/>
  <c r="B108" i="12"/>
  <c r="B106" i="12"/>
  <c r="B105" i="12"/>
  <c r="C98" i="12"/>
  <c r="C96" i="12"/>
  <c r="B96" i="12"/>
  <c r="C95" i="12"/>
  <c r="B95" i="12"/>
  <c r="C94" i="12"/>
  <c r="C93" i="12"/>
  <c r="C91" i="12"/>
  <c r="B91" i="12"/>
  <c r="C90" i="12"/>
  <c r="B90" i="12"/>
  <c r="C89" i="12"/>
  <c r="C88" i="12"/>
  <c r="C83" i="12"/>
  <c r="B83" i="12"/>
  <c r="C82" i="12"/>
  <c r="B82" i="12"/>
  <c r="C81" i="12"/>
  <c r="B68" i="12"/>
  <c r="B127" i="12" s="1"/>
  <c r="B65" i="12"/>
  <c r="B62" i="12"/>
  <c r="B61" i="12"/>
  <c r="B60" i="12"/>
  <c r="B59" i="12"/>
  <c r="B58" i="12"/>
  <c r="B55" i="12"/>
  <c r="B52" i="12"/>
  <c r="F32" i="12"/>
  <c r="D32" i="12"/>
  <c r="G32" i="12" s="1"/>
  <c r="C32" i="12"/>
  <c r="B32" i="12"/>
  <c r="E31" i="12"/>
  <c r="D31" i="12"/>
  <c r="C31" i="12"/>
  <c r="B31" i="12"/>
  <c r="C30" i="12"/>
  <c r="B30" i="12"/>
  <c r="D30" i="12" s="1"/>
  <c r="E29" i="12"/>
  <c r="C29" i="12"/>
  <c r="B29" i="12"/>
  <c r="D29" i="12" s="1"/>
  <c r="E28" i="12"/>
  <c r="C28" i="12"/>
  <c r="B28" i="12"/>
  <c r="D28" i="12" s="1"/>
  <c r="E27" i="12"/>
  <c r="C27" i="12"/>
  <c r="B27" i="12"/>
  <c r="D27" i="12" s="1"/>
  <c r="F26" i="12"/>
  <c r="C26" i="12"/>
  <c r="B26" i="12"/>
  <c r="D26" i="12" s="1"/>
  <c r="E25" i="12"/>
  <c r="C25" i="12"/>
  <c r="D25" i="12" s="1"/>
  <c r="B25" i="12"/>
  <c r="C24" i="12"/>
  <c r="B24" i="12"/>
  <c r="D24" i="12" s="1"/>
  <c r="C23" i="12"/>
  <c r="B23" i="12"/>
  <c r="D23" i="12" s="1"/>
  <c r="F22" i="12"/>
  <c r="D22" i="12"/>
  <c r="G22" i="12" s="1"/>
  <c r="C22" i="12"/>
  <c r="B22" i="12"/>
  <c r="D21" i="12"/>
  <c r="C21" i="12"/>
  <c r="B21" i="12"/>
  <c r="C16" i="12"/>
  <c r="B16" i="12"/>
  <c r="C15" i="12"/>
  <c r="C14" i="12"/>
  <c r="F14" i="12" s="1"/>
  <c r="B14" i="12"/>
  <c r="C12" i="12"/>
  <c r="F12" i="12" s="1"/>
  <c r="C11" i="12"/>
  <c r="F11" i="12" s="1"/>
  <c r="B11" i="12"/>
  <c r="C10" i="12"/>
  <c r="C9" i="12"/>
  <c r="B9" i="12"/>
  <c r="C7"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H40" i="8"/>
  <c r="G40" i="8"/>
  <c r="F40" i="8"/>
  <c r="E40" i="8"/>
  <c r="D40" i="8"/>
  <c r="C40" i="8"/>
  <c r="B40" i="8"/>
  <c r="H38" i="8"/>
  <c r="G38" i="8"/>
  <c r="F38" i="8"/>
  <c r="E38" i="8"/>
  <c r="D38" i="8"/>
  <c r="C38" i="8"/>
  <c r="B38" i="8"/>
  <c r="H37" i="8"/>
  <c r="G37" i="8"/>
  <c r="F37" i="8"/>
  <c r="E37" i="8"/>
  <c r="D37" i="8"/>
  <c r="C37" i="8"/>
  <c r="B37" i="8"/>
  <c r="H36" i="8"/>
  <c r="G36" i="8"/>
  <c r="F36" i="8"/>
  <c r="E36" i="8"/>
  <c r="D36" i="8"/>
  <c r="C36" i="8"/>
  <c r="B36" i="8"/>
  <c r="B31" i="8"/>
  <c r="B30" i="8"/>
  <c r="B29" i="8"/>
  <c r="B28" i="8"/>
  <c r="B27" i="8"/>
  <c r="B20" i="8"/>
  <c r="B19" i="8"/>
  <c r="B64" i="12" s="1"/>
  <c r="B18" i="8"/>
  <c r="B17" i="8"/>
  <c r="B16" i="8"/>
  <c r="B15" i="8"/>
  <c r="B63" i="12" s="1"/>
  <c r="I10" i="8"/>
  <c r="I9" i="8"/>
  <c r="I8" i="8"/>
  <c r="I7" i="8"/>
  <c r="I6" i="8"/>
  <c r="I5" i="8"/>
  <c r="D46" i="5"/>
  <c r="C46" i="5"/>
  <c r="F45" i="5"/>
  <c r="E45" i="5"/>
  <c r="D45" i="5"/>
  <c r="C45" i="5"/>
  <c r="D44" i="5"/>
  <c r="C44" i="5"/>
  <c r="G43" i="5"/>
  <c r="F43" i="5"/>
  <c r="E43" i="5"/>
  <c r="D43" i="5"/>
  <c r="C43" i="5"/>
  <c r="D42" i="5"/>
  <c r="C42" i="5"/>
  <c r="G41" i="5"/>
  <c r="F41" i="5"/>
  <c r="E41" i="5"/>
  <c r="D41" i="5"/>
  <c r="C41" i="5"/>
  <c r="D40" i="5"/>
  <c r="C40" i="5"/>
  <c r="F39" i="5"/>
  <c r="E39" i="5" s="1"/>
  <c r="D39" i="5"/>
  <c r="C39" i="5"/>
  <c r="D38" i="5"/>
  <c r="C38" i="5"/>
  <c r="G37" i="5"/>
  <c r="F37" i="5"/>
  <c r="E37" i="5"/>
  <c r="D37" i="5"/>
  <c r="C37" i="5"/>
  <c r="D36" i="5"/>
  <c r="C36" i="5"/>
  <c r="G35" i="5"/>
  <c r="F35" i="5"/>
  <c r="E35" i="5"/>
  <c r="D35" i="5"/>
  <c r="C35" i="5"/>
  <c r="D34" i="5"/>
  <c r="C34" i="5"/>
  <c r="G33" i="5"/>
  <c r="F33" i="5"/>
  <c r="E33" i="5"/>
  <c r="D33" i="5"/>
  <c r="C33" i="5"/>
  <c r="D32" i="5"/>
  <c r="C32" i="5"/>
  <c r="G31" i="5"/>
  <c r="F31" i="5"/>
  <c r="E31" i="5"/>
  <c r="D31" i="5"/>
  <c r="C31" i="5"/>
  <c r="J18" i="5"/>
  <c r="I18" i="5"/>
  <c r="G18" i="5"/>
  <c r="H18" i="5" s="1"/>
  <c r="F18" i="5"/>
  <c r="C18" i="5"/>
  <c r="B18" i="5"/>
  <c r="H17" i="5"/>
  <c r="E17" i="5"/>
  <c r="D17" i="5"/>
  <c r="M16" i="5"/>
  <c r="L16" i="5"/>
  <c r="B115" i="12" s="1"/>
  <c r="H16" i="5"/>
  <c r="F21" i="12" s="1"/>
  <c r="D16" i="5"/>
  <c r="E16" i="5" s="1"/>
  <c r="M15" i="5"/>
  <c r="L15" i="5"/>
  <c r="F46" i="5" s="1"/>
  <c r="E46" i="5" s="1"/>
  <c r="H15" i="5"/>
  <c r="F31" i="12" s="1"/>
  <c r="E15" i="5"/>
  <c r="G46" i="5" s="1"/>
  <c r="D15" i="5"/>
  <c r="M14" i="5"/>
  <c r="L14" i="5"/>
  <c r="F44" i="5" s="1"/>
  <c r="E44" i="5" s="1"/>
  <c r="H14" i="5"/>
  <c r="D14" i="5"/>
  <c r="E14" i="5" s="1"/>
  <c r="M13" i="5"/>
  <c r="L13" i="5"/>
  <c r="F42" i="5" s="1"/>
  <c r="E42" i="5" s="1"/>
  <c r="H13" i="5"/>
  <c r="F29" i="12" s="1"/>
  <c r="E13" i="5"/>
  <c r="G42" i="5" s="1"/>
  <c r="D13" i="5"/>
  <c r="M12" i="5"/>
  <c r="L12" i="5"/>
  <c r="F40" i="5" s="1"/>
  <c r="E40" i="5" s="1"/>
  <c r="H12" i="5"/>
  <c r="D12" i="5"/>
  <c r="E12" i="5" s="1"/>
  <c r="M11" i="5"/>
  <c r="L11" i="5"/>
  <c r="F38" i="5" s="1"/>
  <c r="E38" i="5" s="1"/>
  <c r="H11" i="5"/>
  <c r="F25" i="12" s="1"/>
  <c r="E11" i="5"/>
  <c r="G38" i="5" s="1"/>
  <c r="D11" i="5"/>
  <c r="M10" i="5"/>
  <c r="L10" i="5"/>
  <c r="H10" i="5"/>
  <c r="D10" i="5"/>
  <c r="E10" i="5" s="1"/>
  <c r="M9" i="5"/>
  <c r="L9" i="5"/>
  <c r="B110" i="12" s="1"/>
  <c r="H9" i="5"/>
  <c r="F27" i="12" s="1"/>
  <c r="E9" i="5"/>
  <c r="D9" i="5"/>
  <c r="M8" i="5"/>
  <c r="L8" i="5"/>
  <c r="B112" i="12" s="1"/>
  <c r="H8" i="5"/>
  <c r="F23" i="12" s="1"/>
  <c r="D8" i="5"/>
  <c r="E8" i="5" s="1"/>
  <c r="M7" i="5"/>
  <c r="L7" i="5"/>
  <c r="F34" i="5" s="1"/>
  <c r="E34" i="5" s="1"/>
  <c r="H7" i="5"/>
  <c r="F30" i="12" s="1"/>
  <c r="E7" i="5"/>
  <c r="G34" i="5" s="1"/>
  <c r="D7" i="5"/>
  <c r="M6" i="5"/>
  <c r="L6" i="5"/>
  <c r="B111" i="12" s="1"/>
  <c r="H6" i="5"/>
  <c r="F24" i="12" s="1"/>
  <c r="D6" i="5"/>
  <c r="D18" i="5" s="1"/>
  <c r="E18" i="5" s="1"/>
  <c r="M5" i="5"/>
  <c r="L5" i="5"/>
  <c r="H5" i="5"/>
  <c r="F28" i="12" s="1"/>
  <c r="E5" i="5"/>
  <c r="D5" i="5"/>
  <c r="AD17" i="3"/>
  <c r="AC17" i="3"/>
  <c r="AB17" i="3"/>
  <c r="AA17" i="3"/>
  <c r="Z17" i="3"/>
  <c r="X17" i="3"/>
  <c r="W17" i="3"/>
  <c r="U17" i="3"/>
  <c r="T17" i="3"/>
  <c r="R17" i="3"/>
  <c r="Q17" i="3"/>
  <c r="O17" i="3"/>
  <c r="N17" i="3"/>
  <c r="M17" i="3"/>
  <c r="L17" i="3"/>
  <c r="K17" i="3"/>
  <c r="I17" i="3"/>
  <c r="H17" i="3"/>
  <c r="G17" i="3"/>
  <c r="F17" i="3"/>
  <c r="E17" i="3"/>
  <c r="D17" i="3"/>
  <c r="C17" i="3"/>
  <c r="B17" i="3"/>
  <c r="AE16" i="3"/>
  <c r="C84" i="12" s="1"/>
  <c r="AB16" i="3"/>
  <c r="Y16" i="3"/>
  <c r="V16" i="3"/>
  <c r="S16" i="3"/>
  <c r="P16" i="3"/>
  <c r="M16" i="3"/>
  <c r="J16" i="3"/>
  <c r="G16" i="3"/>
  <c r="D16" i="3"/>
  <c r="B98" i="12" s="1"/>
  <c r="AE15" i="3"/>
  <c r="C97" i="12" s="1"/>
  <c r="AB15" i="3"/>
  <c r="Y15" i="3"/>
  <c r="V15" i="3"/>
  <c r="S15" i="3"/>
  <c r="P15" i="3"/>
  <c r="M15" i="3"/>
  <c r="J15" i="3"/>
  <c r="G15" i="3"/>
  <c r="D15" i="3"/>
  <c r="B15" i="12" s="1"/>
  <c r="AE14" i="3"/>
  <c r="AB14" i="3"/>
  <c r="Y14" i="3"/>
  <c r="V14" i="3"/>
  <c r="S14" i="3"/>
  <c r="P14" i="3"/>
  <c r="M14" i="3"/>
  <c r="J14" i="3"/>
  <c r="G14" i="3"/>
  <c r="D14" i="3"/>
  <c r="AE13" i="3"/>
  <c r="C13" i="12" s="1"/>
  <c r="AB13" i="3"/>
  <c r="Y13" i="3"/>
  <c r="V13" i="3"/>
  <c r="S13" i="3"/>
  <c r="P13" i="3"/>
  <c r="M13" i="3"/>
  <c r="J13" i="3"/>
  <c r="G13" i="3"/>
  <c r="D13" i="3"/>
  <c r="B13" i="12" s="1"/>
  <c r="AE12" i="3"/>
  <c r="AB12" i="3"/>
  <c r="Y12" i="3"/>
  <c r="V12" i="3"/>
  <c r="S12" i="3"/>
  <c r="P12" i="3"/>
  <c r="M12" i="3"/>
  <c r="J12" i="3"/>
  <c r="G12" i="3"/>
  <c r="D12" i="3"/>
  <c r="B94" i="12" s="1"/>
  <c r="AE11" i="3"/>
  <c r="AB11" i="3"/>
  <c r="Y11" i="3"/>
  <c r="V11" i="3"/>
  <c r="S11" i="3"/>
  <c r="P11" i="3"/>
  <c r="M11" i="3"/>
  <c r="J11" i="3"/>
  <c r="G11" i="3"/>
  <c r="D11" i="3"/>
  <c r="B93" i="12" s="1"/>
  <c r="AE10" i="3"/>
  <c r="C92" i="12" s="1"/>
  <c r="AB10" i="3"/>
  <c r="Y10" i="3"/>
  <c r="V10" i="3"/>
  <c r="S10" i="3"/>
  <c r="P10" i="3"/>
  <c r="M10" i="3"/>
  <c r="J10" i="3"/>
  <c r="G10" i="3"/>
  <c r="D10" i="3"/>
  <c r="B10" i="12" s="1"/>
  <c r="AE9" i="3"/>
  <c r="AB9" i="3"/>
  <c r="Y9" i="3"/>
  <c r="V9" i="3"/>
  <c r="S9" i="3"/>
  <c r="P9" i="3"/>
  <c r="M9" i="3"/>
  <c r="J9" i="3"/>
  <c r="G9" i="3"/>
  <c r="D9" i="3"/>
  <c r="AE8" i="3"/>
  <c r="C8" i="12" s="1"/>
  <c r="AB8" i="3"/>
  <c r="Y8" i="3"/>
  <c r="V8" i="3"/>
  <c r="S8" i="3"/>
  <c r="P8" i="3"/>
  <c r="M8" i="3"/>
  <c r="J8" i="3"/>
  <c r="G8" i="3"/>
  <c r="D8" i="3"/>
  <c r="B8" i="12" s="1"/>
  <c r="AE7" i="3"/>
  <c r="AB7" i="3"/>
  <c r="Y7" i="3"/>
  <c r="V7" i="3"/>
  <c r="S7" i="3"/>
  <c r="P7" i="3"/>
  <c r="M7" i="3"/>
  <c r="J7" i="3"/>
  <c r="G7" i="3"/>
  <c r="D7" i="3"/>
  <c r="B89" i="12" s="1"/>
  <c r="AE6" i="3"/>
  <c r="AE17" i="3" s="1"/>
  <c r="AB6" i="3"/>
  <c r="Y6" i="3"/>
  <c r="Y17" i="3" s="1"/>
  <c r="V6" i="3"/>
  <c r="V17" i="3" s="1"/>
  <c r="S6" i="3"/>
  <c r="S17" i="3" s="1"/>
  <c r="P6" i="3"/>
  <c r="P17" i="3" s="1"/>
  <c r="M6" i="3"/>
  <c r="J6" i="3"/>
  <c r="J17" i="3" s="1"/>
  <c r="G6" i="3"/>
  <c r="D6" i="3"/>
  <c r="B88" i="12" s="1"/>
  <c r="K14" i="2"/>
  <c r="J14" i="2"/>
  <c r="F14" i="2"/>
  <c r="B53" i="12" s="1"/>
  <c r="E14" i="2"/>
  <c r="K13" i="2"/>
  <c r="J13" i="2"/>
  <c r="G13" i="2"/>
  <c r="F13" i="2"/>
  <c r="E13" i="2"/>
  <c r="K12" i="2"/>
  <c r="J12" i="2"/>
  <c r="F12" i="2"/>
  <c r="G12" i="2" s="1"/>
  <c r="E12" i="2"/>
  <c r="K11" i="2"/>
  <c r="J11" i="2"/>
  <c r="G11" i="2"/>
  <c r="F11" i="2"/>
  <c r="E11" i="2"/>
  <c r="K10" i="2"/>
  <c r="J10" i="2"/>
  <c r="F10" i="2"/>
  <c r="G10" i="2" s="1"/>
  <c r="E10" i="2"/>
  <c r="K9" i="2"/>
  <c r="J9" i="2"/>
  <c r="G9" i="2"/>
  <c r="F9" i="2"/>
  <c r="E9" i="2"/>
  <c r="K8" i="2"/>
  <c r="J8" i="2"/>
  <c r="F8" i="2"/>
  <c r="G8" i="2" s="1"/>
  <c r="E8" i="2"/>
  <c r="K7" i="2"/>
  <c r="J7" i="2"/>
  <c r="G7" i="2"/>
  <c r="F7" i="2"/>
  <c r="E7" i="2"/>
  <c r="K6" i="2"/>
  <c r="J6" i="2"/>
  <c r="F6" i="2"/>
  <c r="G6" i="2" s="1"/>
  <c r="E6" i="2"/>
  <c r="K5" i="2"/>
  <c r="J5" i="2"/>
  <c r="E5" i="2"/>
  <c r="B70" i="12" s="1"/>
  <c r="M7" i="15"/>
  <c r="G7" i="15"/>
  <c r="C7" i="15"/>
  <c r="B71" i="12" l="1"/>
  <c r="B77" i="12" s="1"/>
  <c r="B120" i="12"/>
  <c r="B121" i="12" s="1"/>
  <c r="M9" i="15" s="1"/>
  <c r="B69" i="12"/>
  <c r="B73" i="12" s="1"/>
  <c r="C9" i="15" s="1"/>
  <c r="B75" i="12"/>
  <c r="E9" i="15" s="1"/>
  <c r="G45" i="5"/>
  <c r="E21" i="12"/>
  <c r="F10" i="12"/>
  <c r="H29" i="12"/>
  <c r="G29" i="12"/>
  <c r="G21" i="12"/>
  <c r="H25" i="12"/>
  <c r="G25" i="12"/>
  <c r="G44" i="5"/>
  <c r="E32" i="12"/>
  <c r="E26" i="12"/>
  <c r="G40" i="5"/>
  <c r="F6" i="12"/>
  <c r="F15" i="12"/>
  <c r="H23" i="12"/>
  <c r="G23" i="12"/>
  <c r="H27" i="12"/>
  <c r="G27" i="12"/>
  <c r="G39" i="5"/>
  <c r="E22" i="12"/>
  <c r="F7" i="12"/>
  <c r="G30" i="12"/>
  <c r="H30" i="12"/>
  <c r="G36" i="5"/>
  <c r="E23" i="12"/>
  <c r="F16" i="12"/>
  <c r="H24" i="12"/>
  <c r="G24" i="12"/>
  <c r="H26" i="12"/>
  <c r="G26" i="12"/>
  <c r="D8" i="12"/>
  <c r="F8" i="12"/>
  <c r="D13" i="12"/>
  <c r="F13" i="12"/>
  <c r="F9" i="12"/>
  <c r="H28" i="12"/>
  <c r="G28" i="12"/>
  <c r="G31" i="12"/>
  <c r="B7" i="12"/>
  <c r="D7" i="12" s="1"/>
  <c r="D10" i="12"/>
  <c r="B12" i="12"/>
  <c r="D12" i="12" s="1"/>
  <c r="D15" i="12"/>
  <c r="B56" i="12"/>
  <c r="E7" i="15" s="1"/>
  <c r="B81" i="12"/>
  <c r="B104" i="12"/>
  <c r="B114" i="12"/>
  <c r="B57" i="12"/>
  <c r="H22" i="12"/>
  <c r="H32" i="12"/>
  <c r="B107" i="12"/>
  <c r="E6" i="5"/>
  <c r="G14" i="2"/>
  <c r="B54" i="12" s="1"/>
  <c r="D9" i="12"/>
  <c r="D14" i="12"/>
  <c r="B72" i="12"/>
  <c r="B76" i="12" s="1"/>
  <c r="G9" i="15" s="1"/>
  <c r="B124" i="12"/>
  <c r="B109" i="12"/>
  <c r="D6" i="12"/>
  <c r="D11" i="12"/>
  <c r="D16" i="12"/>
  <c r="H21" i="12"/>
  <c r="E30" i="12"/>
  <c r="H31" i="12"/>
  <c r="B84" i="12"/>
  <c r="B92" i="12"/>
  <c r="B97" i="12"/>
  <c r="B126" i="12"/>
  <c r="F32" i="5"/>
  <c r="E32" i="5" s="1"/>
  <c r="F36" i="5"/>
  <c r="E36" i="5" s="1"/>
  <c r="B74" i="12" l="1"/>
  <c r="E11" i="12"/>
  <c r="B43" i="12"/>
  <c r="G11" i="12"/>
  <c r="B39" i="12"/>
  <c r="G7" i="12"/>
  <c r="E7" i="12"/>
  <c r="E14" i="12"/>
  <c r="B46" i="12"/>
  <c r="G14" i="12"/>
  <c r="B128" i="12"/>
  <c r="K9" i="15" s="1"/>
  <c r="K7" i="15"/>
  <c r="E6" i="12"/>
  <c r="B38" i="12"/>
  <c r="G6" i="12"/>
  <c r="B125" i="12"/>
  <c r="I9" i="15" s="1"/>
  <c r="I7" i="15"/>
  <c r="E9" i="12"/>
  <c r="B41" i="12"/>
  <c r="G9" i="12"/>
  <c r="B47" i="12"/>
  <c r="G15" i="12"/>
  <c r="E15" i="12"/>
  <c r="B45" i="12"/>
  <c r="G13" i="12"/>
  <c r="E13" i="12"/>
  <c r="G32" i="5"/>
  <c r="E24" i="12"/>
  <c r="G12" i="12"/>
  <c r="E12" i="12"/>
  <c r="B44" i="12"/>
  <c r="B40" i="12"/>
  <c r="G8" i="12"/>
  <c r="E8" i="12"/>
  <c r="E16" i="12"/>
  <c r="B48" i="12"/>
  <c r="G16" i="12"/>
  <c r="B42" i="12"/>
  <c r="G10" i="12"/>
  <c r="E10" i="12"/>
  <c r="B49" i="12" l="1"/>
</calcChain>
</file>

<file path=xl/sharedStrings.xml><?xml version="1.0" encoding="utf-8"?>
<sst xmlns="http://schemas.openxmlformats.org/spreadsheetml/2006/main" count="453" uniqueCount="311">
  <si>
    <t>AGED 61+</t>
  </si>
  <si>
    <t>2   The unconverted pool keeps growing: 2.25m in 2019, 2.68m in 2025</t>
  </si>
  <si>
    <t>6   European ceiling: Germany sits far below the northern markets</t>
  </si>
  <si>
    <t>ICT702 Task 2 — Growing Golf in Germany  (v2, full source set)</t>
  </si>
  <si>
    <t>Data sources, definitions, reconciliation and workbook structure</t>
  </si>
  <si>
    <t>PURPOSE</t>
  </si>
  <si>
    <t>Data basis for an Excel dashboard supporting the executive board of the German Golf Federation (DGV) in strategic decisions aimed at increasing participation in golf. The twelve state golf associations are the secondary audience, as the layer that implements those decisions regionally.</t>
  </si>
  <si>
    <t>AUDIENCE</t>
  </si>
  <si>
    <t>Primary: the DGV executive board, which sets national participation strategy and allocates the programme budget. Secondary: the twelve state golf associations, which implement it regionally.</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</si>
  <si>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</si>
  <si>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</si>
  <si>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</si>
  <si>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</si>
  <si>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</si>
  <si>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</si>
  <si>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</si>
  <si>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</si>
  <si>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</si>
  <si>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</si>
  <si>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</si>
  <si>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</si>
  <si>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</si>
  <si>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</si>
  <si>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</si>
  <si>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</si>
  <si>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</si>
  <si>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</si>
  <si>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</si>
  <si>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</si>
  <si>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</si>
  <si>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</si>
  <si>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</si>
  <si>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</si>
  <si>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</si>
  <si>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</si>
  <si>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</si>
  <si>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</si>
  <si>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</si>
  <si>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</si>
  <si>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</si>
  <si>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</si>
  <si>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</si>
  <si>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</si>
  <si>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</si>
  <si>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</si>
  <si>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</si>
  <si>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</si>
  <si>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</si>
  <si>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</si>
  <si>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</si>
  <si>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</si>
  <si>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</si>
  <si>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</si>
  <si>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</si>
  <si>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</si>
  <si>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</si>
  <si>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</si>
  <si>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</si>
  <si>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</si>
  <si>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</si>
  <si>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</si>
  <si>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</si>
  <si>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</si>
  <si>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</si>
  <si>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</si>
  <si>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</si>
  <si>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</si>
  <si>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</si>
  <si>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</si>
  <si>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</si>
  <si>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</si>
  <si>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</si>
  <si>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</si>
  <si>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</si>
  <si>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</si>
  <si>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</si>
  <si>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</si>
  <si>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</si>
  <si>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</si>
  <si>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</si>
  <si>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</si>
  <si>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</si>
  <si>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</si>
  <si>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</si>
  <si>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</si>
  <si>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</si>
  <si>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</si>
  <si>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</si>
  <si>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</si>
  <si>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</si>
  <si>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</si>
  <si>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</si>
  <si>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</si>
  <si>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</si>
  <si>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</si>
  <si>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</si>
  <si>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</si>
  <si>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</si>
  <si>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</si>
  <si>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</si>
  <si>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</si>
  <si>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</si>
  <si>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</si>
  <si>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</si>
  <si>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</si>
  <si>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</si>
  <si>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</si>
  <si>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</si>
  <si>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</si>
  <si>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</si>
  <si>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</si>
  <si>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</si>
  <si>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</si>
  <si>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</si>
  <si>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</si>
  <si>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</si>
  <si>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</si>
  <si>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</si>
  <si>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</si>
  <si>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</si>
  <si>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</si>
  <si>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</si>
  <si>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</si>
  <si>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</si>
  <si>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</si>
  <si>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</si>
  <si>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</si>
  <si>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</si>
  <si>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</si>
  <si>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</si>
  <si>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</si>
  <si>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</si>
  <si>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</si>
  <si>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</si>
  <si>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</si>
  <si>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</si>
  <si>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</si>
  <si>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</si>
  <si>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</si>
  <si>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</si>
  <si>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</si>
  <si>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</si>
  <si>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</si>
  <si>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</si>
  <si>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</si>
  <si>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</si>
  <si>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</si>
  <si>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</si>
  <si>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</si>
  <si>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</si>
  <si>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</si>
  <si>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</si>
  <si>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</si>
  <si>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</si>
  <si>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</si>
  <si>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</si>
  <si>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</si>
  <si>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</si>
  <si>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</si>
  <si>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</si>
  <si>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</si>
  <si>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</si>
  <si>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</si>
  <si>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</si>
  <si>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</si>
  <si>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</si>
  <si>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</si>
  <si>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</si>
  <si>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</si>
  <si>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</si>
  <si>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</si>
  <si>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</si>
  <si>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</si>
  <si>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</si>
  <si>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</si>
  <si>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</si>
  <si>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</si>
  <si>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</si>
  <si>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</si>
  <si>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</si>
  <si>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</si>
  <si>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</si>
  <si>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</si>
  <si>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</si>
  <si>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</si>
  <si>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</si>
  <si>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</si>
  <si>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</si>
  <si>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</si>
  <si>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</si>
  <si>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</si>
  <si>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</si>
  <si>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</si>
  <si>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</si>
  <si>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</si>
  <si>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</si>
  <si>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</si>
  <si>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</si>
  <si>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</si>
  <si>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</si>
  <si>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</si>
  <si>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</si>
  <si>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</si>
  <si>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</si>
  <si>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</si>
  <si>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</si>
  <si>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</si>
  <si>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</si>
  <si>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</si>
  <si>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</si>
  <si>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</si>
  <si>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</si>
  <si>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</si>
  <si>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</si>
  <si>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</si>
  <si>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</si>
  <si>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</si>
  <si>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</si>
  <si>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</si>
  <si>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</si>
  <si>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</si>
  <si>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</si>
  <si>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</si>
  <si>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</si>
  <si>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</si>
  <si>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</si>
  <si>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</si>
  <si>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</si>
  <si>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</si>
  <si>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</si>
  <si>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</si>
  <si>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</si>
  <si>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</si>
  <si>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</si>
  <si>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</si>
  <si>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</si>
  <si>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</si>
  <si>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</si>
  <si>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</si>
  <si>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</si>
  <si>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</si>
  <si>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</si>
  <si>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</si>
  <si>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</si>
  <si>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</si>
  <si>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</si>
  <si>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</si>
  <si>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</si>
  <si>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</si>
  <si>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</si>
  <si>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</si>
  <si>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</si>
  <si>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</si>
  <si>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</si>
  <si>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</si>
  <si>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</si>
  <si>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</si>
  <si>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</si>
  <si>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</si>
  <si>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</si>
  <si>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</si>
  <si>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</si>
  <si>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</si>
  <si>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under-19 members (%)</t>
  </si>
  <si>
    <t>Stage sizes in millions of people</t>
  </si>
  <si>
    <t>Grey = interested, orange = people who play, blue = DGV members. Millions of people.</t>
  </si>
  <si>
    <t>Stage</t>
  </si>
  <si>
    <t>Playing without a membership</t>
  </si>
  <si>
    <t>Golfers who play but hold no DGV membership: 2.25m in 2019, 2.68m in 2025 — an increase of 437,000 in six years.</t>
  </si>
  <si>
    <t>F)  Members by age cohort — source for the slope chart</t>
  </si>
  <si>
    <t>Age cohort</t>
  </si>
  <si>
    <t>19 to 40</t>
  </si>
  <si>
    <t>41 to 60</t>
  </si>
  <si>
    <t>Untapped potential to national average</t>
  </si>
  <si>
    <t>Untapped potential = (national average density − association density) × population, floored at zero. Values repeat for federal states served by the same association, so do not sum column G down the list; the national total is 115,301.</t>
  </si>
  <si>
    <t>G)  Female share by age band — source for the dashboard chart</t>
  </si>
  <si>
    <t>Women are well represented among children and members over 50, but fall to 22.8% in the 36-40 band — the steepest decline of any cohort since 2016 (-7.9 pp).</t>
  </si>
  <si>
    <t>Berlin</t>
  </si>
  <si>
    <t>Brandenburg</t>
  </si>
  <si>
    <t>Bremen</t>
  </si>
  <si>
    <t>Saarland</t>
  </si>
  <si>
    <t>H)  Untapped potential, ranked — source for the dashboard chart</t>
  </si>
  <si>
    <t>Untapped potential</t>
  </si>
  <si>
    <t>Saxony/Thuringia and Berlin/Brandenburg together hold 61,606 of the 115,301 members of untapped potential — 53 per cent — while operating only forty facilities between them.</t>
  </si>
  <si>
    <t>GROWING GOLF IN GERMANY  -  Participation Dashboard 2016-2025</t>
  </si>
  <si>
    <t>PLAYERS PER FACILITY</t>
  </si>
  <si>
    <t>I)  Facility utilisation — source for the KPI tile</t>
  </si>
  <si>
    <t>Players per facility in benchmark year</t>
  </si>
  <si>
    <t>Change in players per facility</t>
  </si>
  <si>
    <t>J)  KPI tile measures</t>
  </si>
  <si>
    <t>Under-19 members 2025</t>
  </si>
  <si>
    <t>Change in under-19 members (abs.)</t>
  </si>
  <si>
    <t>Members aged 41-60, 2025</t>
  </si>
  <si>
    <t>Members aged 41-60 in benchmark year</t>
  </si>
  <si>
    <t>Change in members aged 41-60 (abs.)</t>
  </si>
  <si>
    <t>FEMALE SHARE</t>
  </si>
  <si>
    <t>Change in 61+ share %</t>
  </si>
  <si>
    <t>Change in female share %</t>
  </si>
  <si>
    <t>2025 Stats</t>
  </si>
  <si>
    <t>Colour encoding: blue #0072B2 = the subject of the chart, or values above the reference   ·   orange #E69F00 = what needs attention: the loss, the shortfall, or values below the reference   ·   grey = context and comparison baselines   ·   red dashed line = reference value.  Sources: Deutscher Golf Verband (2017–2026); Institut für Demoskopie Allensbach / AWA 2025 via Statista; The R&amp;A (2025); Statistisches Bundesamt (2025). Full source list and caveats on sheet 00_README.</t>
  </si>
  <si>
    <t>3   A coastal pattern, not an east-west one: the three lowest regions are eastern, the three highest lie on the northern coast</t>
  </si>
  <si>
    <t>4   The centre of gravity shifts: the 41-60 cohort falls below the over-60s</t>
  </si>
  <si>
    <t>7  Domestic headroom: penetration varies eighteenfold (red line = national average, 8.3)</t>
  </si>
  <si>
    <t>5  Where golf loses women: the share halves between childhood and age 40</t>
  </si>
  <si>
    <t>PLAYERS TOTAL</t>
  </si>
  <si>
    <t>UNDER 19 TOTAL</t>
  </si>
  <si>
    <t>COHORT 41-60 TOTAL</t>
  </si>
  <si>
    <t>Mecklenburg-Western Pomerania</t>
  </si>
  <si>
    <t>Lower Saxony/Bremen</t>
  </si>
  <si>
    <t>Rhineland-Palatinate/Saarland</t>
  </si>
  <si>
    <t>Saxony/Thuringia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</si>
</sst>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
    <numFmt numFmtId="168" formatCode="\+#,##0.0;\-#,##0.0"/>
    <numFmt numFmtId="169" formatCode="\+0.00;\-0.00"/>
  </numFmts>
  <fonts count="17"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
      <sz val="11"/>
      <color theme="1"/>
      <name val="Calibri"/>
      <family val="2"/>
      <scheme val="minor"/>
    </font>
    <font>
      <b/>
      <sz val="14"/>
      <color theme="1"/>
      <name val="Calibri"/>
      <family val="2"/>
      <scheme val="minor"/>
    </font>
    <font>
      <sz val="11"/>
      <color rgb="FFFFFFFF"/>
      <name val="Calibri"/>
      <family val="2"/>
    </font>
  </fonts>
  <fills count="9">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theme="0" tint="-4.9989318521683403E-2"/>
        <bgColor indexed="64"/>
      </patternFill>
    </fill>
    <fill>
      <patternFill patternType="solid">
        <fgColor theme="0" tint="-0.34998626667073579"/>
        <bgColor indexed="64"/>
      </patternFill>
    </fill>
    <fill>
      <patternFill patternType="solid">
        <fgColor theme="0" tint="-0.14999847407452621"/>
        <bgColor indexed="64"/>
      </patternFill>
    </fill>
  </fills>
  <borders count="13">
    <border>
      <left/>
      <right/>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style="thin">
        <color indexed="64"/>
      </left>
      <right/>
      <top style="thin">
        <color indexed="64"/>
      </top>
      <bottom style="thin">
        <color rgb="FFBFBFBF"/>
      </bottom>
      <diagonal/>
    </border>
    <border>
      <left/>
      <right/>
      <top style="thin">
        <color indexed="64"/>
      </top>
      <bottom style="thin">
        <color rgb="FFBFBFBF"/>
      </bottom>
      <diagonal/>
    </border>
    <border>
      <left/>
      <right style="thin">
        <color indexed="64"/>
      </right>
      <top style="thin">
        <color indexed="64"/>
      </top>
      <bottom style="thin">
        <color rgb="FFBFBFBF"/>
      </bottom>
      <diagonal/>
    </border>
    <border>
      <left style="thin">
        <color indexed="64"/>
      </left>
      <right style="thin">
        <color rgb="FFBFBFBF"/>
      </right>
      <top style="thin">
        <color rgb="FFBFBFBF"/>
      </top>
      <bottom style="thin">
        <color rgb="FFBFBFBF"/>
      </bottom>
      <diagonal/>
    </border>
    <border>
      <left style="thin">
        <color rgb="FFBFBFBF"/>
      </left>
      <right style="thin">
        <color indexed="64"/>
      </right>
      <top style="thin">
        <color rgb="FFBFBFBF"/>
      </top>
      <bottom style="thin">
        <color rgb="FFBFBFBF"/>
      </bottom>
      <diagonal/>
    </border>
    <border>
      <left style="thin">
        <color indexed="64"/>
      </left>
      <right style="thin">
        <color rgb="FFBFBFBF"/>
      </right>
      <top style="thin">
        <color rgb="FFBFBFBF"/>
      </top>
      <bottom style="thin">
        <color indexed="64"/>
      </bottom>
      <diagonal/>
    </border>
    <border>
      <left style="thin">
        <color rgb="FFBFBFBF"/>
      </left>
      <right style="thin">
        <color rgb="FFBFBFBF"/>
      </right>
      <top style="thin">
        <color rgb="FFBFBFBF"/>
      </top>
      <bottom style="thin">
        <color indexed="64"/>
      </bottom>
      <diagonal/>
    </border>
    <border>
      <left style="thin">
        <color rgb="FFBFBFBF"/>
      </left>
      <right style="thin">
        <color indexed="64"/>
      </right>
      <top style="thin">
        <color rgb="FFBFBFBF"/>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s>
  <cellStyleXfs count="2">
    <xf numFmtId="0" fontId="0" fillId="0" borderId="0"/>
    <xf numFmtId="9" fontId="14" fillId="0" borderId="0" applyFont="0" applyFill="0" applyBorder="0" applyAlignment="0" applyProtection="0"/>
  </cellStyleXfs>
  <cellXfs count="72">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5" fontId="0" fillId="0" borderId="1" xfId="0" applyNumberFormat="1" applyBorder="1"/>
    <xf numFmtId="166" fontId="0" fillId="0" borderId="1" xfId="0" applyNumberFormat="1" applyBorder="1"/>
    <xf numFmtId="167"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6" fontId="5" fillId="0" borderId="1" xfId="0" applyNumberFormat="1" applyFont="1" applyBorder="1"/>
    <xf numFmtId="165"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7" fontId="5" fillId="4" borderId="1" xfId="0" applyNumberFormat="1" applyFont="1" applyFill="1" applyBorder="1"/>
    <xf numFmtId="165" fontId="5" fillId="4" borderId="1" xfId="0" applyNumberFormat="1" applyFont="1" applyFill="1" applyBorder="1"/>
    <xf numFmtId="167" fontId="5" fillId="0" borderId="1" xfId="0" applyNumberFormat="1" applyFont="1" applyBorder="1"/>
    <xf numFmtId="168" fontId="0" fillId="0" borderId="1" xfId="0" applyNumberFormat="1" applyBorder="1"/>
    <xf numFmtId="164" fontId="0" fillId="0" borderId="1" xfId="0" applyNumberFormat="1" applyBorder="1"/>
    <xf numFmtId="164" fontId="5" fillId="0" borderId="1" xfId="0" applyNumberFormat="1" applyFont="1" applyBorder="1"/>
    <xf numFmtId="169" fontId="5" fillId="0" borderId="1" xfId="0" applyNumberFormat="1" applyFont="1" applyBorder="1"/>
    <xf numFmtId="0" fontId="12" fillId="0" borderId="0" xfId="0" applyFont="1"/>
    <xf numFmtId="4" fontId="7" fillId="0" borderId="1" xfId="0" applyNumberFormat="1" applyFont="1" applyBorder="1"/>
    <xf numFmtId="0" fontId="4" fillId="2" borderId="2" xfId="0" applyFont="1" applyFill="1" applyBorder="1" applyAlignment="1">
      <alignment horizontal="center" vertical="center" wrapText="1"/>
    </xf>
    <xf numFmtId="166" fontId="0" fillId="0" borderId="2" xfId="0" applyNumberFormat="1" applyBorder="1"/>
    <xf numFmtId="166" fontId="5" fillId="0" borderId="2" xfId="0" applyNumberFormat="1" applyFont="1" applyBorder="1"/>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3" fontId="0" fillId="0" borderId="6" xfId="0" applyNumberFormat="1" applyBorder="1"/>
    <xf numFmtId="3" fontId="0" fillId="0" borderId="7" xfId="0" applyNumberFormat="1" applyBorder="1"/>
    <xf numFmtId="167" fontId="0" fillId="0" borderId="7" xfId="0" applyNumberFormat="1" applyBorder="1"/>
    <xf numFmtId="3" fontId="5" fillId="0" borderId="8" xfId="0" applyNumberFormat="1" applyFont="1" applyBorder="1"/>
    <xf numFmtId="3" fontId="5" fillId="0" borderId="9" xfId="0" applyNumberFormat="1" applyFont="1" applyBorder="1"/>
    <xf numFmtId="165" fontId="5" fillId="0" borderId="9" xfId="0" applyNumberFormat="1" applyFont="1" applyBorder="1"/>
    <xf numFmtId="3" fontId="0" fillId="0" borderId="9" xfId="0" applyNumberFormat="1" applyBorder="1"/>
    <xf numFmtId="167" fontId="0" fillId="0" borderId="9" xfId="0" applyNumberFormat="1" applyBorder="1"/>
    <xf numFmtId="167" fontId="0" fillId="0" borderId="10" xfId="0" applyNumberFormat="1" applyBorder="1"/>
    <xf numFmtId="0" fontId="0" fillId="7" borderId="0" xfId="0" applyFill="1"/>
    <xf numFmtId="10" fontId="7" fillId="0" borderId="1" xfId="1" applyNumberFormat="1" applyFont="1" applyBorder="1"/>
    <xf numFmtId="10" fontId="7" fillId="0" borderId="1" xfId="0" applyNumberFormat="1" applyFont="1" applyBorder="1"/>
    <xf numFmtId="0" fontId="16" fillId="7" borderId="0" xfId="0" applyFont="1" applyFill="1" applyAlignment="1">
      <alignment horizontal="center" vertical="center" wrapText="1"/>
    </xf>
    <xf numFmtId="0" fontId="13" fillId="0" borderId="0" xfId="0" applyFont="1" applyAlignment="1">
      <alignment vertical="top" wrapText="1"/>
    </xf>
    <xf numFmtId="165" fontId="5" fillId="8" borderId="12" xfId="0" applyNumberFormat="1" applyFont="1" applyFill="1" applyBorder="1"/>
    <xf numFmtId="1" fontId="11" fillId="8" borderId="11" xfId="0" applyNumberFormat="1" applyFont="1" applyFill="1" applyBorder="1" applyAlignment="1">
      <alignment horizontal="center" vertical="center"/>
    </xf>
    <xf numFmtId="0" fontId="16" fillId="7" borderId="0" xfId="0" applyFont="1" applyFill="1" applyAlignment="1">
      <alignment horizontal="center" vertical="center"/>
    </xf>
    <xf numFmtId="0" fontId="9" fillId="2" borderId="0" xfId="0" applyFont="1" applyFill="1" applyAlignment="1">
      <alignment horizontal="center" vertical="center"/>
    </xf>
    <xf numFmtId="0" fontId="13" fillId="0" borderId="0" xfId="0" applyFont="1" applyAlignment="1">
      <alignment horizontal="center" vertical="top" wrapText="1"/>
    </xf>
    <xf numFmtId="0" fontId="2" fillId="0" borderId="0" xfId="0" applyFont="1" applyAlignment="1">
      <alignment horizontal="left" indent="1"/>
    </xf>
    <xf numFmtId="0" fontId="0" fillId="0" borderId="0" xfId="0"/>
    <xf numFmtId="0" fontId="10" fillId="7" borderId="0" xfId="0" applyFont="1" applyFill="1" applyAlignment="1">
      <alignment horizontal="center" vertical="center"/>
    </xf>
    <xf numFmtId="0" fontId="0" fillId="7" borderId="0" xfId="0" applyFill="1"/>
    <xf numFmtId="0" fontId="2" fillId="0" borderId="0" xfId="0" applyFont="1"/>
    <xf numFmtId="3" fontId="11" fillId="5" borderId="0" xfId="0" applyNumberFormat="1" applyFont="1" applyFill="1" applyAlignment="1">
      <alignment horizontal="center" vertical="center"/>
    </xf>
    <xf numFmtId="0" fontId="0" fillId="5" borderId="0" xfId="0" applyFill="1"/>
    <xf numFmtId="165" fontId="11" fillId="5" borderId="0" xfId="0" applyNumberFormat="1" applyFont="1" applyFill="1" applyAlignment="1">
      <alignment horizontal="center" vertical="center"/>
    </xf>
    <xf numFmtId="1" fontId="11" fillId="5" borderId="0" xfId="1" applyNumberFormat="1" applyFont="1" applyFill="1" applyBorder="1" applyAlignment="1">
      <alignment horizontal="center" vertical="center"/>
    </xf>
    <xf numFmtId="1" fontId="0" fillId="5" borderId="0" xfId="1" applyNumberFormat="1" applyFont="1" applyFill="1" applyBorder="1"/>
    <xf numFmtId="1" fontId="0" fillId="0" borderId="0" xfId="1" applyNumberFormat="1" applyFont="1" applyBorder="1"/>
    <xf numFmtId="164" fontId="15" fillId="6" borderId="0" xfId="0" applyNumberFormat="1" applyFont="1" applyFill="1" applyAlignment="1">
      <alignment horizontal="center"/>
    </xf>
    <xf numFmtId="166" fontId="15" fillId="6" borderId="0" xfId="1" applyNumberFormat="1" applyFont="1" applyFill="1" applyAlignment="1">
      <alignment horizontal="center"/>
    </xf>
    <xf numFmtId="0" fontId="6" fillId="3" borderId="0" xfId="0" applyFont="1" applyFill="1" applyAlignment="1">
      <alignment horizontal="center"/>
    </xf>
    <xf numFmtId="0" fontId="0" fillId="0" borderId="3" xfId="0" applyBorder="1" applyAlignment="1">
      <alignment horizontal="center"/>
    </xf>
    <xf numFmtId="0" fontId="0" fillId="0" borderId="4" xfId="0" applyBorder="1" applyAlignment="1">
      <alignment horizontal="center"/>
    </xf>
    <xf numFmtId="0" fontId="0" fillId="0" borderId="5" xfId="0" applyBorder="1" applyAlignment="1">
      <alignment horizontal="center"/>
    </xf>
  </cellXfs>
  <cellStyles count="2">
    <cellStyle name="Normal" xfId="0" builtinId="0"/>
    <cellStyle name="Per 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solidFill>
                <a:srgbClr val="0072B2"/>
              </a:solidFill>
              <a:ln w="9525">
                <a:solidFill>
                  <a:srgbClr val="0072B2"/>
                </a:solidFill>
              </a:ln>
            </c:spPr>
          </c:marker>
          <c:dLbls>
            <c:dLbl>
              <c:idx val="1"/>
              <c:delete val="1"/>
              <c:extLst>
                <c:ext xmlns:c15="http://schemas.microsoft.com/office/drawing/2012/chart" uri="{CE6537A1-D6FC-4f65-9D91-7224C49458BB}"/>
                <c:ext xmlns:c16="http://schemas.microsoft.com/office/drawing/2014/chart" uri="{C3380CC4-5D6E-409C-BE32-E72D297353CC}">
                  <c16:uniqueId val="{00000000-8D0D-5741-8164-94BF3113929D}"/>
                </c:ext>
              </c:extLst>
            </c:dLbl>
            <c:dLbl>
              <c:idx val="2"/>
              <c:delete val="1"/>
              <c:extLst>
                <c:ext xmlns:c15="http://schemas.microsoft.com/office/drawing/2012/chart" uri="{CE6537A1-D6FC-4f65-9D91-7224C49458BB}"/>
                <c:ext xmlns:c16="http://schemas.microsoft.com/office/drawing/2014/chart" uri="{C3380CC4-5D6E-409C-BE32-E72D297353CC}">
                  <c16:uniqueId val="{00000001-8D0D-5741-8164-94BF3113929D}"/>
                </c:ext>
              </c:extLst>
            </c:dLbl>
            <c:dLbl>
              <c:idx val="3"/>
              <c:delete val="1"/>
              <c:extLst>
                <c:ext xmlns:c15="http://schemas.microsoft.com/office/drawing/2012/chart" uri="{CE6537A1-D6FC-4f65-9D91-7224C49458BB}"/>
                <c:ext xmlns:c16="http://schemas.microsoft.com/office/drawing/2014/chart" uri="{C3380CC4-5D6E-409C-BE32-E72D297353CC}">
                  <c16:uniqueId val="{00000002-8D0D-5741-8164-94BF3113929D}"/>
                </c:ext>
              </c:extLst>
            </c:dLbl>
            <c:dLbl>
              <c:idx val="4"/>
              <c:delete val="1"/>
              <c:extLst>
                <c:ext xmlns:c15="http://schemas.microsoft.com/office/drawing/2012/chart" uri="{CE6537A1-D6FC-4f65-9D91-7224C49458BB}"/>
                <c:ext xmlns:c16="http://schemas.microsoft.com/office/drawing/2014/chart" uri="{C3380CC4-5D6E-409C-BE32-E72D297353CC}">
                  <c16:uniqueId val="{00000003-8D0D-5741-8164-94BF3113929D}"/>
                </c:ext>
              </c:extLst>
            </c:dLbl>
            <c:dLbl>
              <c:idx val="5"/>
              <c:delete val="1"/>
              <c:extLst>
                <c:ext xmlns:c15="http://schemas.microsoft.com/office/drawing/2012/chart" uri="{CE6537A1-D6FC-4f65-9D91-7224C49458BB}"/>
                <c:ext xmlns:c16="http://schemas.microsoft.com/office/drawing/2014/chart" uri="{C3380CC4-5D6E-409C-BE32-E72D297353CC}">
                  <c16:uniqueId val="{00000004-8D0D-5741-8164-94BF3113929D}"/>
                </c:ext>
              </c:extLst>
            </c:dLbl>
            <c:dLbl>
              <c:idx val="6"/>
              <c:delete val="1"/>
              <c:extLst>
                <c:ext xmlns:c15="http://schemas.microsoft.com/office/drawing/2012/chart" uri="{CE6537A1-D6FC-4f65-9D91-7224C49458BB}"/>
                <c:ext xmlns:c16="http://schemas.microsoft.com/office/drawing/2014/chart" uri="{C3380CC4-5D6E-409C-BE32-E72D297353CC}">
                  <c16:uniqueId val="{00000005-8D0D-5741-8164-94BF3113929D}"/>
                </c:ext>
              </c:extLst>
            </c:dLbl>
            <c:dLbl>
              <c:idx val="7"/>
              <c:delete val="1"/>
              <c:extLst>
                <c:ext xmlns:c15="http://schemas.microsoft.com/office/drawing/2012/chart" uri="{CE6537A1-D6FC-4f65-9D91-7224C49458BB}"/>
                <c:ext xmlns:c16="http://schemas.microsoft.com/office/drawing/2014/chart" uri="{C3380CC4-5D6E-409C-BE32-E72D297353CC}">
                  <c16:uniqueId val="{00000006-8D0D-5741-8164-94BF3113929D}"/>
                </c:ext>
              </c:extLst>
            </c:dLbl>
            <c:dLbl>
              <c:idx val="8"/>
              <c:delete val="1"/>
              <c:extLst>
                <c:ext xmlns:c15="http://schemas.microsoft.com/office/drawing/2012/chart" uri="{CE6537A1-D6FC-4f65-9D91-7224C49458BB}"/>
                <c:ext xmlns:c16="http://schemas.microsoft.com/office/drawing/2014/chart" uri="{C3380CC4-5D6E-409C-BE32-E72D297353CC}">
                  <c16:uniqueId val="{00000007-8D0D-5741-8164-94BF3113929D}"/>
                </c:ext>
              </c:extLst>
            </c:dLbl>
            <c:dLbl>
              <c:idx val="9"/>
              <c:layout>
                <c:manualLayout>
                  <c:x val="-1.5857392825896763E-3"/>
                  <c:y val="4.129050432163471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6DE-6248-8832-9D2CC45459BE}"/>
                </c:ext>
              </c:extLst>
            </c:dLbl>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ser>
          <c:idx val="1"/>
          <c:order val="1"/>
          <c:tx>
            <c:strRef>
              <c:f>'06_Metrics'!$A$21:$A$31</c:f>
              <c:strCache>
                <c:ptCount val="11"/>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strCache>
            </c:strRef>
          </c:tx>
          <c:dLbls>
            <c:spPr>
              <a:noFill/>
              <a:ln>
                <a:noFill/>
              </a:ln>
              <a:effectLst/>
            </c:spPr>
            <c:dLblPos val="b"/>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'06_Metrics'!$A$32</c:f>
              <c:numCache>
                <c:formatCode>General</c:formatCode>
                <c:ptCount val="1"/>
                <c:pt idx="0">
                  <c:v>0</c:v>
                </c:pt>
              </c:numCache>
            </c:numRef>
          </c:val>
          <c:smooth val="0"/>
          <c:extLst>
            <c:ext xmlns:c16="http://schemas.microsoft.com/office/drawing/2014/chart" uri="{C3380CC4-5D6E-409C-BE32-E72D297353CC}">
              <c16:uniqueId val="{00000001-86DE-6248-8832-9D2CC45459BE}"/>
            </c:ext>
          </c:extLst>
        </c:ser>
        <c:dLbls>
          <c:dLblPos val="b"/>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Golfers playing without a DGV membership (millions)</a:t>
            </a:r>
          </a:p>
        </c:rich>
      </c:tx>
      <c:overlay val="0"/>
    </c:title>
    <c:autoTitleDeleted val="0"/>
    <c:plotArea>
      <c:layout/>
      <c:barChart>
        <c:barDir val="col"/>
        <c:grouping val="clustered"/>
        <c:varyColors val="1"/>
        <c:ser>
          <c:idx val="0"/>
          <c:order val="0"/>
          <c:tx>
            <c:strRef>
              <c:f>'04_Funnel'!$A$40</c:f>
              <c:strCache>
                <c:ptCount val="1"/>
                <c:pt idx="0">
                  <c:v>Playing without a membership</c:v>
                </c:pt>
              </c:strCache>
            </c:strRef>
          </c:tx>
          <c:spPr>
            <a:solidFill>
              <a:srgbClr val="E69F00"/>
            </a:solidFill>
            <a:ln>
              <a:prstDash val="solid"/>
            </a:ln>
          </c:spPr>
          <c:invertIfNegative val="1"/>
          <c:dLbls>
            <c:dLbl>
              <c:idx val="0"/>
              <c:numFmt formatCode="#,##0.00" sourceLinked="0"/>
              <c:spPr>
                <a:noFill/>
                <a:ln>
                  <a:noFill/>
                </a:ln>
                <a:effectLst/>
              </c:spPr>
              <c:txPr>
                <a:bodyPr wrap="square" lIns="91440" tIns="19050" rIns="38100" bIns="19050" anchor="ctr">
                  <a:spAutoFit/>
                </a:bodyPr>
                <a:lstStyle/>
                <a:p>
                  <a:pPr>
                    <a:defRPr/>
                  </a:pPr>
                  <a:endParaRPr lang="en-DE"/>
                </a:p>
              </c:txPr>
              <c:dLblPos val="inEnd"/>
              <c:showLegendKey val="0"/>
              <c:showVal val="1"/>
              <c:showCatName val="0"/>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0-7D27-BB46-8507-BD7B777914F4}"/>
                </c:ext>
              </c:extLst>
            </c:dLbl>
            <c:numFmt formatCode="0.00" sourceLinked="0"/>
            <c:spPr>
              <a:noFill/>
              <a:ln>
                <a:noFill/>
              </a:ln>
              <a:effectLst/>
            </c:sp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'04_Funnel'!$B$39:$H$39</c:f>
              <c:numCache>
                <c:formatCode>General</c:formatCode>
                <c:ptCount val="7"/>
                <c:pt idx="0">
                  <c:v>2019</c:v>
                </c:pt>
                <c:pt idx="1">
                  <c:v>2020</c:v>
                </c:pt>
                <c:pt idx="2">
                  <c:v>2021</c:v>
                </c:pt>
                <c:pt idx="3">
                  <c:v>2022</c:v>
                </c:pt>
                <c:pt idx="4">
                  <c:v>2023</c:v>
                </c:pt>
                <c:pt idx="5">
                  <c:v>2024</c:v>
                </c:pt>
                <c:pt idx="6">
                  <c:v>2025</c:v>
                </c:pt>
              </c:numCache>
            </c:numRef>
          </c:cat>
          <c:val>
            <c:numRef>
              <c:f>'04_Funnel'!$B$40:$H$40</c:f>
              <c:numCache>
                <c:formatCode>General</c:formatCode>
                <c:ptCount val="7"/>
                <c:pt idx="0">
                  <c:v>2.2469999999999999</c:v>
                </c:pt>
                <c:pt idx="1">
                  <c:v>2.3890000000000002</c:v>
                </c:pt>
                <c:pt idx="2">
                  <c:v>2.4660000000000002</c:v>
                </c:pt>
                <c:pt idx="3">
                  <c:v>2.4370000000000003</c:v>
                </c:pt>
                <c:pt idx="4">
                  <c:v>2.5880000000000001</c:v>
                </c:pt>
                <c:pt idx="5">
                  <c:v>2.7530000000000001</c:v>
                </c:pt>
                <c:pt idx="6">
                  <c:v>2.6840000000000002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00-58C2-2A43-ADB7-E1C01B1A0665}"/>
            </c:ext>
          </c:extLst>
        </c:ser>
        <c:dLbls>
          <c:dLblPos val="inEnd"/>
          <c:showLegendKey val="0"/>
          <c:showVal val="1"/>
          <c:showCatName val="0"/>
          <c:showSerName val="0"/>
          <c:showPercent val="0"/>
          <c:showBubbleSize val="0"/>
        </c:dLbls>
        <c:gapWidth val="40"/>
        <c:axId val="10"/>
        <c:axId val="100"/>
      </c:bar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
          <c:min val="0"/>
        </c:scaling>
        <c:delete val="0"/>
        <c:axPos val="l"/>
        <c:numFmt formatCode="0.0" sourceLinked="0"/>
        <c:majorTickMark val="none"/>
        <c:minorTickMark val="none"/>
        <c:tickLblPos val="nextTo"/>
        <c:crossAx val="10"/>
        <c:crosses val="autoZero"/>
        <c:crossBetween val="between"/>
      </c:valAx>
      <c:spPr>
        <a:ln>
          <a:solidFill>
            <a:schemeClr val="tx1">
              <a:shade val="95000"/>
              <a:satMod val="105000"/>
            </a:schemeClr>
          </a:solidFill>
          <a:round/>
        </a:ln>
      </c:spPr>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Members by age cohort, 2016 and 2025</a:t>
            </a:r>
          </a:p>
        </c:rich>
      </c:tx>
      <c:overlay val="0"/>
    </c:title>
    <c:autoTitleDeleted val="0"/>
    <c:plotArea>
      <c:layout/>
      <c:lineChart>
        <c:grouping val="standard"/>
        <c:varyColors val="1"/>
        <c:ser>
          <c:idx val="0"/>
          <c:order val="0"/>
          <c:tx>
            <c:strRef>
              <c:f>'06_Metrics'!$A$81</c:f>
              <c:strCache>
                <c:ptCount val="1"/>
                <c:pt idx="0">
                  <c:v>Under 19</c:v>
                </c:pt>
              </c:strCache>
            </c:strRef>
          </c:tx>
          <c:spPr>
            <a:ln w="20000">
              <a:solidFill>
                <a:srgbClr val="999999"/>
              </a:solidFill>
              <a:prstDash val="solid"/>
            </a:ln>
          </c:spPr>
          <c:marker>
            <c:symbol val="circle"/>
            <c:size val="6"/>
            <c:spPr>
              <a:solidFill>
                <a:srgbClr val="999999"/>
              </a:solidFill>
              <a:ln w="9525">
                <a:solidFill>
                  <a:srgbClr val="999999"/>
                </a:solidFill>
              </a:ln>
            </c:spPr>
          </c:marker>
          <c:dLbls>
            <c:dLbl>
              <c:idx val="0"/>
              <c:layout>
                <c:manualLayout>
                  <c:x val="-8.9221458782620319E-2"/>
                  <c:y val="1.29324004778041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B8CA-1F48-85B1-F2882D75C308}"/>
                </c:ext>
              </c:extLst>
            </c:dLbl>
            <c:dLbl>
              <c:idx val="1"/>
              <c:layout>
                <c:manualLayout>
                  <c:x val="-2.986441981376532E-3"/>
                  <c:y val="8.599931200550317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B8CA-1F48-85B1-F2882D75C308}"/>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'06_Metrics'!$B$81:$C$81</c:f>
              <c:numCache>
                <c:formatCode>#,##0</c:formatCode>
                <c:ptCount val="2"/>
                <c:pt idx="0">
                  <c:v>43953</c:v>
                </c:pt>
                <c:pt idx="1">
                  <c:v>42798</c:v>
                </c:pt>
              </c:numCache>
            </c:numRef>
          </c:val>
          <c:smooth val="0"/>
          <c:extLst>
            <c:ext xmlns:c16="http://schemas.microsoft.com/office/drawing/2014/chart" uri="{C3380CC4-5D6E-409C-BE32-E72D297353CC}">
              <c16:uniqueId val="{00000000-B8CA-1F48-85B1-F2882D75C308}"/>
            </c:ext>
          </c:extLst>
        </c:ser>
        <c:ser>
          <c:idx val="1"/>
          <c:order val="1"/>
          <c:tx>
            <c:strRef>
              <c:f>'06_Metrics'!$A$82</c:f>
              <c:strCache>
                <c:ptCount val="1"/>
                <c:pt idx="0">
                  <c:v>19 to 40</c:v>
                </c:pt>
              </c:strCache>
            </c:strRef>
          </c:tx>
          <c:spPr>
            <a:ln w="32000">
              <a:solidFill>
                <a:srgbClr val="0072B2"/>
              </a:solidFill>
              <a:prstDash val="solid"/>
            </a:ln>
          </c:spPr>
          <c:marker>
            <c:symbol val="circle"/>
            <c:size val="6"/>
            <c:spPr>
              <a:solidFill>
                <a:srgbClr val="0072B2"/>
              </a:solidFill>
              <a:ln w="9525">
                <a:solidFill>
                  <a:srgbClr val="0072B2"/>
                </a:solidFill>
              </a:ln>
            </c:spPr>
          </c:marker>
          <c:dLbls>
            <c:dLbl>
              <c:idx val="0"/>
              <c:layout>
                <c:manualLayout>
                  <c:x val="-8.5723458338681474E-2"/>
                  <c:y val="-7.8236892056663753E-17"/>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F68-6947-80A1-8C4A4C3E2FF1}"/>
                </c:ext>
              </c:extLst>
            </c:dLbl>
            <c:dLbl>
              <c:idx val="1"/>
              <c:layout>
                <c:manualLayout>
                  <c:x val="-9.8132207708174508E-3"/>
                  <c:y val="-4.2675161375955511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'06_Metrics'!$B$82:$C$82</c:f>
              <c:numCache>
                <c:formatCode>#,##0</c:formatCode>
                <c:ptCount val="2"/>
                <c:pt idx="0">
                  <c:v>90282</c:v>
                </c:pt>
                <c:pt idx="1">
                  <c:v>121811</c:v>
                </c:pt>
              </c:numCache>
            </c:numRef>
          </c:val>
          <c:smooth val="0"/>
          <c:extLst>
            <c:ext xmlns:c16="http://schemas.microsoft.com/office/drawing/2014/chart" uri="{C3380CC4-5D6E-409C-BE32-E72D297353CC}">
              <c16:uniqueId val="{00000001-B8CA-1F48-85B1-F2882D75C308}"/>
            </c:ext>
          </c:extLst>
        </c:ser>
        <c:ser>
          <c:idx val="2"/>
          <c:order val="2"/>
          <c:tx>
            <c:strRef>
              <c:f>'06_Metrics'!$A$83</c:f>
              <c:strCache>
                <c:ptCount val="1"/>
                <c:pt idx="0">
                  <c:v>41 to 60</c:v>
                </c:pt>
              </c:strCache>
            </c:strRef>
          </c:tx>
          <c:spPr>
            <a:ln w="32000">
              <a:solidFill>
                <a:srgbClr val="E69F00"/>
              </a:solidFill>
              <a:prstDash val="solid"/>
            </a:ln>
          </c:spPr>
          <c:marker>
            <c:symbol val="circle"/>
            <c:size val="6"/>
            <c:spPr>
              <a:solidFill>
                <a:srgbClr val="E69F00"/>
              </a:solidFill>
              <a:ln w="9525">
                <a:solidFill>
                  <a:srgbClr val="E69F00"/>
                </a:solidFill>
              </a:ln>
            </c:spPr>
          </c:marker>
          <c:dLbls>
            <c:dLbl>
              <c:idx val="0"/>
              <c:layout>
                <c:manualLayout>
                  <c:x val="-5.3230013590668181E-2"/>
                  <c:y val="-5.547770978874114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F68-6947-80A1-8C4A4C3E2FF1}"/>
                </c:ext>
              </c:extLst>
            </c:dLbl>
            <c:dLbl>
              <c:idx val="1"/>
              <c:layout>
                <c:manualLayout>
                  <c:x val="-3.8927490226559826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'06_Metrics'!$B$80:$C$80</c:f>
              <c:numCache>
                <c:formatCode>General</c:formatCode>
                <c:ptCount val="2"/>
                <c:pt idx="0">
                  <c:v>2016</c:v>
                </c:pt>
                <c:pt idx="1">
                  <c:v>2025</c:v>
                </c:pt>
              </c:numCache>
            </c:numRef>
          </c:cat>
          <c:val>
            <c:numRef>
              <c:f>'06_Metrics'!$B$83:$C$83</c:f>
              <c:numCache>
                <c:formatCode>#,##0</c:formatCode>
                <c:ptCount val="2"/>
                <c:pt idx="0">
                  <c:v>256276</c:v>
                </c:pt>
                <c:pt idx="1">
                  <c:v>224855</c:v>
                </c:pt>
              </c:numCache>
            </c:numRef>
          </c:val>
          <c:smooth val="0"/>
          <c:extLst>
            <c:ext xmlns:c16="http://schemas.microsoft.com/office/drawing/2014/chart" uri="{C3380CC4-5D6E-409C-BE32-E72D297353CC}">
              <c16:uniqueId val="{00000002-B8CA-1F48-85B1-F2882D75C308}"/>
            </c:ext>
          </c:extLst>
        </c:ser>
        <c:ser>
          <c:idx val="3"/>
          <c:order val="3"/>
          <c:tx>
            <c:strRef>
              <c:f>'06_Metrics'!$A$84</c:f>
              <c:strCache>
                <c:ptCount val="1"/>
                <c:pt idx="0">
                  <c:v>61 and over</c:v>
                </c:pt>
              </c:strCache>
            </c:strRef>
          </c:tx>
          <c:spPr>
            <a:ln w="20000">
              <a:solidFill>
                <a:srgbClr val="404040"/>
              </a:solidFill>
              <a:prstDash val="solid"/>
            </a:ln>
          </c:spPr>
          <c:marker>
            <c:symbol val="circle"/>
            <c:size val="6"/>
            <c:spPr>
              <a:solidFill>
                <a:srgbClr val="404040"/>
              </a:solidFill>
              <a:ln w="9525">
                <a:solidFill>
                  <a:srgbClr val="404040"/>
                </a:solidFill>
              </a:ln>
            </c:spPr>
          </c:marker>
          <c:dLbls>
            <c:dLbl>
              <c:idx val="0"/>
              <c:layout>
                <c:manualLayout>
                  <c:x val="-4.7309541842506748E-2"/>
                  <c:y val="7.68152904767185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F68-6947-80A1-8C4A4C3E2FF1}"/>
                </c:ext>
              </c:extLst>
            </c:dLbl>
            <c:dLbl>
              <c:idx val="1"/>
              <c:layout>
                <c:manualLayout>
                  <c:x val="-7.8397301880969612E-3"/>
                  <c:y val="-4.2675161375954826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EF68-6947-80A1-8C4A4C3E2FF1}"/>
                </c:ext>
              </c:extLst>
            </c:dLbl>
            <c:spPr>
              <a:noFill/>
              <a:ln>
                <a:noFill/>
              </a:ln>
              <a:effectLst/>
            </c:sp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numRef>
              <c:f>'06_Metrics'!$B$80:$C$80</c:f>
              <c:numCache>
                <c:formatCode>General</c:formatCode>
                <c:ptCount val="2"/>
                <c:pt idx="0">
                  <c:v>2016</c:v>
                </c:pt>
                <c:pt idx="1">
                  <c:v>2025</c:v>
                </c:pt>
              </c:numCache>
            </c:numRef>
          </c:cat>
          <c:val>
            <c:numRef>
              <c:f>'06_Metrics'!$B$84:$C$84</c:f>
              <c:numCache>
                <c:formatCode>#,##0</c:formatCode>
                <c:ptCount val="2"/>
                <c:pt idx="0">
                  <c:v>252647</c:v>
                </c:pt>
                <c:pt idx="1">
                  <c:v>306153</c:v>
                </c:pt>
              </c:numCache>
            </c:numRef>
          </c:val>
          <c:smooth val="0"/>
          <c:extLst>
            <c:ext xmlns:c16="http://schemas.microsoft.com/office/drawing/2014/chart" uri="{C3380CC4-5D6E-409C-BE32-E72D297353CC}">
              <c16:uniqueId val="{00000003-B8CA-1F48-85B1-F2882D75C308}"/>
            </c:ext>
          </c:extLst>
        </c:ser>
        <c:dLbls>
          <c:dLblPos val="ctr"/>
          <c:showLegendKey val="0"/>
          <c:showVal val="1"/>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ax val="330000"/>
          <c:min val="0"/>
        </c:scaling>
        <c:delete val="0"/>
        <c:axPos val="l"/>
        <c:majorGridlines>
          <c:spPr>
            <a:ln>
              <a:solidFill>
                <a:schemeClr val="tx1">
                  <a:alpha val="25000"/>
                </a:schemeClr>
              </a:solidFill>
            </a:ln>
          </c:spPr>
        </c:majorGridlines>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Female share of members by age band</a:t>
            </a:r>
          </a:p>
        </c:rich>
      </c:tx>
      <c:overlay val="0"/>
    </c:title>
    <c:autoTitleDeleted val="0"/>
    <c:plotArea>
      <c:layout/>
      <c:lineChart>
        <c:grouping val="standard"/>
        <c:varyColors val="1"/>
        <c:ser>
          <c:idx val="0"/>
          <c:order val="0"/>
          <c:tx>
            <c:strRef>
              <c:f>'06_Metrics'!$B$87</c:f>
              <c:strCache>
                <c:ptCount val="1"/>
                <c:pt idx="0">
                  <c:v>2016</c:v>
                </c:pt>
              </c:strCache>
            </c:strRef>
          </c:tx>
          <c:spPr>
            <a:ln w="20000">
              <a:solidFill>
                <a:srgbClr val="999999"/>
              </a:solidFill>
              <a:prstDash val="solid"/>
            </a:ln>
          </c:spPr>
          <c:marker>
            <c:symbol val="circle"/>
            <c:size val="6"/>
            <c:spPr>
              <a:solidFill>
                <a:srgbClr val="999999"/>
              </a:solidFill>
              <a:ln w="9525">
                <a:solidFill>
                  <a:srgbClr val="999999"/>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'06_Metrics'!$B$88:$B$98</c:f>
              <c:numCache>
                <c:formatCode>General</c:formatCode>
                <c:ptCount val="11"/>
                <c:pt idx="0">
                  <c:v>0.37533368926855315</c:v>
                </c:pt>
                <c:pt idx="1">
                  <c:v>0.33730876788945552</c:v>
                </c:pt>
                <c:pt idx="2">
                  <c:v>0.29193875253321322</c:v>
                </c:pt>
                <c:pt idx="3">
                  <c:v>0.2743662735529348</c:v>
                </c:pt>
                <c:pt idx="4">
                  <c:v>0.25738670393292074</c:v>
                </c:pt>
                <c:pt idx="5">
                  <c:v>0.27695705803046383</c:v>
                </c:pt>
                <c:pt idx="6">
                  <c:v>0.30759068837475007</c:v>
                </c:pt>
                <c:pt idx="7">
                  <c:v>0.36041615511236008</c:v>
                </c:pt>
                <c:pt idx="8">
                  <c:v>0.38484921715019776</c:v>
                </c:pt>
                <c:pt idx="9">
                  <c:v>0.40929772210240201</c:v>
                </c:pt>
                <c:pt idx="10">
                  <c:v>0.39370742577588491</c:v>
                </c:pt>
              </c:numCache>
            </c:numRef>
          </c:val>
          <c:smooth val="0"/>
          <c:extLst>
            <c:ext xmlns:c16="http://schemas.microsoft.com/office/drawing/2014/chart" uri="{C3380CC4-5D6E-409C-BE32-E72D297353CC}">
              <c16:uniqueId val="{00000000-A5ED-8E4D-9D8C-FC64F9E112BD}"/>
            </c:ext>
          </c:extLst>
        </c:ser>
        <c:ser>
          <c:idx val="1"/>
          <c:order val="1"/>
          <c:tx>
            <c:strRef>
              <c:f>'06_Metrics'!$C$87</c:f>
              <c:strCache>
                <c:ptCount val="1"/>
                <c:pt idx="0">
                  <c:v>2025</c:v>
                </c:pt>
              </c:strCache>
            </c:strRef>
          </c:tx>
          <c:spPr>
            <a:ln w="32000">
              <a:solidFill>
                <a:srgbClr val="E69F00"/>
              </a:solidFill>
              <a:prstDash val="solid"/>
            </a:ln>
          </c:spPr>
          <c:marker>
            <c:symbol val="circle"/>
            <c:size val="6"/>
            <c:spPr>
              <a:solidFill>
                <a:srgbClr val="E69F00"/>
              </a:solidFill>
              <a:ln w="9525">
                <a:solidFill>
                  <a:srgbClr val="E69F00"/>
                </a:solidFill>
              </a:ln>
            </c:spPr>
          </c:marker>
          <c:cat>
            <c:strRef>
              <c:f>'06_Metrics'!$A$88:$A$98</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'06_Metrics'!$C$88:$C$98</c:f>
              <c:numCache>
                <c:formatCode>General</c:formatCode>
                <c:ptCount val="11"/>
                <c:pt idx="0">
                  <c:v>0.37954859511745737</c:v>
                </c:pt>
                <c:pt idx="1">
                  <c:v>0.34369825206991722</c:v>
                </c:pt>
                <c:pt idx="2">
                  <c:v>0.29316461057870491</c:v>
                </c:pt>
                <c:pt idx="3">
                  <c:v>0.26233984457046838</c:v>
                </c:pt>
                <c:pt idx="4">
                  <c:v>0.24499224900452901</c:v>
                </c:pt>
                <c:pt idx="5">
                  <c:v>0.23384256105867471</c:v>
                </c:pt>
                <c:pt idx="6">
                  <c:v>0.22849491162292448</c:v>
                </c:pt>
                <c:pt idx="7">
                  <c:v>0.31692307692307692</c:v>
                </c:pt>
                <c:pt idx="8">
                  <c:v>0.37931663323330955</c:v>
                </c:pt>
                <c:pt idx="9">
                  <c:v>0.38819033793736524</c:v>
                </c:pt>
                <c:pt idx="10">
                  <c:v>0.38231537825858314</c:v>
                </c:pt>
              </c:numCache>
            </c:numRef>
          </c:val>
          <c:smooth val="0"/>
          <c:extLst>
            <c:ext xmlns:c16="http://schemas.microsoft.com/office/drawing/2014/chart" uri="{C3380CC4-5D6E-409C-BE32-E72D297353CC}">
              <c16:uniqueId val="{00000001-A5ED-8E4D-9D8C-FC64F9E112BD}"/>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majorGridlines>
          <c:spPr>
            <a:ln>
              <a:solidFill>
                <a:srgbClr val="999999">
                  <a:alpha val="50000"/>
                </a:srgbClr>
              </a:solidFill>
            </a:ln>
          </c:spPr>
        </c:majorGridlines>
        <c:numFmt formatCode="General" sourceLinked="1"/>
        <c:majorTickMark val="none"/>
        <c:minorTickMark val="none"/>
        <c:tickLblPos val="nextTo"/>
        <c:crossAx val="100"/>
        <c:crosses val="autoZero"/>
        <c:auto val="1"/>
        <c:lblAlgn val="ctr"/>
        <c:lblOffset val="100"/>
        <c:noMultiLvlLbl val="1"/>
      </c:catAx>
      <c:valAx>
        <c:axId val="100"/>
        <c:scaling>
          <c:orientation val="minMax"/>
          <c:max val="0.45"/>
          <c:min val="0.15"/>
        </c:scaling>
        <c:delete val="0"/>
        <c:axPos val="l"/>
        <c:numFmt formatCode="0%" sourceLinked="0"/>
        <c:majorTickMark val="none"/>
        <c:minorTickMark val="none"/>
        <c:tickLblPos val="nextTo"/>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a:t>
            </a:r>
            <a:r>
              <a:rPr lang="en-GB" baseline="0"/>
              <a:t> </a:t>
            </a:r>
            <a:r>
              <a:rPr lang="en-GB"/>
              <a:t>ranked (VcG excluded)</a:t>
            </a:r>
          </a:p>
        </c:rich>
      </c:tx>
      <c:layout>
        <c:manualLayout>
          <c:xMode val="edge"/>
          <c:yMode val="edge"/>
          <c:x val="0.20505248917748917"/>
          <c:y val="0"/>
        </c:manualLayout>
      </c:layout>
      <c:overlay val="0"/>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Mecklenburg-Western Pomerania</c:v>
                </c:pt>
                <c:pt idx="2">
                  <c:v>Hamburg</c:v>
                </c:pt>
                <c:pt idx="3">
                  <c:v>Bavaria</c:v>
                </c:pt>
                <c:pt idx="4">
                  <c:v>Lower Saxony/Bremen</c:v>
                </c:pt>
                <c:pt idx="5">
                  <c:v>North Rhine-Westphalia</c:v>
                </c:pt>
                <c:pt idx="6">
                  <c:v>Hesse</c:v>
                </c:pt>
                <c:pt idx="7">
                  <c:v>Baden-Württemberg</c:v>
                </c:pt>
                <c:pt idx="8">
                  <c:v>Rhineland-Palatinate/Saarland</c:v>
                </c:pt>
                <c:pt idx="9">
                  <c:v>Berlin/Brandenburg</c:v>
                </c:pt>
                <c:pt idx="10">
                  <c:v>Saxony/Thuringia</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flat">
              <a:solidFill>
                <a:srgbClr val="C00000"/>
              </a:solidFill>
              <a:prstDash val="dash"/>
              <a:round/>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max"/>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0"/>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dLbls>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dLblPos val="outEnd"/>
          <c:showLegendKey val="0"/>
          <c:showVal val="1"/>
          <c:showCatName val="0"/>
          <c:showSerName val="0"/>
          <c:showPercent val="0"/>
          <c:showBubbleSize val="0"/>
        </c:dLbls>
        <c:gapWidth val="150"/>
        <c:axId val="10"/>
        <c:axId val="100"/>
      </c:barChart>
      <c:catAx>
        <c:axId val="10"/>
        <c:scaling>
          <c:orientation val="maxMin"/>
        </c:scaling>
        <c:delete val="0"/>
        <c:axPos val="l"/>
        <c:numFmt formatCode="General" sourceLinked="1"/>
        <c:majorTickMark val="none"/>
        <c:minorTickMark val="none"/>
        <c:tickLblPos val="nextTo"/>
        <c:crossAx val="100"/>
        <c:crosses val="autoZero"/>
        <c:auto val="1"/>
        <c:lblAlgn val="ctr"/>
        <c:lblOffset val="100"/>
        <c:tickLblSkip val="1"/>
        <c:noMultiLvlLbl val="1"/>
      </c:catAx>
      <c:valAx>
        <c:axId val="100"/>
        <c:scaling>
          <c:orientation val="minMax"/>
        </c:scaling>
        <c:delete val="0"/>
        <c:axPos val="b"/>
        <c:numFmt formatCode="#,##0.0" sourceLinked="0"/>
        <c:majorTickMark val="none"/>
        <c:minorTickMark val="none"/>
        <c:tickLblPos val="nextTo"/>
        <c:crossAx val="10"/>
        <c:crosses val="max"/>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_xlchart.v5.12</cx:f>
        <cx:nf>_xlchart.v5.15</cx:nf>
      </cx:strDim>
      <cx:numDim type="colorVal">
        <cx:f>_xlchart.v5.14</cx:f>
      </cx:numDim>
    </cx:data>
  </cx:chartData>
  <cx:chart>
    <cx:title pos="t" align="ctr" overlay="0">
      <cx:tx>
        <cx:txData>
          <cx:v>Golf participation by region: players per 1,000 residents, 2025</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Golf participation by region: players per 1,000 residents, 2025</a:t>
          </a:r>
        </a:p>
      </cx:txPr>
    </cx:title>
    <cx:plotArea>
      <cx:plotAreaRegion>
        <cx:series layoutId="regionMap" uniqueId="{FF8B1334-FBE9-C849-9DD2-87A49D6C29A5}">
          <cx:tx>
            <cx:txData>
              <cx:f>_xlchart.v5.13</cx:f>
              <cx:v>Players per 1,000 pop.</cx:v>
            </cx:txData>
          </cx:tx>
          <cx:dataPt idx="2"/>
          <cx:dataPt idx="3"/>
          <cx:dataPt idx="4"/>
          <cx:dataPt idx="7"/>
          <cx:dataPt idx="8"/>
          <cx:dataPt idx="9"/>
          <cx:dataPt idx="12"/>
          <cx:dataPt idx="13"/>
          <cx:dataPt idx="14"/>
          <cx:dataLabels>
            <cx:txPr>
              <a:bodyPr spcFirstLastPara="1" vertOverflow="ellipsis" horzOverflow="overflow" wrap="square" lIns="0" tIns="0" rIns="0" bIns="0" anchor="ctr" anchorCtr="1"/>
              <a:lstStyle/>
              <a:p>
                <a:pPr algn="ctr" rtl="0">
                  <a:defRPr/>
                </a:pPr>
                <a:endParaRPr lang="en-GB" sz="1000" b="0" i="0" u="none" strike="noStrike" kern="1200" baseline="0">
                  <a:solidFill>
                    <a:sysClr val="windowText" lastClr="000000"/>
                  </a:solidFill>
                  <a:latin typeface="Calibri"/>
                </a:endParaRPr>
              </a:p>
            </cx:txPr>
            <cx:visibility seriesName="0" categoryName="0" value="1"/>
            <cx:separator>, </cx:separator>
            <cx:dataLabel idx="1">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10,9</a:t>
                  </a:r>
                </a:p>
              </cx:txPr>
              <cx:visibility seriesName="0" categoryName="0" value="1"/>
              <cx:separator>, </cx:separator>
            </cx:dataLabel>
            <cx:dataLabel idx="5">
              <cx:txPr>
                <a:bodyPr spcFirstLastPara="1" vertOverflow="ellipsis" horzOverflow="overflow" wrap="square" lIns="0" tIns="0" rIns="0" bIns="0" anchor="ctr" anchorCtr="1"/>
                <a:lstStyle/>
                <a:p>
                  <a:pPr algn="ctr" rtl="0">
                    <a:defRPr sz="600">
                      <a:ln>
                        <a:noFill/>
                      </a:ln>
                      <a:solidFill>
                        <a:sysClr val="windowText" lastClr="000000"/>
                      </a:solidFill>
                    </a:defRPr>
                  </a:pPr>
                  <a:r>
                    <a:rPr lang="en-GB" sz="600" b="0" i="0" u="none" strike="noStrike" kern="1200" baseline="0">
                      <a:ln>
                        <a:noFill/>
                      </a:ln>
                      <a:solidFill>
                        <a:sysClr val="windowText" lastClr="000000"/>
                      </a:solidFill>
                      <a:latin typeface="Calibri"/>
                    </a:rPr>
                    <a:t>11,9</a:t>
                  </a:r>
                </a:p>
              </cx:txPr>
              <cx:visibility seriesName="0" categoryName="0" value="1"/>
              <cx:separator>, </cx:separator>
            </cx:dataLabel>
            <cx:dataLabel idx="6">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7,9</a:t>
                  </a:r>
                </a:p>
              </cx:txPr>
              <cx:visibility seriesName="0" categoryName="0" value="1"/>
              <cx:separator>, </cx:separator>
            </cx:dataLabel>
            <cx:dataLabel idx="9">
              <cx:txPr>
                <a:bodyPr spcFirstLastPara="1" vertOverflow="ellipsis" horzOverflow="overflow" wrap="square" lIns="0" tIns="0" rIns="0" bIns="0" anchor="ctr" anchorCtr="1"/>
                <a:lstStyle/>
                <a:p>
                  <a:pPr algn="ctr" rtl="0">
                    <a:defRPr>
                      <a:solidFill>
                        <a:schemeClr val="tx1"/>
                      </a:solidFill>
                    </a:defRPr>
                  </a:pPr>
                  <a:r>
                    <a:rPr lang="en-GB" sz="1000" b="0" i="0" u="none" strike="noStrike" kern="1200" baseline="0">
                      <a:solidFill>
                        <a:schemeClr val="tx1"/>
                      </a:solidFill>
                      <a:latin typeface="Calibri"/>
                    </a:rPr>
                    <a:t>8,0</a:t>
                  </a:r>
                </a:p>
              </cx:txPr>
              <cx:visibility seriesName="0" categoryName="0" value="1"/>
              <cx:separator>, </cx:separator>
            </cx:dataLabel>
            <cx:dataLabel idx="14">
              <cx:txPr>
                <a:bodyPr spcFirstLastPara="1" vertOverflow="ellipsis" horzOverflow="overflow" wrap="square" lIns="0" tIns="0" rIns="0" bIns="0" anchor="ctr" anchorCtr="1"/>
                <a:lstStyle/>
                <a:p>
                  <a:pPr algn="ctr" rtl="0">
                    <a:defRPr>
                      <a:solidFill>
                        <a:schemeClr val="bg1"/>
                      </a:solidFill>
                    </a:defRPr>
                  </a:pPr>
                  <a:r>
                    <a:rPr lang="en-GB" sz="1000" b="0" i="0" u="none" strike="noStrike" kern="1200" baseline="0">
                      <a:solidFill>
                        <a:schemeClr val="bg1"/>
                      </a:solidFill>
                      <a:latin typeface="Calibri"/>
                    </a:rPr>
                    <a:t>18,4</a:t>
                  </a:r>
                </a:p>
              </cx:txPr>
              <cx:visibility seriesName="0" categoryName="0" value="1"/>
              <cx:separator>, </cx:separator>
            </cx:dataLabel>
            <cx:dataLabelHidden idx="11"/>
          </cx:dataLabels>
          <cx:dataId val="0"/>
          <cx:layoutPr>
            <cx:geography cultureLanguage="en-GB" cultureRegion="DE" attribution="Powered by Bing">
              <cx:geoCache provider="{E9337A44-BEBE-4D9F-B70C-5C5E7DAFC167}">
                <cx:binary>1HtZc9040uVfcfj5gwogsbGjqyMGJO+ifbNk+YUhyzLAFVxAguRvm7f5Y5PyUiWrlu4OOybGqoqq
kHiJC+IgM885Cf7zYf7HQ/V437+a66oZ/vEw//raONf+45dfhgfzWN8PB3X+0NvBfnQHD7b+xX78
mD88/vKhv/d5o38JMKG/PJj73j3Or//1TxhNP9pj+3DvcttcjI/9cvk4jJUb/uban1569WDHxj3d
rmGkX19vH/v6vllev3psXO6W66V9/PX1N595/eqXlyP94VtfVTAxN36Aexk5wBGJpOA4+vQjXr+q
bKO/XCb4IJQY/pHB58vR168+va/h9v9gPp9mc//hQ/84DK++/P/Zjd9M/tnf88HGn589tk8TTdJP
T/bLt2v7r3+++AM864u/PFv+lwvz7y7BdOu8SfLB9fmDI7++vnow1ePgc412thrcY958XY7PSHzz
+f8WCXpABME0pPjzT/ANEtGBJJIGjMjfL3/eBJ+R+OPU/ufVn6Lz7Rz/HJ2/HeybAWBNdq//cpf+
/wni/WybBf2vxtxX7gfiFxxgEhIaBey3UHkeSeRAYMyJENFnAMnXr/6C3/NZfQ90fzHOS9Suf0rU
vq7ZDwg3SHwsCCkLxJ8mvvAgpJJyIcO/geu7cXo2wEuATn86gO776r758OMgohEUH0qxwOGfRRQ/
iFgYQEb8elV+/eqvEfV5Qs/W+HnV/Ga9PxftP1Spq/s/DPHNbZD9jn8ymC5N3jw+4YTO759oQHPv
Hr+u2/dHFUAWkVCElH4F5ZsiJg4ohesYf02RL+jEn03uO+D7N8O9gPLy/CeD8uTxoawem/djr9GN
7Vtb14/9j2Qk4YEIMA0khcr19PMtIyHBARWEyECS38LzOSN5Pr3bx8G9Orcwv/smv/8OSP+jQV8A
e3LzkwG7u6+fQP1xYcnCA0YplLIw+Ixk+E1YAsvHQcgxC9nX7/ycQr9M5Dvw+uMIL8DZ/Wz0cQc6
5gdmTIYPOA4JDjn9BpPoAP5KSMi/BhdA9jy6Pk3je4B5eoxn97+EBeTWTyXNVP9YP/7Y5EewZAKT
zxGDga8/o/PyQMBFJvFXeAC95/B8ns6z9f1vqccfBngJkPrZALr/8Nig2//zv3vnHuv3jz8yv1EJ
+Q1YYvjMpngGFsQSFYKAdv5SqF7QDvWHqX0PcH832AsQ1e3PBiLUb4DxB1cnUM5hxEjAv5hMLzwo
KF4soBwq2OdQfKGc1e9z+h7Y/nSUl3j9dEH32Fc/1KQKDhh4nSL4SglfEInwgAKTIBx/jbQXWfHT
dL4HpZcDvAToZytbp7Z35tUnoYKeSHILplR+/3XVvl+Qgb9LRcQjzNhvwfMsM4oDxgGvEL/Qzn8+
re8A7t8O+ALI058tM16bsYdWwA/FDh9EOBRRGP5uvj/DjoCDBXEYEPKCtf82le/A68/GeAHR9c/G
3NX9dN//SICAdkSUS8Lo7+nuW4AoiSBdRr/j9w1H/Dyf70DpyxM9G+EFRuruJyMYx9Y/9q+uPpnY
PzALBgeCs6e69KXLBQTwGVDRAeEsCp6cxs8/L/jh80k9W+v/ltL/xTAvIDvd/7+G7K8bZr91DpN7
d59+ajk+65n9/dWvzbYXt37Tufzm0b/Cvf/w62tJAihY4Df91sx8GuYbhfVbhvrT+x7vB/fra7Co
APaQPvU3QR9IDMB6qLK/voZ2mpDgHNOISRpB8xP0W/NUiz+1RDkPZShoGEhO4D+vXw12/HQJHwQY
GgY8ArckZITx37q957ZatG1+W5Mvv79qxvrc5o0bYDbkSUS2nz/49JQgLhlI/IjDviMwvzAC5ts+
3F9CIXn6/P9kZeGy2vsilrzKU7uMKUd2OawmZI88jrRTM2V807uLMb9ee0r2Yda1qexYc+ErH8up
ndSo2XnRLadizW8rGSrqG61MK9/mc49i5MurQhdZp+xkWqXz4GPAcbDx6xweWtzMXFmd+euyoUNa
RyRLeeg/5kRs+GTvZClxTH1eqUwKrAJpj6hbhrjgzaRqtlbJ7JqbvivdfhxtUSmeuXGzeko3fOBY
6XKkaaa7biOoLB50FoRJk2U47u06qmVqzntd280wDOXxwlp0zvDan/TZNKejqNNwxO86Tj+2za3O
5enYmbhH5gyZLp2ZQGdFM52QghxptjysUZX2Du/KJTvNDXs30uF4HItOtVSS90Lyi2wulA9dHInT
iLC3Tc2vpybUsZubpJ47FEf14tRUNEZ1sp/3BpEr1MyPIEzeajEUca9braxcyphYcV7X80Uzs1p1
E3tEuahV2fhaMdSzJJ+KSxIUXnXCpj5gaW7JzkQtSxZdXmIxyVxlvHoQpdkus+lzFQwiV2LmUUxI
9HaNlrgR0anpjFa+1Wd54LzS1aBm2cGlRs+xwabbu4DtMx22mzBs32pDuNLzNJwXutYkRlKeLBSX
G2wLfMktrva4iqaEWBKkiAmSiBLbBGGa7bgZgqPetcpwl6UeEWxUHi3oMdDab2XdkrRuuY49r9y+
GwurIonXRq1Z3VWK5FWmRMW5KpepPS2LyikakCGxwtEN7lpxzFaBHzwz/bFetEhypPONxEN2hpbA
vmmt0UfFXJWboObDhekrptp8tMflkJlDU9JILbmmsW+6Ii0gYsxYyCNTtk71vLJxUE/VOWdYDbaT
h2XB+7cTYtDN542qWDNUsFz0zaTHYJf5harCrscC23ZDSslObBag3RqZ+3IoL0NPhyRq5vyQlGEe
s2l5xA2JWc7GRMtqvIHkcSEjWSsf5KdVI8VmCsUVJwE5Xhbapsys1XaeEL5yuqbJQvV17yNyCG2R
9x22q5p1kbi2vccopLHN2g7OIMhe5TREKl+nw6CVh00VXfM2IhvKliYhtf3YBTSI84XsFl/mcU2a
IG0r+rGf2iyeJf1Ym6KKgxV2b7NwrYoqOPaZ29RdvyRu7ErlivlDpkWjTNHqrZ7cAkcwqgcj8hhV
2bpBUanjeoWNbKjjygXR0ZBVyiw6nfrSq6BYUqCkNzOLxrQSkVX9PHhleYMTnOcPvkRGlRXkJaHR
lWnyOs5wtwt0e4HEwLZ16d8VAVft6NNiFhuc2SMCCYwMpla5rRPT+e2AYBvOrFMiXzfGdnE5Lzdt
WDcqr8xluzgSG4sS3fWbEjVUoYqcZpDrNyP39CxbznI6qqYx712JC7VW7G6yC0nLQaNE5nOkVjGu
sZn72yoSfSJyfu6bj97NSBGx9vuWz3uUR7Vqo1ZuSNVn+2nW/YYZfGmLYLs23myqUJxjp+fDpg17
BTP0cR+MTeKdPhpck+Kijot1OjUYbwmrE+EFi6siuBd82rRDt7fRelJY/bD07YbXxX4U+JijaYsr
ciGn5Y2h7KoVfVot/fGazS3sV6zyvH1c9GQVjrJZkcgkJSs75WlZbCbSnKCgatU8mMe86nUcTmuv
Fjq+X6uCxmPA9zoqujiyOY9LFPXxmDN260yOVV2spFIFbcJ4agWOl6be+qa9cT1KBhmQZGFyw0d+
IYu6jaVbu1TM4l5M5jjMh8tIlHcT/lAsImnLPEq6fjJKj/i8nCyslzuTPr/MZJ4wt6KEQIlQq15O
XdPc1WLlO8rNuhkHUsYchXtToh1f9E2V1a1iMOCpxmZVIx7PClluEet8bLSv4jxifbx2HquyIKvK
wugm951TAlXjdV6zeV9NNIwFWtaUF0Wkhpo+SFRdYsOORtkeM76c1cbihOaF39m1wEkp57jISanY
VB+KvJ4VrfuPrjdj2uZLwnIvVB02mxxnDz7k45b6MlS9nMpz3Y6XvRvHeGq6+qwTU6SqBV1Fur8t
WHbe8yU/EsaypFuykwoNZDNFzsRVE52IWp5oq1MjJqSWXsR919yOFHLswMb7tbApZfWgfGV3ludX
5WBlaqNwG3o2b0lGyKYWOTuNlhymGbJu55BTkSuP2ADlR7Pyog5g23RzdIgzzI9lFZ2LoV/Vgvo8
WSEe5hliShhWpM6VVVKFLU/sOt/Nc/PWB6iOA9dXyml2TYm5hINyY9JQaS+E68917reVzqvrkBYk
HdHKdpMsoZBS4AP5SFqFNDyOyDvF24CpyNo5hoNX4tTY+VFoe0i0e+ssneN+mZXJmlTyWo057YDL
0F5lXQTpYOghUGe0D4eT2ki/9eVolc+MSFA/nsjZnZfe3rIiG/ZiQJFqhYPSyTvleHuVSz3Fq3Un
y+KcyoM2Spe6uGwzEiZuFm98Z/aNREeZ7M1G+HVQNRJLggpPlK0yrOZGtGmh33RdUCZdQa/c1O5I
3n0wFQNWsZY32fJEa7CWaeDXJq4L4CzL2wzNoaqpfitsVpyhVpYKl02WujW6pSMQhJaYMK66Qied
N1dRJK8rjMUWqs0E6Af3rdQ4qXT3MRx9r2yQ3fVSNGc1pHA1I7xfIM8nEGToxK0nC2fDxge0ezsy
Ge69szzVszlbQzwmazUcdRRtCpcnk+CL4qMOFR5FkNhsr1FwPvoZHg4qL5pmk4wUGEQfQIkvp0It
RfuO5lWwi5pWp61192FtIkXW5kNXslO3hixmAZeqjrrboKBDPIbteBg4XpUqY9WOI7RhlQ5zKHFA
aPC8VKluqb4pZzKdMuFt7BYPnDaUJyHRF36dYmmHLtFk6u4wMVBpROv2QGMDrThwBQiPBTXv/Vwv
8RAOZrtyXwSKcLMkA/NULUt3NlTUxdB/w1BZGqGWSrTxBCG89dFSJEUTDvsAubgvshskrQb65l3c
dOhDu1Cmcl/Lu3zN3F0heBPrqevPSoJX1a/4AwpNkABB69TUoCNnYY01ye8w421cZ4tRYiWqCLI8
ziA57KaMU1VOwS0wRK0mWx4HeZDtuyFa902D1nStuptFN9WVQWUaFOWYSNShdO58ntRtptPV68NS
lPHIGig4nm4Hj2jSy7KChMRlXLSz2bQVoAV4F4nNpWrweqorAzme9u9rzdv7hYE6WEBA1LY9pr6/
5V3OtoT2UZprNu0sKrO4HMNsG0QrHISka6GcJHE0ythXdDciFintIe66NtA7K7ouiWpXbCppxsQT
pIFtCAbRiF06CF3FouN1Kpc5SnDRsaQpA5zO0zQna9TnaTaMajBk2vB5aTcR4u8aXc57oPetcqE1
mybs7YlZmrMs7GrVe3/XLVImVVDeNQxiOKjGZO5Cm0Tj2qYki3qj/EL8O7+C/uEybyFNQN6hM3pn
zViet0wYxQOyI0LfEIPbjeD+eplADgh2HSJ6nIdD2klzurTTiZTNhStbq0xdQLZtIp74esYAUC92
jOXZbi7w2Kh6Ftda88siilCKCNMneOl9vLIxHYKwEMpMzhxp6kScyenKrwUcPUX82ucOZ2kHGiBp
g6xP8nKibyMTDAaK0BjektFelTMVpyMugnjIRLPPHDCudoLAbXRmN01fvWn7tjkrhfUXMiz5jR2n
6C4smbsc8iir1eBsoeDAWxtjVjbJWK0LBE83xZyM73My2TjPZn85oQq4R89OakTsfiBVe419Djkh
b+lbXbnOqIGM/FaWpkxyvtYngzFsJ6WkO1/z6TSfap1GbkFAFIm77js/bsq8W4cYiWCJl7U7zfq8
2+Sd7g+FW+sN7MC7QIvz0WQ8kWIatOocIod+EObYRiY/pBFaL+eoEKeFnUEp6dajo24Oht0InL5S
o89QlwwZahJLBbdq5XJUrCzDnaD9coWDUW8y2eDTYWyCbViLTDXRWKcG2PoZq7I5hd3c7njB9eE4
Tux0JBUBsTecsAY2RzQM3QZyR3OBHPOpMMSdiBHZs2geY1kKtAV+sKTAVBzU2N76tPW43TkxSFDN
pD6xpAhOZrocuqrGl2XX2m1WoOyRoIxsu9kDIxe8xEqStUqBiU0b35P8NCzG2Iv5vHTrCrtNHiPc
MCgup9DllPEi2jKl0+SuazJOG1cV5LF3EVSFaQppSqZ2jcOWvSVEJw3pu6T1toh5aafjkPE+nieL
ihhFfj3RaFSrKYJdN2uyLyprPvRQ+Pey8fS2Yx1IgapMSu711acEa0pQJMbNBXCi7rKXjmzQHM2Q
vjMPSmaek3ZctwMf2iSqmgzwrNvrYQWXQU0kutBRaQYlRunPJrxUasYrSFs7LZB7u/WinBBMvxiG
BOluVzVtsrQVKtUcuDFX82pB7JVZm/ZrHm3KuS/Oltz0oxK0nbZ5IM1u1gKSZW49O12GIUjNHJlz
5oCUdpU4lLSQ22hdsy0d84/dVJm39TywE29XuZdFV41KL+Qqi5ZaBRoXSU+GS9ONcxJ4bpQZs2Lb
VJ6/rcFv3LFK6kahJQOwIuruhglBaqL8WofNfgyaliZ0KIByWFBKoiL+ULpQ38CenkY1V12U0K4d
tl2J6L43Hzuop8o52W6t0Pdz22w64N1x0IcmLoRvYGF8oaIg7OKwDI7WWjeHUz42J3U2gPKvQyWf
dJlE5NgUy+XgGH7fB9UlrCBIGImXdAFWu3VVVKTM0eqq5H2mcCHapPFN9T4wVbWvhjIWJXd3OuRZ
zOR4vs60OC+KEVYPhSANOXHD1VTi+R3Kn2Lbki0bmEw1CMAglxdDKLao1e4Er0N7NBZlkVZ+OOoZ
UNqmz+ebDo1NqyoETMgPWr/rUHs82L54S2tJ3+Sauy0ZjVQjBWkIubS+1HimcYX8clkbBvSMEn1O
lgKUG7BMbKbsrpaiS8iKiiScJVDMKZxvMzp6qyiYFKnhFd+WIysMLM9cn9G2mN9BprmzZVfdhXm3
7CM7iYcB4yxZDaRpLfMxdi5iCpjjbV15tx3ndoKoc4dgR8E4QwP+wFx8tLivtxqMvHdlvwRxJ2bY
vZPO46l0LFBehNNpVOQS0r/Ir72pgd46eAMCDi00G9J1VZJFldkUY4QT4Oz9ZUb5tB/ypgL94ZWb
ZZaAw1Kkc0SqI5a31fUn7/SLtfuNOflg26XPtfnyNspvv/7r2tbw76f3J37/49PLLL//dvL1LZi/
/dT20T6dHxtefuhpNr+N9fubGk/W7m+vbbywiz+/N/MXXvLfXvzPjOYA+gJg/f61zfxnZ0ifO85f
BvjsN8MxFPB4o4g9dYXA16VgHX/2m/kBnJR8On0CMQb2UPjkBH/1m6HNR+H4CjTO4Rq8AgIm9Re/
+anBBF5zEMEdkaShYP+N38wDaAx+azdTOK2JmYRj7fDSDxHQvX9uN2O0amoYSFhH1uXIRnX2se51
BUETBmnPxZDkvjUFmGwU73wr5X7oIq7g/aDxZMptfwxMXyDVjRVOWc+LG2ewPuaBNyluInak6y44
7kMGjHEOm2BRLe7JIRtFmYxQeJLIOLYBF8ps+qYEJ6Kju0yuro7DJmfHePbZvmrBSOxDnO1FvYYP
smIhpOO8BfvEojZxuS+O87G9aWoxb2g+1/sWSNIlowRdgtFlbkQoi1sbWf2xX8Cdq/XZLMv23Ggo
Kmtz2KxAUVTBwkgrcOWzcyco3OnyqY+DZqZgwTLQjZ2og4soF1SZvMgfuwohZeQYHvZFm++jSuMu
XgY7p7PkGHwralQoEUjVuSA3EaLhHlhycJqT1p5Z8mQSyb4FYwjNUHxE2NarYpi/JVDTbqGHqO/m
qMwuQLON7zNLs0MEPAglbsoIOIJsIDko4YzZlHRmPiZga2xcVmaqLq3fL+uY1/ulkR/B7SZJExTi
qpV1FFNYmDGbsjjnBYt1pg8X3F0tbftxyOylw92+LcydpVC6WxIWcebwcBRGvn1Xh54ftw6kK+9z
fMqWsUmzPCNJ0C1on+VjsMf53D1wPQPfkLpX4Pa/EYaTd1mwPjDjGgVCGbwSvYIDNg9R4kv+OEYG
/A0TddcstDRdUbZneTXfFyG15/W6NmkQ6Qtok2iw4KpIdeuS5hPuFO6BwHRF5o6DcmqOGp/JU2xC
8Of6oNi4LsfHdq3L/AmjG5CXoWINKQ+zcRTvIiv1hamFP9KcVLdEWH5my8qc4MnOqm+icu+XFp+N
UFBj17FclaAzdjPTcjM0ojslS0XSan5yUHTp5BZCwscoC1264HkGnzDL96ub6XE3gfJqq+UicHl3
17fBrpRVkFqf6TcYh6tyCFU3YWH0pccZ2TcE3dOariciaPl2qEJoWICzdTJEy6PjlpyhcnrvS9wd
w+qWp9KU+TF3vVdL2w8gAEP24OB9RgcNGhyvrQd7NOqjNwPv6aPOUD+pbBz4RQNMfDO1DTkMfFG0
CjxdccrB5/xQksLtMYj2t3Xb24dhzYa0snX0cdCj/eAn3dzbDK1nk++WRLMQ3bVVNJaqCYMKK9PY
x7DB9XbyJkonrsN9mTdEaap5Qpw/HuUujDBKeh50VxzoLFW6qHlaYNsdZaVnG6k1uKoiBG1PMyk3
3UyyW/AsBchOAp0P3HqgNCB3WeL5YI+qanVnC3H9Y+8Rjj0m9iZk2CQt6FcVkA74BV6CpUs8snIL
hJTvnwjbHgO1VEB90CVGOAMVo6HRkvVTAKzf0g+DDdrbpZiAYJZLvlwNJhpSWwqfsD5cH9kwmwUM
KeGBM0bmMAiC+irwpD7r/VQdB1OEDq3vQvDbjd5AZ6CPe+mzBDXQMKGLr7bALrLt7E2nmqKvEm07
BoGg0eVYLuGl7Bd4TB12+sMyWfo2QEP/OPGlOO2QBcN1HIdLhux4VQ29jGdR9qkHyZqMxNcnq2fA
BvHgXaIn1J55CBGeEpCo1wb4+UmHQmgr9h0DD7jRqQxWn0KDwJ5Ugyc7HQ7VcQ2KKdFrt6zANAXe
DyO0vlQwC3c7Tvl6gce5PwZU0d0YhsOOMhNtoK80nNZkbe/WDvYsZBeQTBxPSc7K+hbRfEjCHlwk
kdECMhZ483iZbkzOqnsuxQMC3ZRashYJr55sZ+ptUgiGVDD5OV6yGjokDiRXwY3bre1YFXHp2gq6
JcF9uCzoQRj5EZpJc6yrsT1Z6dQkE5zUUFBoujQqoQVamN6e9qgZ1eTWBjxN2aVtTc6XoKlTHoDd
iGECcR31ddIafI8KKHgBig7NXHJV5GsRw7uga1K063uEZqfs6ocE1wYaFSNmO9cVgyoHzlK35FkK
FDS6zGV1nyFu4zpcZ+CH+XoklwpI3SiDE8yAetOgyDbT6mQMPadW4Y6XhSJB7TZSVsv1SGYdM70s
sQtBcuS+Wc4jZG8CiUZgwkUIWp7y8iiDF1QTcNApqApbzIfrbKMtHuVwyLouetfWbbXVfOrhgwXf
NbiY62QGcUsVdb45ytusr+J2Gsjh1M/QPcwNeIq97jZcsyGmuQ+3VaSHNyQrUa5C82R94HUFc1zw
eGJoYod1yJfjonOVhE6dN1ABoaF2UrQlGFR1MKbQPRAXaK2jWwJ0A8g+cPKIirZTiIftSbbOy6Yf
KIWmNG7KDeLA3POCL3d91FSX0J0vjnBF8bYp5mXXzmAN1wJcLb5SV6oArCRFCXUPNMJODRAUs4qy
ZQGjKeNgFRaL/uCGqnwnoXXaqo5EYEQBe48H2uBdBrrnsUZoTNBIPizZdGg76EohPRZq7N1Tc7XT
b7lp3mVl8yhM14FE7XLoQoGvgCD32R4av3Bo1b6B0uIOqWwiaEQ25SkzXX9ccTCERjNc1lZM51BX
pVUZNU1aWlEkdePFWY3WSE3dPMQLB/M3wpEDNR70SdHXRz4jilt/3nFnoXBHdMemAU7lEnQCwXY0
1+W6CzjKNsbJc7OCOl7Z0IKhYY+yqHtDn/RwgMNyC81zkF4LYcq2DIzPULu0gDMJW1P56XBuiDxa
VuFiMJdxavR6hGDXdzgXOo6aolZzDrmmA0siwV3ob6uxxGkpM6nAr9WwLfq3tgbLN5gG8HZ5pmjL
wLpGceBFFw//l70z6ZJbx5L0L8I7BAiC5Jakzx6DYpRigyMpnjgAJADOxK8v8xyq38usyq48velF
bXQkhRTuQRLAvWafXa/jx3osk6zulM3ajZ3rnj+ZqcwbbERc95dpXj6pE3Q3cqYf2gVfjSEs9hvx
56UZaWH6iWSk7ehxXOtmP8iFH4NyVjg5lunQOrxI29zxZL1zHcMTKFtf9MAlUAB+NEA7XtNo2751
Ekp1xfvgGtQhLXoZn6bR38/ptkW7LigfcLqXRe24z2MLybzmG6QREolrMKw2R/1K91r2AgevmM5N
yy4bpN/3dKlR4Ziw+6bIGDOolZIXDYOzyEd3KnEqNnBhS3qYm9QO2dw2KQq7kWYoser3zYh5R3uh
ChnEK/xirMV40agzpQnQJUOUGVZYengQuuEaspVelR6Gc9o2uH3lUD/225acjRpriPjlESWb+iJk
MxTdusCEq+LqMlVO66JVXfrco+bBhbftWvQMXWrWhJM9QoDZOVVpWNkoZl08/hBloIs41Pzwvx3m
H4Yw/AuUSfA0Rbv33/eY/zUc+8cuM6F/+yZ/7TPT3zgIJVBDPIkYA8QEUuqvfWb0WyKA9AIpQsqS
0yj4A9cEdhtZPvw1kFFMEoj/xDWFKJPShAkhACUJ9u/0mQCo/qnPRI0eJ3hrERLxPBT/0GfqrZ6l
BYsy1258jhIZPvbhZu90KOv3pjLw3CIiptxt+vfEN/o6VPYAC5IeScfu2tVCew4htbJ+hI7XzBEK
AiAH5a2cwf6wnZqmRkOIvtDvFu3cg2TJe0fMh+AsPdBY/Uj6VL6zVbR3bDFdMeo+2FdLhAatR6HO
Yva++riYwyZ4cGa0ORWollexYndEoZYSMn5zJhi+LWpL8IUFzs5qxNEGYbVjlQyfXDWQJ+AJsDPJ
Wow3IkXY4AP9twYqAN2GrpHG0SzLvDP2ZziNaldrC9s+6fSLHFuAArfaUeqye6C3etIQXZ/HW42p
R11v8NESByOnqnU+kPr2xlCYrn+pUXHNHJxOFK4tSvFjfytm1awhvjkI009B3fSZHlhzGm4FMGCy
5KAi713BZFChQjYjvj2xPC9Zbd9gIgW5M2n/e7xEUP+WyMMqhpHI7BgV6CtQm3Kua/iNt8q8bhry
zkWT7jmQaJQftxq+H4cOHXDNMgBF7sLtIHbRXyp+ktb98zKpesdKT/fNrUNQdvCnxEdkh7O4PdjW
fbp2GIMs7aZZZWifybceclcBv9Q+Au4TH+OtI1k7ht5kVeNucsL89LfOpbn1MDgd08/K0+2e/qXF
mW7dTnvre9K/dEBJO86Zn4bw96BZgj1hc4zO5qZCV3oac4dOav1LT6WkM6+Olg6ifequEg2YpOP0
Ja4gWrKGVi/gGOASVAMtUSAz8F6KojRHVRVWbW62GGe+dyiDJaTPtYgjtuwSIDo/StUJlRtKloJV
ZbxfwiC9brpZ4Ok0w3QE1vBm7cLv2Kx2aTOWh54BDEJrUOE2waaecCTsg4TNX1o3xXj1kKgvppzS
N6fXV7QI3W7oApGx/vZ46m7ds3lGO4OnKppoAETIS3ANt/4xEOEAtX0ozXf08iQv17HKUHerPKAz
uxM2VE8uSlTezZM8GhcnWRK2tOChJDmonWQ3iKSheOMz/eawSWUi3egBW4I50oUc8VzUP9Vskyc1
xldGvDvC01YHHPVfukSb12AYyIXFlvus9BjBYn0QAKqhEdzqW5cxoh/fLPSaYmOeNyj8ovYO18/g
3J/sDsaze99KmJIqDbdvlsb9pdTdIsCwll0PvIUOcQbcaqkzOysoOxzqUzt1aTH0ld+tQuo36kG+
cKPjXCmHBr9Jokc4Ey1MTgjCuzAgZiwWl/xqxpDlvW/lLu6xBBNSN6fe9+t1CeXwQXqKQpCjTl0G
EFnLJPkLukmTz1tbFeU0jjmD5ZovLoIFR+uRvQRrvy+jzpy2uIsf+JbanIcL2jBc88vguXkVdTKf
QjInd5GVUb2jHYvBaTTO3x40HAUGLmtXlfU5UWZ7VhGUc+HXcj8vdnPgYbjJg0VE12URDC46D2Bh
ttgU5r7er7AWzgyLJ+sNb05r0vnTZMuvOtJ2z9WE1R+Xw2cAM+4EzvCCvcqhr9Lb+uzGsD+3S1Va
1L7zlGPVzX3Fvw3hyOIcRMX4c2kWbAoLjpp3A3/4zaxqOy2g+J6ZGoZcrAbsWmLfOVHv8RLUGRiL
J5HOYl8uybbnHN+70sb0WdMuv1amX/ran43l0ZXHCoVKIsxhcWQrHMjfg1AVVjrsszuaxCV81xZk
ipL1U4dKdcUpeQg80R8tLM67NQg+tfUWZbe58h7dzDQ5j75yjLOl7pcns7Zu77qkfxvGJs4x40Bf
dFqhyJNDlIUqXgFmlt2LbCyqfcLSDGAXjgbjtz38njKvw15lBnr+EzVD9xijNc3a0WxHyUqxm+nC
iy4Z6GVSJwf7KOuYbC4AP4GFJlO9q+u4GY+tiL6yPgUSyir72HDZ5GEVUFRnabwTIoL0ouOenKqO
tGiNaf37XE302uBR2xO5pk9UCXJaRA1FJO4h3AVrlxtV2Wc6pkFOVqp+znaoTuGEA7GuQcDeoJ17
riM8Ii2ptiNZeH0wlN5uVWpOSzvfmLG++iEWc+YbamKh/NLlOp5vln3KX9gaDm+tGYJXqM/wwmoQ
f2FecYvWhUTkBoPA63RhnLdLlMfYxHdawgHhk0t2jqAvrRu17mTXCKhA5XgUce/PJQS4U98HzTsR
M9uVHeWvnQiUPBHpAa/UrluTPNG0/T0i0n6JYA9e3GJhOis9fS+ruT/IeXS7dvLNqyOuv5DFsSId
YjxOI5sex2E+ym0e7vEYflltme571Z+EHReAZEE5vXeWjSyTsC+zlNoEnv22lS9Nm8wOfasqP3ue
wNyRJbrClNsk943/nhBZ5Wzexi6v7Vy+lZLGBSAhcEW69GHWNKt4EWrCj7QG5QcfljQncE5P4+yB
Z6hoAaCtGNlNsjMH4aDi7rZEycMWiWQ7RK6eishGPy240eemJsnZR74KsY9WfFfH3daj6G/QyXHZ
xpkbJurgMwb0Ne2C+JePXIeexIR3TRg1jwy9dOa6OJ6zpOnQJdqphqZtJxgBnJRoNOcIze8w5yGd
3JkTz47Rhl5p6EN5tQ3v9+tS1g+8CufdRNnwA41X+AvO95a7tCz7gkXNeqFzqh2g4a7/qhfwOMCA
YNOipqjds2lSTQpWBx7KCeDV6ixwJeYinm7ywESUyoZgjS5R3DGYgAEcjEicOmnnwibUoErS7TVo
0cMG00LXMy9RK6KIGbEuaYqO2wM2BkVIvrkVqe9MUgGArDfNd9FV66W1kfoE5mXg+LqEDTvQIwHP
2iCcj3ADzG6O5Pi2sKDPOW/ZEyNrciZo8t8s2MQTjNP01IVJ93ONt3UXL/JaSqV+rBt3X+YqlV/a
WM/bHhSFu5v0VOej8S+LitaMREG9L2VMUT1t8hP+NJa9HmS+uXTYQ45g52QN5zjTZlrjfCUbObBJ
/65LiCWRaGELMmH2oqdAmrWNv46gBc8xzqOr7VoQXVFSnVfTfwAMWJ6rYR0/oNEuBTDwm3zEb0s4
0jTrK3AXqRzjuJgYAMsWJWO3LRKhg4Af/RDW547K9TEmfHmMI+DU8KDfMetly6dtVZdKW/vUTiVq
iURtL7ZNh5yFPjnQUp1s2YQXDj/kRNxG33jJt9cG1zbz2N6f5sXM76u1clfSeEYpTaKdrrBISxwa
0LpXZrJ6qNcnFScfKtkeCYXI0CoxfVN0SpEkGJOHbdPyzgb2dYtMghJq2rKltKYAMjnqwggHAaaV
gT4kQqU/FszqO1i88JUu3XAfymCCVG63bJzru5bCsRUVkXgWqjcayPAS2+lHr5hGDQ6ApnSHGLTM
dVudKKYgHO+V75tT2k8vrVgc5J3efo9rVcuCOob+uubD0cHiAwsE0mEMbX3gTTibvQSAt4tI45Ms
aLHDR5is88PEkTmmC2B9WESlbTMNmU5lGo7Vg9NiPvQCOyNDOuRMO68y2g4gM4WEBD9T+E4pPPVG
EnYex6Z+JGkZ3QvWAq6rnP266GQ+IA/6heCl7+DJrVBdbzcd7Rb8iYrRsyVoooqt9ep+AQy8BzY3
f/LIDV86Xw2PgC3PDYVSm4ebWq4bbm42pqPXIASp+Aqxs4RMGfEqV8aH3yqHH27cIL2qHmyKT6L0
MPAyOPZGRs+mrmECoIPzeYImZj/3qQMQQBOc6347B4GvPlBvhVjuaQdJdnYSAhwojJRX6WPAVmyL
bp7eeTKBcLNrlC0VQ2imb65VxfmBpoJlSdWyJS/HeLofVmO6vFtKmiXGVrsqcttzCLof56/cDo6U
C4UgzV9x//1hC6cWpyxKl7JuaW6auDx4ZVFOet+cKePHksz9j3goKXwCVkN/HeId4A93T9LIPrai
/Y7mGT4F0Lh8ArZo8mEWF0pWc+has56c2PqMLHK6jPMDrXGzpQ+iQ7w05uZE0B6cqORfVhYv32SQ
+m+04+aeT1gA6Ff6Jz+VDULEbt7pdj2mvdUQ68ah8CT2xbRKxDGMPM6RP5bS1/shgHljg/UpaULy
0nU0PQJDhE0b6XEn5+axZbXZw23VeZIGzT7ppugHdgW7N84099NWx9DMoxZkAmTMsqHhi7PioYxb
uFF9rOAR2q5IkAM6tUnZFkgRVZldZXxMAmk/nLT3vam6M2+qJadxiqe3gXm0j+I1uCNcDkVsqwTH
IzqzbhLNE9twWpS0/E4tCS/GeSDgbVQ0N4thTQBKB+16njT5VfJ0vtQtSiNYV/196uO0CB15iVf9
Ed7sCjaS4dj0QBvBc1SHxmiS95X6fcWcTGXJ/n/Frv+Z2BVHMfuXub3/foLTnwWvv32jvwX5OAYL
pNCTGMauCM4jkAt/Fbwwu0hgukeKrwTQvZIEX/k7WMF/E4AmEgyxwgg5eqMh/p7jC4FjIPgOgx+i
l7hF/P6OmPwJlcEU17/9+U85vuAf5a4YA1JDjESAqBYwcBV/lru8XkU8L8znGn0Ht+V2189bA3rb
o8WqdYyYzoI+oEE914Ox0PWM4X//KRf+F++A/ZPgFgdRLNIbdBIgySZu7/APOUJttwFtQeVzEyRA
5WWa7NNSPQ4BahlCwFqE8dAWZQD42iAemHMjhyOKuZzLLjrbNHK/hs0/m9U8+mV+2QR/pBHW7kxU
96Ah3jsGxaynp6AF2xxqtiLD5Ic6S7qG/AAw3AOmaHkmNZSlf/2z/ROzgvsa0NsgMkSLkHX/By1x
XgE9V1YhorDRKdc+eteUJDkSf+3/5ZWgf/6ZjsErYZwZTr9YQKdj/3ARPSOBny0oVQDeUASBk+UN
VU2+LhYKRO94PifBgSS3iPm/unsUwxj+8aVvYyaREr9BQgFuH1TbP94/OvV8JJxCuZBjf+9ZtZ7C
wMz5LGf4jIxv+1S0g8+RinOFTIKPsR/jixsuZex6QO3evvkbrOJ81OL6rB7H20ayVNEROyxYvED+
CsP1d+qRFwIZMe/EjGrOxtiAkwH8+i0eliKSeeGhvbbWTJkjAS3CBKZNMwT6HIvGvtRjl+6oAz/e
XWHpQOKL2mgfzdrsWW8LK24xnh7wBeiIOy/nbs57ivLDDvbebDfbhIPN6VAEiXAOh3wGMr+PVejP
Il1iCKj0Qc1h+KhrleP8v2C9txedeOgHXO+AUw873sBKlCZ+Nag0UNKNTdG57mcEhWFng+S6lW1z
ZSECTKapmpOQq8k7BYKv2ZB5aZTaQair7w3XD7Yb2PucBsldiuvyKNfpfXGGXSsRFktShzmIin7n
eb/+KKfEXVTX7ZElvg9UUqJWQk7mk+jUXyY5PgMeV0dCxdkCQ34OO2vKQ9Axn3l/I1eWpC+0TnTu
UZB/TaO1vIubJTyZtooPQwrhtusbj/RXdFkn9OMsUEMGtByF9GBeCYfwBTlyLAsdUwtdr90NfEmK
Je77L4KK8FkGLCm4QjAhlCHjsPEn8qOG6nnmFsACRlndbLioWb6uE+iERIoUWqBfxHmEpf+URF3F
UQYg2THBVN9VvTDYFnqaBWVvX5olri9Jv5goUzUllxSa/1OQ2KCoIeACpl1hhCWN7Vb8+y4+D2Re
DqWOoouLe7HzjfKHMl3LTx3N9+0oklfb3i4OInrirh1qmK6O2h65Zr5+bKE13yvdw8JMNvtokVc7
rTbQtx4I6YFWlsDU4PQfhDB4FAcSaqgit8xtNA0HJMiCIkRHf0xdssVZOtBl72KWvknPofeJtj7b
rh8OXKvqmBBs0aZqZ9TfiJ8FBLlloAbDlG/VtP6yCDeMUL5G+tGXW/AeoX563IYx/bIEbj6hv6S5
Y83wfQiZeFAWmdTM8got3LKo09pEwXPnsOLaGJ64tPLDo6HGvS7hhLOK/IijYC0CTBdH3SrW5LNE
OqFIk0jvXZtIeNhluNfx+lnDcZXgQ8p6147BEeICrGPTtYC4ZcFL/6WZfrC27q8QqGqUPNfQoNbu
41hUOVBlxdDKhOEVoAWoiGEOYUUKqHzT5k83Kesz7WP5OccKXRCp/Ikh5GDyKqzGlxSmzN7WAuW7
iNQ+9lvw5tgqD0Nlmi+AOaAjh2Qk60EuSXPwxFYF7B7zYp2F/zs0v8ayrKDloQ3ez+XahMielD8E
j9RxcP6uRTAP8aCA0s9k5OMjUuLDbmLm9XbGw5WZ/WEhz8kqTirAA1NOXbMbCMr31EHnZKD2bukk
dKNlLB7WdqF9hjwIOYk+fKt8C6g5+eoDCo0dW8JlienyWdsx/RFrpyCG9DgBQ0gcpGX4t7yqLpjI
Z/Z6rKtv3dCgQdfTZhEv19Ul1CkoOzOSn+sKSTnk4/oJlHH5HUAPA7vdjUGxTaQ8twi4QLSwMWA3
Ey/tSawBgQmAUBAavHyug/dQps2+2+rkUDX9gEhTIt46lyJeQcaS3ct2heTE+/cZlHDOyvFpFAE8
d6LK3danbU5ncl2G5pnWQ5mXZGkOm0o/p02+dRLPMXjOGez60O5QWL/zOHksK2DzBtEN+NXYRTeO
pppNY7wfu0AdN1UPFySG5nPinHoIZFOdTULavUOy8tJBmXuGLvI0pPIxvOXgBoH0mBs3eh3Locq9
Qu60Xbs3uPiQfdx41nJ6ECS+s1j/kIn0wSKTteNEAO3herqUm3nscBTnlR9J0eGynBYiECoAFK8k
AlPN1HyWvnoNY1MWBMGFtV+iA1OpPksqoxJQPrQdJmdk9CwzRxaTvWJVXShV45wuQS7GLNYvGMmt
D9UQ3VcaAwuMGNQ9NIvvmAdCsmRScFEsznUzu5cNCjGAy/JOlsn0pOAJnPhQPQE4R5R3tNMV2UT6
Pke9fvQyxEGnRXjqG+zrt+c+tTE0lNafdTvn8bahm2sTkLMJ0tdwZByeUAOVrV7pT2SpwvfShToj
Hta97lFnTUaGX1o7VTlglpdKzFu+WgRLaYBcoeYKF5tUB9mm4AQQO96lEMndiAkKphzGArpwdKo5
aTOMs9a7dUxwIRF/Ix2U5xTa8blueFJIEi4X3UdPrGn83hsPAQIJ98Jv2JNam7Z79PzLscZ1RB4U
UM0EqgUxA+QmeDi3v8/lwF7l7BEbbZJyf2OU2IZY6grk/Yx82kMEZyDfJlMXuLzY0sr4wCtkvYye
/FltyzW181hUg0rB8a4byyZ4FkWzBd01gnV4B/B1LvQmdFYOHJCucK9K0+8bNsU2DPu7eZqBx4K9
hYXmhuAJ6QFdZVhA9GdA5HCXNql48BsiCrsa0Sekvyu0zPGo0nTXTSqqkDUTCbIDNnFVUdesSFrM
08iStIoe0t5AV1B1xBB+qKV+aKYVoTHEUtiXJRRRvipJ81hOURbBJpqyxor9YtCy1xTphxHBTodh
EZkAZQXJpj1y/PcLiTx/49XGvsLxnr4AGOn6PdeJ+O6ksWB9ogn87uZuOvtrs0w7A1t8WtdfMbJc
WUPi3Yjcyku3YefuquSeUISXkFs3uxbGZ9G79Fe/OnPEyVEX4+KfkhIIpJt8uAMlBdzf3xN366Hh
T8HC+wr261CJW4iZCRwDYf2L23B+NF00vuD0QwRQbOI9EqjzSq3iHNFfWbgZAO2g3+pg80Uq3Fm7
AFybwPLBO5kYHo9tKJYpftXrorKF0zkTYPaOnCBWHkf0nvR2yaPUhDukhvcEcGu+jPKXC+kn8+3v
slpeJp2+Q0JYsS3BPS1VvR4SvdylXfkwSQ1jR0VIE9GPDtnMbJShLRSk2P2A3fbDpyh4yaKhbXCY
BiVnYMjZvB67kjd5mWKUBVnS7rRNk74uUWl/1ZNHoK4J+gdZ9eNVNvQ2LqOak7eINdMCYmk0JjP0
FmhRSVzdoYSwJ92paheLIbiCoRpPnaDzKUir4MKm5hm1oMxU3KRxRg3O5ZW54BHMJFyi0bjw1CKL
fZohqj41ttRvyepAA1gCI7sgbBw/cW5pjESY/I50i36f0hpjCohL8rBF0krpmSEQFblLlOr0Q6TI
SSouUCiPBknZjG6t++r4yA/pDEgBWq5xpxin1XXBrJaHagjCohxLf1Rq4RcSlPIbktnQkJuZPMBA
CHa2gxO+dihcoxlshExsA2e5rVGV1fVuoAMASO1DWFNBmKXr4s6xTYaLofX6mDZz/bUyih0WK+Ov
ZRisULUbck49OKlWKXtXc4wRSYcI7B4sEbllQTd1QM0iivCLGZoTzBV1CEr45SZooxwwAc/mAFNX
kMRWB3iwSMpAzfaFjfrAFyMw54eJcX6cUZ68NBLHBx1Yee08m20eNc1wAOmpMLokHq/aqAD4H8Jo
21jBhvAh2F60GvFPBa+6YGLzmN4ik1yJ1V9DHW0vokb2FKO92nzC6OQ5r1XHQIoH9AAs0D3btDRH
b1CAjEkdv5GxeQuribz2kX+jyitWSAHZLlsWAtKSSOEeI1PHReSmd7m59UooaZ5Gl8ZgM8QA0JWH
19J23W4i47xDCrtDbqmej5z140H7Kfkxm/QzDObqve9uiQouhm9qSOhBVoQeSEs1VoN/G5HauzdT
3x/HaGA/tm39PmjQ4BjesyA4HW8VgE7ZagwDaqc6fGpWOT6WCsbDQiZd8Bm1vjfLh2mxCcxhCmYm
QhiqK+FJWYeBFJnDRneUxIDcGDg0vF5N46cv4TSE0SCPTg44fnuLFCKPgu3RBWDS2hIOK5KZJsF8
prrLmzZGEafVM2Uh3J21DfT7sslLqucVYGo3uNdJpu8Oh1GbIxyNBISnUJGZamb0wRH4NFE7HLFO
bsnBKFU+bZAg8EMMc3CqDM6PPgzFIWo39RgOLWhNb7b+NTA9An4TQ0OBbINoUI7Z8iXWvDytshZF
Cq/io26T6QEcJ1IaIcydeyQ0W0RJKkAFSG1pW+h+Wb8hyxju4oEgzdKAValwoP4qx5T/kg6Sctbe
msl9tAxpxhnvzks6rWBUxgmNzCz9G3CA+s4hY3tqYo21PtYDO5Uq6AssgpA+zOk0VXvfl9OxM7Bd
J+iq+8E06NSxd+sPJBXBxpBmfdqGTl/XZpxeuffkA7RBT4+8ijHtx4YRnpsyihH3DfoOyyr1GCQ0
LS0QpTSsyz4P1nrA5rQRlBspE3tG+mTX3+oNKL32PkmgEBf1lNhfKgKvtWBeQQe6ifCPeAv5ZZsb
hpgI3OwVhyXQrdscsRjTAyKoDHECFim3IsZWtwb4cJ011CEqdjyNwLq63wHCtDimaaLP1RQhiEjD
tv6CUGNQ70o5pce+ITAAUYbW76zFfIpMibTMKZ7Zi640/TkjJv/I1q67lxH6bVCPmLpyW+LXZa67
l0gOEjYh6K58S1d66qfW3QUxEXuNYOEJceHgzP3oH1oEpvdlC9p7gkVw7YLJIObQe3G/CIpa17bY
GgKj71bAtlcukWxXWCydb4brcCtFXYL4NEBKe8UciPXgAhI/Ie3EEYsn4fwwQLcA3IWKee1Xda4a
TJqJfZQcIXsFB4w9AtIpZPStSipzXE1o8qQftmM3Cn+/JoCW51KcsPtN9xvYHTQttt83fdwe06Ss
L+WqkpwyxOejxMMgut08Dgrg5JeRvzSBTE9mDP1pm3uZT2abT5Pm7f0NYt0549UurPn07kbWAuTB
wAcMwJBImvvHzaYhUtYW5RscQXRDLqzgUQ/JeAU7zMkuxDbS7KNoTopRjbgyomS3aLG1Rd3ityps
IRLUTfWF27p5LHsHwWfu1sNQ1/YrBCc0oxuEjnzFifsSJghRZyWmpn1xEWUXLDX/GcEHfGuWKkCf
uHCGs9l3ogAPlmYEN+iHrtRNLCmDAfACX1MoYdoH+RgHChOauoXeRQuIQ9y8YQ/XdNiPDKHcsYbT
REMOZw2mkL8MESemAASOOIdEYAIDXiLwcUHtXwYm12eUwtULBnag3w2sHn/KiaHAxLgY9oU5xEiC
erv1VtaDRSdweOutdpfec1TbDNpeVnk2nmu+ONDuDe33FR2WA4pJcsSgKbScc0niHCl09RJ0bZBN
Te2KKphVvsiU3UEzRKsQmbT5QkWs3ptpXnO0yaihwyH4bqhc7kDWNxhZls77qa1mUqxyGHxB3CQw
MaSzmXfW7tIIFQSmgix34czR/aU1+9jG+XmAkLuLo/BBly07wJEi8JbW9r118NyyFdEYjK4QscNH
LUD6/Ldip/+zTOn/Szj1/8fcaRiG/5IJ/uOwyD8aI+yv//FvtgiF+YHkWIpcJ6VCpP8531D8BjME
nzWVQDBH4hGf0fF/bJHwN6Q/RYQBiOBzMacMYvPffRH6G/4Kc+9j/Hojgf+t+YbsFif903RDRMfS
lGNQ4u0jQtDW/lnVJhILI9W+zlPf1UfB2+gU/Qd7Z7JbOZJt2V8p1LgYoLExkoOqweVtJV31nWtC
yOXu7PvW+PW1TJH54OGRFfESb/SAykECichwl25jtHP23msz0rz1rfS2RQv7xOG5HXOb95yj11fy
ix/kt/HkDd/I7ucPcduc7YW4zIK33d20c5sGN0sHumRkcXw5sf245j6ZXKSTFV9PyRzdyVbMH3+9
nre0fPPLr+GZgefolgYXdwjy1s/L+X6uIFaJNA1FG1hhFaTEEpoE1bJp7AMnZXDheM6w0TAHY2rt
G5b5BgQyM79DFWd3bbldsMnWysNTk6tbYc7i2bAsmx17U+G1sBfkXEUKYiuFUx1i2ugO2ESLa2Us
sI7aSXydRqSqZOwu/vpXE1pX+OOvRu+Eh96BhRZ/nPuLcjUEUik5dhmmBqe7LWsj2YJGGk+4To2N
TagKi1rSD4roWtWHIKDEIfAMw7zylCYjaYfHKRHBNxMvMk1Jf62K/Pln85DohPD4OBIx1prJT5pW
WdrWKvo4DzmD2k1v21EYtzPwusR9YuUFsChw4lBlKjlHaUqQ18jKvxOf+MD/6QViT8RzIHD5xsA+
/+MP0U+lG7OMz8O0zp8x1DgXZTf3h6ms+tcWMuEQrmtgXyEc4dVyrZSNTe/8kMPIrn+orXwmZOhC
FeK3+TG0dn7kfTj+zQulP3+/vIkeTWUWJ4FHkNz75U301dy3GU+7MGIaeahKg/msdFVSQAXj3J9r
DCtO24kgJBU2neza8j/EYE27LC+wboGf+ZuP1Z+ENC4tLGpdEK6+Lzlr/viieaVIJyW5xieqz84w
xnKcL2V8rXyIIJ7Z1i9ZL4KvyzS7u3//tUAD5s1C3iUX8asUy61+zuA6FSwbfLZAzQIxyI29+EP4
qXFeq7XZEutxLscBw83GdsrW24yRag52jAdorUzrb14LoT8hf3x3HPbLkunNtxw+z1q6/eljzIer
boU2TA2D2+3lMD90zWhsZYr7fcqj95K6yX3i5dM+i4FdpVgXDm7Rnf/mhTHlnzRixpEAJgEqKggt
Ux/7P/8gJnPdSKwn01mKHp2CmeraLYpv5Tj8aK1heWUSn/khuvilLaf41KoRkkVTGm+xl9gfxeK7
39yIYyDiK7ABYCI2sCyL+x67IeGvSRzyuT52A7KW9Iu7NiY8wEViuoN0GX6Gx9lhexuZTuuGrDoZ
wPwI42/i/bFncpRdf2HYcJXwE3ZcwPmoqGB9hrIQIU+SiJJ96hO/a7if4I4a3pvZUidyueY966gL
BwfymWcQRCLN3Qlyvzmqjkhf/YnlwfatdoFm9STdFBp529wYsTGc41ETfcyyvvM15Qc1iyykM5zL
phWhFbmIl2vKMtxKNYom589gwLsBWVDsxgQUwjwE1kGOwXoNwirGfmurB6nJQ+xRJtSmgS0ecw+b
5U9IEbwEgEWqQn03aihGNtTVdAM00Lu2NeWo0ryjSZOP0qq2LoJPHNIirGLviwVaSPJlrGS1x3vf
XKhYWMdS837YVCJHBNGZLQZWzRGwyWWS9JjW07Jl2zLKK/La7jVhNuHjCJqnO53I++FAYIA/NJbP
NZHlc+esYDVrjKtzSpayEMHZ6E1iaHMg+yeeBQQMJ9+7r5xyvC7nKsLwP/kbwu7GS1xlKa4Ca76J
jUadvMHqDqaHsR1tE2UsWE0on/V4PUhn3qJaVYd+ceanGOnwye+t+yru3J2dM+iHTaPyeNvP/nIi
O9xhAq1wauXTLMxdVfTFdZ0uyy7X6K/eNX/wgpIWUst6GuAYl3u/NLtd7vVRuumdgTSG5ZU3M3kI
LF4ABsg4x4CNkFLCzsH4Piw9LJZeFTf2nHtHL0MzwOO4mxc2QiP8ha385N3ZTgIa1DJuSzf90gQW
HvdkaS/mpRvInUN6sXgpTMVPQH6vjY5WDUKsyjuWF6vHljrPWCaIzhSnWajkJR0hDkUN8YMDWQ7x
4jlgLO3GXn5kpe2fvC7CTQwKegrLEqjThphG9FCPbrGrV1yvG9Aw7QHapR96UFUHvs12fPTW1b8n
78DJls88Hjfm2mCDjYQav6mF93nTptW07QEl7ByuMHeWX5Z7vPfZUZgq3y6QDMK6VNE2VuWA3GRg
2DMkjgjCqkTjPY+3NkJy2MZdzdxQ4WAfFOgGks9ZH3pBVj6RM5u2tb4MhhASh4eW82/r1jypZ4vA
1mYcFU/DvnJCw/LfrDmefPZrMYDJcTLOXV96+3HEcpoBxSDWWONtxZFynNi7vLHfafuNlAtsCukM
zMnjNZK1yVzXleOLxUl7o+KgGjSFWu4saII7azXr19HQR1n6asrh2TTWuyW2poK4coNC43GysB3c
N35yYvtwghnXliGPjDYcXH7MEiKB57buDaLx1IZzV6fXGDyXfe6sy2ke0/6R+S1/6NnzePY6AVxe
yviYrlZ55FaJrMYYFS8MVInFDXHy8TgUabaT9fDAjtd6c/Qg5tb5cua4aS9NPaYxjjEndoxu6nOK
mz4nulQPd64e8xo98BFAeJ9+nwGDFkFZD4ZDsOgRUU+LvCnWWQDuDdMFcgoyCLmBKcges0p6Yf05
dRp6AE31KJrooTT7nE+LYBguMBEwtU6id+8zczV3CuYNuQxb3vB/58f3Osstd/z2mBKsPkAEaGID
6lvnXeAqMQMQwJ4TDnM7nswhuxWs+A/GOInnJGDTPvS+fEirDEksa6YGDgoeI7h1ecJ+tsu/jg1O
qk6Aq02rpMWIORUn6bTJUdrjvZpd46AiD1EtTyTBhNmL3mXjqB+WEgWxfFBZuPxfIE69VWU8Pbvs
XGpg49CcRq82uMs12e2iFEvNsQYtC3miexrVVFzKbF5YOi8/qjoxzxJu4VkmxJm533Uh48zJNFyE
h9p3o2225N7e8wbxtVNZbm7Zu2OFJReFc9gZShJ7DidqFjqltGHSYUvctubs3vr2jDIRkBTr4dga
PSzjTKEScz2EBsa6z0v364jC2AVJjfq75Ob3CvbeXmSOe7fOeXPj96sfsq1x7wCtzk/9KrqLwljN
EzvB4ezKOD+iyS04lway+WJJb5KO3Y4jCEYEDd5oThIcxahy2FHWw2oWQJmHOr+byHh8pOTvwyK1
q2NdLfb1JCK+l2761Tbde6Qb89Y22ZrMHYvZVYwb6eRX8L6JvMSs3dqIZaDC3ytmOd3DfA+YyRQZ
jdKwvsmauMeW96Q9sm8kcF7F4lr2AfpF2fKhA7wLkLTPskuR+bcgfqY0tCeT9dlMAK7wm3RfD+mz
Owh5IvLzWNbO2xzXcES7gqRFSkjHLGPzVfWcePSeR1sLv/El8RI3CZtBBNus7Re1HWV/zgmiAUDA
3O974lGYsrmdmGp2zCNrG2bxoviZo+zV65v+bnCV/14v0m43SeAXR7/MeFx1NR6E1GVIGqG83lvB
HD/K2D0PVvFj9BN2UCJnixNkxU1XNe67QBZBA3ZQa9kh+QHsX5mAlykfBI+lsBUdphwJ+vFbNLb1
ne1Z2Ny8/Br3MBEqd5ZfTHPRXrQAELdgNtkh3KwHQi72TWWCF9hkiquCy0Jd4wbVpQOsogVr5D+K
COMhix5+JmV8Nc3p2oKCzPWBaBs4IveuVXlXcZVobSyCk1leeavjhz0xiqulSCWERAUDQJAUHfwi
PZqdnVwUneHAk0zVfrWNNeX50V9Z/hTFV2atmk3nGg5Z+pz9HRyBBS65hQoF3DnXKMg8aPgAxcUE
Ljwop/pLbzgk3Zy1D65RdFb2TSaB9SQXWF+cZnHgEfvR88p3Ve4G1v+wGIN9G/l75mfjax6L7ogm
3yF943Ja89h6bNnYvs1YlHa9muyL3kx4suER/jIrQkChSo3kI+cReR2t64x7Wrm3umLuax2nt1Uy
T1dpnJnlqTUTcZWqIp62APRmoOl2tqkr6cIIko85q96zBdL4yfIH68NtCxQQZJAdxQZg/xxlH5it
yah01fw6NbBBSZ8B/q5kf4NxY4X7QVQ7rOTU2Fu7IabxPAYoL8BTeHZzfeqPRHVJvZAli25zs+mO
/RLMm36dnye2Fu8A0OUhakAsjUaDJahIbucB0wKDInxE2R8aHiugsuSPwFtffHcxIbt3WLOIZN8A
4Bkul8giA5ME8rDiCQr9hUwVW0mfUHCs8XusPQ6g1udTgtix6XqLvMWS8Gz0k6H+vqIH7knJRa99
JqxuEzRdph/xaTLve0oqqh3pnwKRyPCyQ8+qGltpN6grHqLJru6t+tUr1uamIvr9FMmhPLq93V4y
jY9cOxIHK5gMrkvwH0fIgljbxyDDzueSclggdYcFHyp9yY2dCziB4wvRTrIwox/o+9dnpAcLYPEN
g9sCAMrK3ssgWQ5p2oL1y8skfouikgiOgHLa6LwQuB5e9zxIbKAqOlG0zmN5NaQucnw1TaBf/GMj
x2gzzNyw/UC6lxYOW9wkOqpE3h31Gg8DESZeQgLdcHe/V5/xJjJ17QNONW5VS9JgRoMs272an7Eo
oRNSSIqEpfw8VSGtvCwMdJYqTgk5FIFIbsRCbhRW5vd1dJoDbGhtvSKLxUHMRdTDbEksGdsFh1E4
LUN9qHWOy/s90vUZ7xI66VXZY3ZLf4N9VjoH5peifseYYb6pYjHBhH5GxkpEQtbROkjGTsrhaj6X
6da3KucKBqP7OKXeS+TzSMPNV6yIDYZ/WGKZzzuz6cEdwS/d201k7ZMsJ6sMEs88SdrYw3Et6jdX
J9/IcsvHxUY8imd77Td+mvub1gYzntJoggwwVtz2/ITBwiRSFzlk66LPmF2vE3ezt8bf8s8YnvSj
+DH6DOcZOqdH7pTInq/TewCjuR33RPoIqgT7LBFfi3ieL4xoPtS1bd1GOgmYGYjrSPHdZclp9dTI
CFdM1GRHU6wjg6Z+bK5UnwxD2971jCnf5ZzyUIs+Q4idyEsCiSXZRIRYFBWqH54XZ/GPVYB9KvWI
/wBTkXuwzsjsnYlhosz9XZHWBuMKWk/zmYtMFqRlFhvh6NuM34M1AK//DFOOOAkZwOzgEVaB2E7K
QyTqrGY/ihiaip9OBEiT9gKMRPLViVaAoXHZcEskwNnNRnoonUYdUbXJdw466jmmJJL7wccdXJnG
0QMo88GV2gy5OkT3EwDJMBJLtYunID05XRl9KNtHWBir6DQMEWJssNrlsdQx1HQocOK2LflOAXri
jBW1vuVjkXIG2K/JZ6SVrg58SV7PIa4Tr7JbeGb6R5i+MExzTgdQgAkhS+JIpRmrIy0bzcbSEdpK
h2m5axKdlkZMwL5X+6m2Ru6z2PvcelGgY/P2sfTq6XWZBioDxuVmtr07W845hSbkeGXT9M/VQrZ3
0ilff8GsxYIO2JUjaEaY55OP7Xoz63iwzgkjohZvs84Oe4TFM2Iv93EKjZv1RUzvhczPrk4dyw4C
d2y4aot9rz7YOp0M79W94iZ2Aebh0TDUj8GRRJltnWomzs2iJCDpnCXjva0WxGoTXXOuXlydio4c
liuTTkrjU1Mngqfx8+Rb8oVgNIC0lO6Lj441hxd6w+R86TAD6Ay2BXK25vpGMtsyiuWBz3HjcEpP
l/SzTCfJiPrN1qnuXOe7Bx30Xg11anX2mzWh3AhHgRXXyfBeZ8RNFKU7nJJWiD2Y70ZGlpytPVcd
VyfMF3KYD5Go1IN+gZpxgRk09RCPXHZoBk93i2cA/zjeeY5az61KzC0FNTfBRBzUm+EoOrxhMjR5
TfYgtGz4ypyy9DCNp5VGBBBRqTg2TDn4Ffk8LGXlkVIa0u/zZCRhaqUpBqKpPdo1EcaGU2HjdAUu
7MHC1LakgCzNksw9bMc9gj9Dq1yPSasR8VjtnjWFP61b+j1afGhXwjOoxGhbDS53yhOGaRpzwCyd
lAsuIyditHMJH4ZtxRVbwsw6Dbhvt452L9i54+8MnPOgjKAURV0QXOeNb2/dSBF6TBv3aDau3Kzm
PF6va+4Q7J2qihBnYr3FePk2TdsALrD9+MhkxcLd6Ya9zMpzU4AxIhGuwnlpUNiH+ptrcC/e/C/c
bZjjKbaB7TxHKLWLSV5YpfislrQFRGIP0R5T87rrXCfaNSNP0Rg8JSaOwu+PYwa1qY2QGhrc/ncN
brRbQU7shfvnK4g6NtUTnKoT7/fVOHkvaoqDjbsEPAtarq64C5PLAmcvB568LFM/uw9mxWzVu3S4
bDO49oDTzEhdrVXcXsODDC6WASsME2TyuHasD0o59k/Ya4xDyxriu3IV3xoRB69qJa1m+cFyH2VR
fuiK2LodTJHjwrKivYod7AHePA/nbp36L7iznUfXQhMw17Ykctkv73QyzYfctggV82niMmyL7nFZ
GsKu3KfMeRi3mT33+2X1383Y+84Kllcjtdv+kKU2Xr0RsIWTwI8LCSfk288N7L8ldf5XRMyf2bn/
578RYde3kG58JID/EH/+VOV2/P5Tpfpn/ds//51/yJzUrlG4xn+kluCQNP+Z/vJ+4+vriYDclXCJ
z1g/yZxoo67tUH3quzB0bZd9+D9kTif4DcnUI4eDTuEJsPf/TvwLMerXFT+6kIdMpOUqx0Hx+ONm
nWMvybGJsm/Tg3Se4OGaAIf2m1EZwX2LOThk8/GdPpdiJ/ydy2G6TaMOgF0ZBO3NopLuAiT6CQoq
09swwg5J836v6mbZqiqZdmiO6xnfMiVaU14wnU4jl2+4JBfOUj8PLBAv2jSy7/EBGQ9YJ7+OZgcZ
KQneVS6r733bHr2CuE5jZtPeKi0sR4G59Ph4CXxwW9oGVi530lTjx2AZ7ilHe9tOxkrkxVKHfoRN
gkvExJLbWt9Xq/mAe3o3uhoXWY9Md80YDCeT8NE15+9Cg0dZn/Jutq/qnqWt48/+GVwCTVBJwf8b
owKldbqZzcitYU8+CVZLRmDCwka4XZKcpeHySKOMQjzL6iP6DU0gqTccsXbN3y1d2aboDUIptfxL
ZyWRlsYmOII0MV9ifCJbOcMw87uR8CnXYmTVAXYBWz5sSphXu2C6sXlc7riUyitmaej6plA/JHiK
sOi/xJH6mP2iOrBtjsIVoegGRqOxg+I8PxNSxJwbsaNb0+YYiyw4emhvN+B+8h8q4Ljy2ONgFu5I
w2bFFFKasG8M1b6vdhrc5WR0jikZ5RuJK+Uqm4Zh2PgrSRrPpg/Cjd36ltyKvZ+1ZEQPYHSMGnt9
LeFcNNuWjRD7umJcDkoSP4rdrtlxnGMows+0ndgAwm7xktuY13wrjBwwaqLRyX7CViZw9SN18TJW
LKo7xrbq7kw78vZKlA0wASm+VABrifctzbeicZd3lO/hkLNxkKV/OwRtuTd9k/2ZJtm0QwZdKDLV
OZrZsTPT1cgMpXs5aWYh8Q1x7xeyfQD/uV5zxQv2cRLwPDYaeVvVfbyvS7t98HrLPsh6Ta8qv5LY
2RgRbNYsl+lKM1402y+RQWvd1M7ekc/nS96wT+Zzy0Vu41t2chM0FQA9w2r3doe7r3Ah+eSueZPN
aqKZqHSPHTT4S1C/RCfypG42tebPAwqEGtHDUCX7qJ69uh2osggOAnh9FgiybKBUNyzRDnEj+hAI
7/Lmkax+CD7590ZJkUCCsnCbze5N7YkIIIocsGMiK6yCi0RclF/BEDXbeam48hhV8lBa+HjbqVO7
GXVppyidwtFandoka+ngM4prAIGhmTpAi0qWMbmJ6aaEO1rUaXTIey+/hZB/RUK6DTGQ4T7ShQCE
ODDdK+78xVjvG1oDzKzqDllC6ianBuVE8G46QEkLtjHJO3oSdP8AyJT5Qjo1oEyHNUVZKYpk4rE9
lo58HHSHQVLPX+JV1xqwxKXigGW/ecyMQL4iRWQHa8VkLEB6bnvR36csXbZJRCQzoTrB+yxRmC3P
PxULOgf1Xskra7of7FmAq+n+BcaJi4G7IYmIILmNipqAPvnSsByi7EhwgP6GRFc5SIdSB9mahMGK
rKvPHn76jT83P6w4b3dKl0Goz16ItdEdETULgohASwNXc8u3B+Y3udw7BwjkBo/dvFktbkq+rp5I
MPGDb1XuXeaSF+ECTUmFW2U4xyXaY02DRdJTZbH4GRivlMMI15vYB3l/X9O/xvyR1FASKmsTUMvx
xOWP6Wmx8+fYUCU7dxDqJ1OXaiS6XcMvKWf6bNywdPmGspfpqtWFHN1ctttuolzPSb9ZurTDn+Yg
2DTzavLYtNVuGanmw/iQ71gzc6h8ln+4GRfgobpy/Hyrokbzdkb0Rt4tXsX02tQlIr6Wi9iZRRv8
8c/Q7LRlHm01dlBZfSvtLwrCtfxNfJFjDzW29n+kc7ey0nQIzmncd0N6MtIaLhxad+sh6/Za3y0Q
eqVWfCH0qr3QKnBd+/h5tTJc4Ink8zm432JLWR+pb0dvjdaSG60q4ziNXxytNKuBtFpUzT8cRGgx
N6QEDIk66nUkA1Z9582g95QjlkVs6CuLjPKclezBU31XjrHiHxk6uT8LYlpK36nzOqu4D+qLtqnv
3FzwSffpe3iBwH7qncShK4xbOvq9weQ75zv6V6lS88Gt9vpez7BSnGDHdRfwi/XeQUFcipx2u+qZ
oFSuf170nIDLdNw2JTGwTk8R2edA0TBaABr0nguPik4sN1AXKOy0KG+A5EKczdTTCSamdd+49koX
l55d9BQTj8wzElrzfp6TFJT3uH6rHLDijkFAsNWzUKSnInZFTDZ6Uor0zDTq6QnvSryfiyGToa+n
K773KjQYuDo9eU12vZ5Jh4NRHKgDdPSE5lE0RhodXj8PQPBI3gJXunAfuNSnr37E/6SLE7JYK+Ot
Q9PUd/UJHnPF7G1pV3JSIhCFf049pkvf6+qnkcn2sm4wIX9CZmXkw4QQRnUykdStdLAegSfyyIgW
wQSfNENIqCrhK0ZvZ+xzkV80Oc3VDLW41zQ1ox/eek1Y6yOZYkbSRG7NX8s1iW0BybamqYazzRnA
C7qIyjDX9LYs51i1NdENLWrdzJry1mneG87hgD0WDDiR43jmKgkYju0yfu76ExgXx5qZ3Qo4cr3f
qC+LZsuN9I699EXdEMohgBtFU3kGDw+Orp0dGnAGTakzZnh1QAyBWGme8SyqahuVEWA78JzGZflJ
u2vl3ar5d6SW2mNuMVRPsPHweaUf2NuOdiXqY0pVwqHRLD0/SQREtRTA3qpZezifDJb08PfmwfbZ
zsPkU6bDGbN2+X2+FtZ5nmH3UVzGir1s6LzSZL/c0WbV33nxn+g/OUIBNJMguRCAARtNCESNte+7
T2pgrSo4BctThbH2Oepwr41kKhhZh04TB3NjH1ezve1bQmrTonWNsowP5ZRxgYRayCLqmRLf8ShZ
xKBbGG1wFZV0F9cdD9nkE34YdHAQ8dfNu3IR3bKNrB7Gk+NMHKmApsjZfaIUxSdWkfg9CvA4gDID
4OBiHNGQfFvj8ku4+ZMG6K+jMGj1XeHs2OWDmRB/rr0lfsoJHu3GLieu6XivUZs+yj4C7FwY8mqx
ywh11mFvxKN81wXA/JGm/UOz5BD+S4vjvk9K/LLgxI+Ehfx9nGXlsXdt+sjaXIXM4PFNyX+dJpS8
TaW7BBqALze9JfOHFR3w2tedA/j3PbbLc35RcM3CKiIJeTQVvgTdV5AYU7bnvLy36gQ5VjcalFlZ
sUxR9VUZjDa4brZebmUfxsaMeOgV+RGkz5fIoUfCXcvpxpXm+jWug71TpiV6tJRPvX7IVfBXWQO7
qPETufkAT4sRLDi0o2W4qxoWYs5wUeJ9wnpDf8OqmxyCdLROI7L+oXMEuBaOkwmBa5dkiXXd6iaI
yCjlVV1N3v0Yy0fSDHAlZ/5Updi3V/38FvTpcbXce3csiGWbIPg8/zLFwI/7h0PcpY2i1bUU3WDL
B57fK/d0dsPLZ31FoZssAmftbkxdcTHjO6h3AF8awodTWd7zVDBvTdWSgB2IN1wUdjl9LSBU3TE+
xF/IQqZXUbtS4mrlb0MyUfNcmjKLdpVoaN9IBEUcXrta11wx7RMquXgGqQ4RcRDcYyZhbiX3wt1C
Xca9jKPusdVFH0RB7QtuFiTOlEq/+3HAPdoYk/tpbGgJGacBbp3XjNRpEQS5z7s2uk1d3S1izcag
2aDtBYuvvT2K/JalB7eQIL1IAm+8gzBW7Q0sMjvKWMRNUgzjxSr0mlBMfG/XyECsY+QA9wWIoeyw
w5AGar4PHBZbC+Id4SmnnLYrpoNtbAN+orTxDq+Z+h7wnFsLQEFtK4m8F6Qxyjz6GiywJNIa9Xcu
yltcKnR6uYl7NWTgDFwakzYJbPRwRcfcoms0xHUCLzum8aw/JIs3vgUZ/LfV5n6/sCE5ULzw3CQc
pX5h39uxT6NHBeYwcV2KIhr61vDp6ex3g1+nT4X/IHrb3GdebYMaUCUnJtVWdiCqh6Kd1lejqRFy
bI8mQJLR26ZGi3eWwr5EQej3BUXVdHPldC2WX2vlDHf/fz/zn0P2OJjB8ZT+v/czDx8kc6g6iGl7
LPrhe1r97Ej3xT/+gP/wpNsCnzTGbyHg63j4DH9H9Xi/IbZDWsBr7DtsbLQB/p+oHvc3E0N6gF5J
lNayHf6lf3rS7d9slAcizIFr6V3Nv7es0S7HP9oxbcuyPXbTrJJQmPQ//8mOGftryWOAsSHnYzeu
i02hbRaiVcp9AMsDO8hH1Dq3bFRD39B7ioX0Xp4lAx2sXc3ziPwvKGQ+vGY3//DcQbx77fjqE80I
Yw7eM0WL7qEXWffY9T7FLUkVStNqQ+J657T0vH26AmhIR697rfScxQnn0FBXIxUitBwKqpuui2G1
OIpEtlOJ5W6HtnorBl0uYyxuc0wtFR+ZSmKkWYphydyUKSZCn0CMJ40w4gvUBsz/xHCptiGqv68b
g6Zrhqz9rECo+LI82gsDJGTn+MhEAy/ELT+mXrRg9r23jnKeUzVk1V2eMfCHM/Ah4ial3XxFEfDO
STLbj+aCerJJ7HgMhR/09z5ZzJ1VF6hGFMwYu8agrfKnT93t7+/S/6jG8rYm7NP/7/9p/as3T/IY
09SmALv6L8bi0uhI/Kx5zbPEN5+LOHA2WF7PgWPN2xlfBgdYk25FVdsn5r5gD6XS/2JgzL/MzIrM
DzS4bYEbaNsXwdnsrHcTaqA9YkfYKJP8WmtHL00cTS8UQ0aP84IPJShUfPjrX0P8C8O27Wj4lA3S
SPLr/PEzOM2LHZHtK7mmE1TyRG8+rfHiYvVbRrpT+/E0NwP31ykdIBKWUVjiv9m4HXm4NCIA+9c/
jv7a/fKVIKVhEezyBKVg7q+vahflddAi2oW9LLpTZfriDUZ7fdX2VKd0NsOCUaxHSXo7jOuU+K4g
4S4NqU55NmxwomXPUDKc58n1Rh6l3XQs56ILq7TFVNFUVFZkbkrb+Tg/ixZWYRPTJl7U0XakdbCx
BGO4YpoDV8DvO3rLjAenzdGrliH7myzHZ+Tkj19/zh0HKxxNbLbzp1BBIWvPGFo2rH622hs2L+Sn
nZ4kLPuzsGpGXvDEpU95bMRDilF7P0LJC22LeUhYC/sPXz7/9cv/J1u2ye7aDEyyxlxj2XD/8mFI
LWsyyqQJu8qHv2HUYIC84sLueNQplwmJ/qpxQ+VNsF39Jd/89d8u/tVfb1FQYPoSSzzn6x//+rGd
J9G1iq8UV75rg/3yjkWkjyQjcc7X+K6xufXUGA+t9zJP1Y/aqN6Bajg3k7NepwnlafNielvuPFU4
tSx6esDT9x3RlRA40j/Aeogb/1nWGi+Xg7GfgBJueif49fweq7FBn+Vlid4mk8JWGnhb2ipXuhGb
8go8CbNy4z7Co/8YVi5uf/16/TkLxJeERBUYGA8nvflLKGVVUsRZkjasJER5xEj5hSPEOMYjpFJQ
SevBm6S8/Ou/09LH2i8fWgGbzJMoH5wWOsv18zMrdwX55oAPrUFI5Tnr8C7Jik5oljzp+2zY63Pv
SOuAV5pGuGI56mDKt8yXB1WRbFj65qKYje+lbiS3ISoeSgMWdVPjpTLZvIMfDbmI55SbrceCNT0e
qfaMV+WJxG72N6keaf7yy0CG4k4gPc/hqcc30fnlFRwWawXR2LdE/33SRdwkEB669pJkfxqOHXWA
mG8wFkcFzQb5GFjMUZ9Ry94cPurF5m7MGBc9B6b1bQQYceHk0/oYJwBJ8aXm29kW8yVbzPLIpmzc
VTrRCdI6IxMTBM1DZ4Ix4uuIwTGmsgibSwdviEDoSFHEZgJrdCN1XNTpMiBzBfbztrAgxyQQ3X2M
/leCs+7gxa57nFqvuBMJ6o4bQcaaIIjsZvi7zKCV/SLNwT2Taesv8qBU+pwc0tOyzHQ2C3wXntMl
x/wz1YoH3sOfVUebpfGfyiytD21K2bhkoftSUMyLeJu37dWwrMOjNCvauc1u+ejzaty1jvK2DCms
yOt4OfBvqJ3bkugm7V5lIXVR5jbTQVwbcKZuos1eK75Xt3hE2aQoK7+SOrvb8nm8N+zG25XkUs5x
FvuXuFUgsTRJap8qUfEVB+LKGGxWQLeiFDZ8Ztj1TTysWLsZt76UtpoubYrk4KMqxFq3jRd/s9iA
UZK2x6EQ0YK9R35YTridggt7ioV24jXXAKjze4gW2GTtxkofyK/j15yS2r1AszA8AASpyR89re+j
nDQ/fohFuVtJbLBp7JUdim5Vp4G98zNhae+pmxbjpmmr+LYdSp/x2xfTocYd3x6ojKX1ZlnYl7eW
XFqAsS5lD91CLTw/4EC0a+22c7ZU7543JU+LwKTT4ce9XHRaYk17HnJmbVB30SifRhDbmi97kSsG
rSh3burJLb7N8eDdmp0y3z3Uk//L3plsN26lW/pdag4vNAfAwaAGRYKtRFEk1UVMsBSN0PfAQfP0
9UG269q+zuvKeU5yZWZEqCHB0+x/728/k5zhQt6HKbSguRjDozDm4B7r7nRKcxFtuFir+67QpreQ
keVjFVjJRdlDL6grWjocMhpheWCdaQAGBOGCBpH6udMt975GsqI9oR6avRV30WM8SpMyFC1mntDF
N61NCnxUmX1kZjY8BG6v79rMaR+a7N1ACsa7Q48AWazwmcqiBQAXDeda0VkYSuXsFPiMK5qqdc0Z
gq3zNBpfNBhs8yrRIoy86E9a8UCZhOertnLfkizPf/B5+F57c3gZl0eEavYqtpIvdpvHGQyvBuYH
7k73Dd+TuB+xvV8Jt4LkSeTI4aHO65dynq4jiign5ujDpf0tg57wUJYOUhE5z5eht5q9jdXnaLN9
rwxkt41Bi3G/EjqWBwjaBLEj/E5g4o2fJPCDXWJ3oAFc29zwUDRb08RYPsxetC/NyPpiR+FPj75S
v2+HnLiHTDYFjXFr4DqYsPMoMFfxMO5A79rbvOOoXSsGF6ZIxlXLC59kTeTzJN3gMJ9tE8v4XLWH
qRuQBPHfFQVIzCmgARmzXpqtVd861wLrHVVzdXNP5xpMJFCJzns/R+dWNVzD6Tjgxq6oJMcqvdO8
VDtwNJmQMKUAM9dYO9ezvpiDLe/xdE3MCeeHbhpZ/TXJnMLu6YLmI4G8w8YdDdm30IlybJem/T6G
00uorDPItotXlzmN7U5MoUGUvsoZW3XrpesQzlyEAFpAndfUG5ZmfRXK+hu3lx2PO/Gr6soxFAzi
nta/xYWMFa1MKqyfL/XIzcWatlhb15bFwIbXMeVPh2WEhKHvhSTDOXK9feVx24DnjKU9NCExkZ+6
q+ziPRvmp0j1P7vUfksa9Isg4WsElmA+YVTnNot9IWW1cjWgY2kKnqxiwogDJeannmif8LtxcHyN
Brs7fDmsPqChALskCYpDGdly5TKt2hCcILLjBjmjAoNOE4KcY/w9bH507YcFgykA1pGz9D5g5WVt
F9U2VGF91h1N3Iyoz568QRcv3ujK02A6GtCTGUGmtIaNmjPoUMSb3SPSJz+Z1m/xfRPGMkeWals+
DLUDgiWzimYjUHweAEg4R65z+XbUyiuHrviHEnbznMeRe2qbqvkWKFk9BrVmnEy3kLs81gsfJ2m4
laAhv5M+hhxneAG8xrbI+5eiEWO9xilNT2kIt1+TQQPjoQJSn+W7FtgHtMZAPc/J8A0fGk9GoR9d
fXzFiPNeV+GtQnAlSxKJWxzP8Z2Xs8PyGFzLOKmOeJIzWFcgRZIwL3Z9ITqsC2I6wsuA7Kk31TMX
Tr8ZnfnmGup5imPtiG0hvhSwMWwAfbK/YyyF4BtCdVqJOj7EjUbIB1vsWTMBcTS1+qq1Xn6RRR19
N4lmPBmWwbcNuC/spwi5TnRRcDJg+23Ukr7Ook7bRB6rY78s4LGwv3iGMZ0Ag+Vfmtmlptiq6heA
fSGqV97ca81AP68asrvB6LC7k9y7DP2lNBIAd02vTLVmrj19UJXZLovlfBeZuruNADkcZ83T/D5p
qHyPKI+i07Qt1nz+kp1m9+65yb3poAch+cAAlNuG5vLgNnVtwAVZSboFG74Qb7p3rAb9iIuhO5uJ
su6VBZrGnfTuIC23PcQKGiakRmJ4lmYf7dZz3qeodAJwN1p+YNboPixVbz+5owShX2qWd5y8jAZB
w9qmsxae4hlniRvq3lZrA90PnSWJxgMCUB972N61p58Q1il6km3/xRVD+iK1Lj2SaYzI69GgiFmj
sY1DawfRQ6xRuwcxRBwEzLBTR5htL2zSd6w1SrubjV7/6uXgQEvDDm4Jd7BLxmDsHBlQY3naTVj9
WBj1n8kE9hQXSCywVHMMQ+QeBSxJdwb/E/UlgLRFCDoVfeKeCUCop4JGXlAewXjWtKR8KBxr/AJC
UHztqQouKdXpo2yXZhruz7Bo552TDwmnBqeI+UBwYni3RZGSxDNcbq5uPr1PXtlsnAksvOSz9+ji
NT56Q2HeSdD2FCPoScaMgGUgn/pI+qas+h10U9OPomok3E8N6zedPsE3DHKM1cJcgTcT+hINEOmd
VTo5ON1oAkjTRWHwGnRpc6PDh0iZoRl+GqlnI2nNLwYRiI0I4+AuSgwMP2n9SEJL3Q1TUm/DFg8A
f4127JoeCsqPxbFgxLJPRGEwTLOWCbzKYO3gh6jlnVX02S6fx3tHDel9GEptPzCA2xX0mh6VMXt3
KtJdRgsMiKwgCgjA1QMo1bpj09QZz5G8IgEiPUhQHRvxlkTAzMyygSMchaNvwOQpmR+SPOFEvgJX
RPTL+YyBATMhEhYu6bDPq89/THNA+X/+7//1P5QGChut9A/3xP9mmru9jyWujP9TRO9Z9xc99td/
+5seC+vcJYhP3t3B3w+q7Hc9FnS67XoOtfTgPuxFFv0vPdb6ReeiBmzdllyynSW1/rseS129bZvs
iigoC1T93yCncyr569V2UY+hlqPyu4Kv+BdFLwTeWGom8kPmDiSPSPuxhGbUs9IMwS0jmO7Y+lqg
G/UrZ2a5ihppc6CwH8y5+CF4QlfU970HS0S3zCJzmaJ+1RLg6+4APw3/wTocKCGGmw08yOR2GIhH
kXMlCy1/whHC2pEQY4Mc7XOOaPCse9EzobCE1jwozcsnizotznHZOigmeYftRf8RqsT2C06xPqLW
jPUOnczEdX/UPcysjqjzh6DKX4LODHZmUX6JtRHBts0VRUr8QKHKV6Fq4900YJcIASisemH+9Nq+
5U5yUmFSPVQDsOmon+hckOp1sAh8OKZ+E1bWcSDS0CaL3o+lyUg4oZJkkok/cc8HGqXWZWd/qVIm
0HMimXI6OWeFFJTvZD81svs61UN4ICOCs8Ocpm1rhWfTAp8cFGPmDxVn0DBNt2lMzK0VSy1XaP+A
lNZear2118FseYRYhuYuMsZr1rntNk9zWgCL/EJQbOIQHmXnnvXs2MJJwoI0B76sMFgEjUYElMsF
ZUL99NxWVL71xdDfMxAXz7Se3Feo7w/0AAJ5NvSzqVfjO/4Ciqmj6FYDdtiXjWn5TqhYS9tvZVrd
1eyyvsZvt1Ip/1Fbc+ZjOrNxY7HKJZJR8wSbZFWbLTK6N3o3adlXehin71LWijLuYjoanBgOFsAu
X3nyh96IgYSuxYKoAqkRYAd/BiQYypaRLmV4PWmYeMRLEJH4VV5A9qerlXoN8t7xHfq7SD7SjOPN
VHxE4Z6QK5cUM3oHu1Ddu8v8LRusczX36BAS3m0DbM+v0yC6hkVvkvosNH+yiIVpzP7dHmJwDnlp
NRpts9UE2wFbolxiyvEDj230WPJQyFOAiA3goCc2XtkvpJuGXZHO/U7gaqNDZ6hWfABHv1eFto14
E3aoNMbe9Zqdtyjfbic+xqTLCAmwKYJjbFdkC7kNaRihq65HBumD9zR2OEvG/bZpOJoxaCfUCtas
msQxVHN8rHF4bJu2oTw47C2AUVQzhuXw7PRa8C2cIMeaHklufgPee7xjam2nxWuegJjq4aSc2nku
VmhRwQFOa8yjwHtOIV29n2IesbHlPIIiyksZy25t6VnNoYh1ItWL8Rv9f92hDyS5HsPLSSApJjhl
Dz2CRN4Vqw1ReqjixxyB7Sm3IwwSEyjFheG9mygcXOyEYh0VDYSUEOpkMuf6vpPEbVx+llVvUKW7
NYsMe8oUe+B/PflB9YQNADPjl4GmWLm9wQWxCY+ycB8dly5qUr896Q9nSBjZSuM2gH6IAGi0wzV0
aBTGwrck9GvcJ0doDNOrANNGhrju78UoklNlgXZ2++7NyLRqx/B73KWU9uC7dK3jkNbt1lFKP6Oz
oaJRZ7XOaBJfm4hFkkzKWnnhljI8QJKwoNcyHR9l55GpqvqPOBb1wdFhwTt2b/s6h236WtISiyfI
9JvphNmBCpfoTgzRV90pwm2v99oaI6NaTW5M9ZqVzOAhaXyqPKEQJtLqatIc5qcxn5BpImTXFnRS
l7BycPkEJN77qt6VIU2cWBnhlMbG01zG+SV2cvuUptKiCdsLv7TlpG8LBzAIwhmAxaaYECk9dUJ6
kruminFGehMeosrwPhy3JSieNs1rYvUPeAzx6QzO+N0cBcN2jrrivgNU5AZTxi8wpZ9657DKXYqE
EoGcLuAyPVaeY9Apm9FlUBTTCSYnHQZjkF7jOL7p5AQOWUmAyfJ6uR4NDLXdCP3cMhgcBIEAP0BX
rB/G9jV3J9ZQl3XPAYgMWKCz19yRwi1yNjaQWHxFodlyLz4DWq825Nqcr3lpq0Or+PVrnd6FAcjr
ftFsKYHI+NSJ9BjAE6+ppEogDIZ0WJUdPU+eSuULRZ3qOWgKTotL2UJKV/uBogbcHw7CX1oznZxa
9xHpI/0xglJZd7kDF7pN3GtlyeZ1GsPwrsIj+L3hEl4A1HMLkmVMHlcqgm/HSxxe1Jxzjv4cDydc
NC7GPOv35DiX/HIJCH2elkCM+GDkFj7k2JGgJE/jrpttRhh6npprEQJdmcmBn0Qkn5JIqvNM2gpu
ZpRsHSIXW5pLoTXn8CRMcO5QJ+aLDu5KtLrY2ri5r9YCcyDKi01dqyA8GAvsocQL82qk7tRuva59
qPG17KcEH3IKfhgJNA+Kr+4MPiLVopK7y4KemFqIsSMESGsBTqgFPWENC4VizpyvJNsgPswqpA97
1IA5L+CKGCuKHzVeexNdDNdiXgDFBVfpZ7ekK4ACNBAYcTfiNQwd46sZs2fJT1RGk0DNUGVE3Bk2
NV+UgkweSgAbIBridaV3uDdBeu6NBcRhLUiOZoFz8IxjhP8kdngLvGOel1WC7A5Mj/KT7+EsqA9u
fOGe2DAJx2hBgTQLFETQs4VebcwYfxZoSPbJD2EzgSWiSFkQegUw0nTF+KGlVO7iwdJfvU8SSbRA
SZQBnkRvAJXgeppX+Se9JAnyHP7B2G5AhAR76fUEqAyIJ8aCPlELBCUc62P5yUXJIKR0Q6M9chmK
DvZyNusWkAo9BJxJFrgK7+BT07fuvlvAK+2CYNF6MmmpQHRex1ND/DHuSVEs2JYMm/VZjnYLlF16
mE2w22wiy5X5Fs1rPug6ZOcGEgxB1+RaLHAYV0bZQ/ZJjNHGJGKi5dak1wt9PNTVQpdpii6Y1zk6
80av9KuIi/G5tZrheVrQNOMw05DHeZg4F1gW+YmwmShGdAhO7+iZnA5UBYznkMZlxu168Ao3QbKt
g8TBVsU6tGByQl2vNuxeLcPdxQM8ho13MiGXYYEHsrPkBstA1qfqE8DjgLmIFihPUoLnmT9JPWws
gOsXfA8aXQ16lvLDboH7kLyA85OTvH2v6wF5KYv7J0myf1OnWD3RDNRDa6d434Gl7SNnzk9uGqW+
BDz+yruOWjS5pnjTB7oRGyOrnghel4ekSO4aoK8vNdWr14go5LrXE0ohxDiuzFnhSmK/9kuukJi4
OCA1sYeAZsJavw515H3BROy8ZBQBXYJJ0x7yJnsmBVJuvUXhg+9vwESei8MoGSWnIdAjAC+3TnOt
16jLMS8SoxFvcAHRb8AF+8y/9WATac6TmglH5KK7YdmjlScc1bnPsvGupnj2Tblqk8YDqDUC4KfY
I2KvafZ1mQJSuaIKyuIA8vTRTI4wx/qsF57DjCsZd59zCVcWl7GC2xJDKKNxDXvSPZH2p1E5T3Bg
n7AVVlvdDV+mWt+XSysSIwOs+KH3NaSOiLMl8UvFeYzGX2P4Cmy1IXcydxXVdBbgpz5ccmfRNTXT
LxPQG9BGS5lbwSVgKs6NE5WniugKBqdF1YRLfahG76s7QnNtOXgRj+xXWg6HO8sI+LGcEklPKEJx
p5GOszTEbxFm2VrvHaC0vWsT/sC4m8KK9Ud66rYkkWp/svtwr6nIpXyaoFJoU+E545PF5lIAKVnx
Q2t7alsC5AI60qLQVnuEY49hUmzvBtm94oO997iXXRwseVnoVO9B038byLOsOGpRqCNXYLkTHLbc
vgCvRdu6p6eplmm2JYMsKMERu7xOkFxyMiYM1ANU5w155tgnhKltTMbtfqilmxEfzW3K6pccHNQG
sAGNJGMQHPoyvfecngoTZb72ARsZNQjAkWeW0kIDbhMgy882cSBNj7/Yg02os9Du4oqkUYBw5dez
/iMxMImGudGcY5cZ2zShfEVDLr9gKeMjVWs/BD7adSCXKKRwXwytWyu64w6lZ1F5hwl0r6IaSolD
75KuY6AGgd1RCzqe2E/4vyi68JWepSbWiTbaUYw6raEpFt+mKCFzUihqAJdLEoGpNAMPPnv1F7eE
/KZmmiOM+NKOwSmKjQEH+UCLs6epB41t6EWv8XJGcxX+R2P5+f9jfBOGu/Sk/Wvb26r5mf/8k9Xt
t3/yq7Aif8HixkWF3ItpuCa+5d+FFfmLwJ0E9g8/kSl10/2TsIICgwduISMucUE0nt+FFTQXpBDB
peE3E9y/I61Yf2Ps8FBJPQ9DHUZg6y/KSkA/GxowJqM41/JzHngoGEL197XL1qGxsa5LGVPjTVXR
Nh6cp4BU2a8kszIznZWd5yk+aBzfE7vc4+hOGOdNqDzGguepSXTjgmc+1AyO2jt27fbrEoXal8aH
jDQ/z0VGMsd51Mbpjp3wG3aOmAOjU4gbftMX7v02innxjhjyzRzckmCk7d3phJoZkdJt+4c37m+c
Y4b4i+2AV5YUKP4m27JxXqGE/dlD8V+5adcaU5+gZXILO0LJoeKWPTWdCT6IjIrjju2u7kSwE4PX
Hsk0Oiu8icUhNrx70RYT15tagVdgTWlnDloBBAJ2B2b0Y1SHz0ZEDaC5BJFFMFU41RvILUMZrToZ
Br7T9xbpc0L2drho6yGUJwXrbcUBAfuX077mLqtDodMjI1q2A7qoHly7/zmYDLn1kFVUlz03UvD9
jExDZ5/nFBAUnWPh6Yf0JZNK7mgSIGvCKSeRsEUI6tUAetyKfVCfZ99M+V3D3lgGUyT7MBiGWOE4
0uhlGT3lVsuQ1I7Uz6zCF0mVxnynj4O2tiNOrdAR4gPqIDv/Z+C7g417GAtx1Iq88bXR4fZu4KGi
+cA4OE3dMT7N7wMNklC89GAxgtHBY1j5Nk44cbuwavzOVjH/igGTAlMVEBDTrOgmqIOzwFoB4yLu
F6YY/SrnecjDRyHExo6KBJRT/lE1Hfek+TppzFp4ezZA/IYV2Mfd6EKwBr3nz2QVwEvYGyGy3Hdr
ucR6+MJBhSbY4E0G1MOSPQVmsg0k0wQ6pjGl5zP6Daz37bhE4PuRYGdbRg5Sil3TDZjtbbYLxAOI
ryCzT0kS+lVoBLuGATmsA+Z4ZlzNF/qZTJ8jKeXKS/7exEaO+vVBfYnLW2yqQ4N/HwUxqa4LYWUz
2rg48VNte6IuK7JPZFONvoXKu6T9Pz8U/xHX/0FcNyxrWS3/9cK/f8+/9U34R1H9t3/zm6Su/4JV
DxeaB9saCxOeuV8dzvIXnMW4XR3rc213JH/yu8PZ+gWz8dLvaFN4s0jnf1z4LaC1jmSZdj080/8W
dXvxT/3ZLMY93pY61jiccs7ipP6jWayzrCnWbX1Z95ubTMpTybU/VsY/AGX/9tvgmDCJ1vOLEaH/
07ch3R3SZobY5M7G97DzMEsJVDFOvP/guPs706/nLKWmvGbsjn/FbwPkYZ8VIl9PjbXpYBqtcWxj
hbam+yaJzTWW4wnVRL5zfYpWoRhwdEKwLopTMSRHKsdQWKtLk9hAzGZGjlzZKXSYCkI62ZKHsp5Q
Vx5LJzE4ZgPH+sOT8zc7z383DPLyYK+VywaEvfMvpaKV43YTKVxKZOzu3Cv1wKF3PUmKaFRivfCz
j//wDf8GOOxyguBsA6LR1oEZ//md0YBWhYbl5usOFWbl0IK+zEhW1F4S3ZCEKQNt2uQm/SdBSCy8
CIt6Xc1K7f7nX9xYjjJ/fhINHmmBTRPYMP24n2/sH6z2feWKoihHqlSHDORjrQSKuCp2FYXx60qY
aAbZeDGsoDxYFimhMF58qPUiq89gJCPs76M1an6E7wHOd6CtXDmfwpCGTe4PxbBp7bxfJ2nT+uJz
ntnbKJSTYdv3g8kgKVL6W7kMP8dlDErELzzQRjpChRE/C+akM8rtjquUxB0+ca1rpTW+tpVMVjRE
Bzc3AEaLO45mEhrXNNaBIx6+fd2a0V2ltSc3gojSe6LyndbYYy5chWG4YXaiURJePxLfa7cJaZ1j
amRyCybQXOtth2iluDmHThzts6mjhW8cmlteVf1NLztFs5lhwH5taBAiCVxmj17V62sM2AMTiwAl
lCLvN8cMyg+rrSyws4WZHWM7sexNQ10VbiuZ7g0KlTofyXq8k8toW3axQ/wIZd9h4raRTMBR2fHx
2SamLihE1Vwi2RbugwYeNVxlmdWQLqpqqHPqw0nl2daJwwrbQVsJQEc6nT0gPVv6dY4ZNFnAT3fJ
EGubLuVpaqRbX3B8kaJuWg6VE+SuCCrcfuqH/NTBS3hKi6FFaBPZnUp0mqwgSwFgWpCcRPSTR4x4
2npegJ3FHKCxLjcn4obqJYXpiRhALhPKp7HgPqe8nD+SBQGaLDDQepgJbMwDiFDX6q+yAu2KRFad
phr7HrkMkhiDWR3LgqixmsfyMHLv3JY8hnsLcZsL6fiiLzjSemK+rQl9PA74UTEKGM2tIbW3K8Eq
/no+/c9W/A9bMdNfZtXskv96M/51zv3Hvfj//aPfdmOyQxaMRHZjts+l0OL37dgwfpGu4QhSRSYI
duGwif2+HUOHkRgTXUbZAquwxSr5+z1MZ2CO5dSRy6Zj4s3/d+5hfPM/LYJ8XF3YM66UXAdpl/7L
NYxmn5F62bJYawiSW0YhFDRCQXP6f1r2GS39zbcStskLykbJ6m/+eeH30J0SbyBvNBJpbR2LHukS
Z6y+caFSKL2+Skd70jhM9mHuVzOETg6nH1wgM9jI1raobcZ/en0LDW8zV1h0hvBmByma1PDOasEI
YN4EzEHn4g0pGhqwNPcSiFhbjY+aGC/m1FJcY8Ae7auNMb5V44E6qW7cKtv87tQmvYn9qQyzF6Bb
BK8zbYvD08ambQ9r1Wpn8udErUJ5iyK6cMKm8al/XZfeA+/pJW/mZgNfJ/ZpwztknkBZWsqNh12S
1zvSlsfUTnQshs1m0phvc+UyFCMVs2TpHndmV++yCJyo/pCU1S2PonWKilOZerCWU4dq9ZCH1aOW
xhnFRwDpEsdl6NMvM9yfAj9hofHfqzehA3oDME6N1aVuoussnO8EeBB33zWzZJAen9NG+uVIGrh0
auDa9kXB8eqQhgvxw9MxLGA+px/hhQ6vMzI8ojyOXid6pLmUljSU76kwYGB6D1NYvVTJu4kK7vMX
X7sUo3OSXIWRXbwgWExc8ogtdi9G886B9Wm+i6n7kYmXFlBFPVU/GsB8bS4OGt7FlbEIYti9xlVf
9zr1c+RThTN9D0rvkgUhLtI6vp/ptl3FAbAGSKMrNcznAe4C8tn0SlkpkDHT2ehCuwuqbqX344YJ
kHmaXY1S+/KhbTZNLAGMTbm7cj3z3aqKddrKR1rtknWtDRdTSz/s1vW9wbklcUf5mOmdsaAcmXx1
R6Hp4grwcJ1WWEOLaNoHRQyESBNvkWIUb9NqZHj7IP9wrO3kVasJk0X5SEn7qgjeDaY7BQDd5NNq
axW0mTKsTSxFc4tivznUunN24zbamD3YoCpms1LtnYZRbi2z8Fw14SNcuCPzx24L0r1cz5GuiPd+
YdXfTND/waT42fgW8XhV31vVvXT0gCXCTy0ca08tYyYi/Om0SwP6o5p7lczYuF8w7GcrjkmIfjYV
xa1fFy9t+XPsmPILXPJvHsg6ByruYRz0lzrI4tUoKc9AGNj01Q8j+WKlb6QjOfbKc5AfCwcwEGoA
5o+x3rktdr1LXd1VA7yNM7EbMg3urjcgXECBRSPt5Cb02s0MHrgsxXqekI7dH3nCuGrunxgR/SgG
CMszRLzCoh1EnmrLPrqK7jqMsiDrbOoQenWARHP1Sm+Dp/yNpocT7lJKgqEUMXai5zV7ANr4mlld
Q4doIvGSqxr8LKGKmOmLb/G/MGQfygrqMru5kRnPFgD+K+8zskum7bzcbSmGGLA3tqpi/GXuUm1m
XRLxMy26N0oFgRJjHDR63+jfvOykBbCHSPpsEltfUs35oXCXUSvD4dqs7jnLA5s/NkySLSf+asF1
s93nAPxqIr6J4ZiWP+rpva9oqUzb6xhk39TIeFGkW3sGizcXT6AkXqpxPxjPei/EgZezXun0UIr0
mTLTzh/TuzniCBq29Ap+pIF3ajv8Bjlgw86UqwBQB7keYuzpppblJRL7OU5ocGOUNSS3ONDRwoe1
rsVHLO4rXdU7BwsG78o8G2uauQ85Tk6VcjGxDD4U+g/IySxhb9X0WLbmEb3+JOvqFGY3CE5EuIMV
JdK+ADFgZt3aNvlp26sOkcsarGNDLYZlfRc4oL0CIRoMqRfIk4WHHrslb76xWRjl2dhBADb2wXwa
WpMENjZ3QqDFKuiNSzrm22pift6Evts/YT4+ebMBUKf6sAf0ncm8o/bwaNXBEWil49vuEqnX7xKt
xpiibhwUN3PZvphNv+vIiEhcOloJ8yVwC1Z3sKexxo9WITx98XBBt/ipIbuAKyuAQc0UgsP+oqck
94lxrHr1ElPNA4Xoq2wsuRWMzXdtTcnsyNrmcAWoRuNE89JmUNN2EpPvUTSHgYFojoH+nxxGJ/yu
x/goA/E9JYmkyvKGh2UXj7zxYGWgYMZr2c2nVsrV3BZ3lOng/5iAluHr8ChOsmLjIWrL4+iYj3V4
aWieHTRQmC0mS2zgZe+9u15Rb3Cnrzw3xUHZHg2Q7+AW9eaUjB2SD2gqr58PcbREIhwwnlAALPQe
EggDcDBRHjpZWO+z83Msm3eLuERYPkyYTbSM27AbCUZw/sShtuCPypw4wcAdJGo3Kg5/qDy0oQDN
9hf8z9YhgXgamJcu8eBp6zugQ9h1OcpTy2dl2gqSJiiktn9wLNUeRd/C/2rpyoZ437arpuSaktNa
c8lc891rvWPuilUCyTWCR3IZAl07WpEjKIApr43FW9P0l0nBuO5n+0z7oN81LHayWbvEN9JpukKq
T9yJZx9r6g0mur2fpvqDVoLQH4elGJQMwrhFMpz9YarzW0Z53gXvOUPUNB9Xiy+bqXt3JPNA+Fhu
wUSvOptRvHLfqeoGmNzOLWNnjEH544jveqkCQd6zCO8wF+T4n3Q4p9YpDyH+Yo5GPy333M8nS9Zb
IzpZrF+OgaQKu3Q6Qtm6mrXWX/MR8xieGliakR9mtPDl9Xpix5zswsfGcTAWMyN8PD2k3wuaklW9
KTI8QZYfbHiwkf59GPslXLVO5/bBqyjyG7gv1Vlyzk01bphiYmlP72Wic5ybvhGoPUJcW1ethftM
PpP23gbQVQCwnQb6KpLRXo3FiOem8tau7vWryckfB7tdkc1YKkcuwdxem5HhodBeaaPdZlN6I8KN
EDqOfJAR+zHPr+pWSy+ygo1dyfieXRcNm1qjlSYCX7l8BhprZdbOk0eTrWfV9zUwCDRwk0JXdIZA
9Tcs5uyJL3ODXmm2AWkbTgb4CS6CHAy/Z3w2vU0Fn7nnpdI1pg+Z5msuDPbMd8zi2ZqYZVqVXzja
a02VzTNxd20/5ob93Z21ClZzPr3mxqtTFAcRyx12HPEE20jcURaWv2N0pXZCvVZW/9Y30WunoPgy
7y6ggaF15N7B1q8Fn3hygdwTRY82DjkLa+lo/Oy4LOCsqy5NTfd1MhpQoMN6BbYOshsFClQJMcNc
Tq/cXumMdl9DVIwcz1kq912UXlJo8e1t7PdddpwhyqmMNbefjqCXN4jnK3ceAWAsKnNTDntrdBmr
h3sjclewZK8QbXcLENJtEeYxzqy12X2tbXylcnIPEPexhhEEL8cd3JRbJbUn2mq91VCrx0B50coy
uefSwkIS1yy1EdpXQSVvM+3qwIVRlcAqCfn4a6J81mOXeSh7m9FoD5WsfjaZeDXJ+0E2ZDoUvlq0
dLg1q2vAQSDpv0lSKEYw+Ra0V24Z7jfJtzy26PvU5xhPXWDetIXSoyzIOi1UoNTRX8s4A71npP0h
dL3sztBlu4HICEthiOtHFz8fSB3He8Vuyd9wnnJAZkbsHlvEskPgcjSfk/w70cXyzeiHA8r80Tbq
6bGBzogqwEMnnuG/BisrNsl3uBs3X3rLH8bC3rkzi6EWEvdJJ4arppr8OTS+8Xy/9OF0FguxKX1y
8cU5Y3V1e+U9tLq+XoTgVYs73u8G1MSoLrgl8Wmx74S61LDIh7Y9NOCgys68ejYf4qmX4ymcRP+t
HXmkVFj4c3vjXUDBKMBqNhQ14GebwGFztPVSTwcFVHDlCcrSb4OC4q/GrXd5yprXAze4yyam/q0u
v490SRP+S2LaQykZrjwfxku+RbTptzlmj4gYDXMSMHWnprlk2Vkqa0/q4E6WOf7kZEVRjtmXO6/P
93NlgsCtzs5nHpE6bvtR6bpfWpYfcH9hYE3L4iY1Q5+k1wa2+pcEj2Wmq5eZEtKpGchCgDjCUImr
QKArMhS9SxSPuoqD+958az8fZoB5vGSXpoFfFGcjIMScrXfOuRpEoVHcjTN9v61Iq73V4LkGq0eJ
VLQGXAfDDZVUz6JoozSeE1JFwc4moKmWaSQd5YWFnhbWd9786inxEYfuDijaGU5mduoYumKv0sxd
5+UbJRxYxSLac5osz1TRSQJO1f9l77yW7EayLPtDgzSHdOD1ahlxQzHECyzIIKE1HOrrezkzazqr
zKZ76r1eyrKMySTjCvjxs/deW618oKcrs4NP79XULJMULPELmOcoxMndt1BtjIwuEb8k0VrKra7x
wV7x7uEGHZYaa9FrBxB0dqz2ZNfDM/TBnYg7ZvLuBW+ITk3IY2xZOEdQtHgoO/pPUp7JipqbaFll
FALVGa4f85u7eBkHFkyzqEvcdVXV4StaQ/JtnKyKS45F4/3QlXr4C8A/jPJmc/NcwsHcjwQSj4CF
WlwbyTA8+7pHnXpajpIc6kdnq6vbF/dephBew3fhNcHBaJ127ddjtlZGRJTFoU4FF7SzSYyYOgyq
GA5GjRkszuz3GqF2m+BrPHsg+mMAmS6QcV1J3NoJsV63ASHidrDh4grcUtmaP2IfKwXJpOSB3KRu
6zDbT8Tv7D41TCglk8H0xF2SyzySIy2YTbQdLfulKpfiORyS4OqPgNHioJlPAO4J1aYtcCWngbAV
cYDG9mDcOjd3qKyZ5Q9hG/6Kpp4aPyCpbudHF/akCDNes65Wb33j8cEqjfAnZDzo1TRvrXhVYVFi
8GKUxSrfdozoReOTRgxmc2/5DhfoLoXGL7NRp6HrnNLSmhCPn3bpfVMOMDm7jj+2chgfCZdjcaED
nMhvOG5C6LdrWNjqSSNsXnFtoZkSZ9hEg5UfiqSm3Q4X3tGn1VxbYfw7quVxp1KXofadhUfaKazk
7Bd1vO8EbQrZzPOFsHR0LgjJv6gyzz46xZM+60HaNg0B1caX7r6wUT6cOvwmelziKuKomkWA+RCB
ah9RsnXyhzTZjrjx75y8p25ZsAclEX8ZDQhjKyduqnOLy2+fVEP+CgXdP0c1txI1xS7fJNkeMSYS
tSpq64UndoEdNZ53xRSoc17l5LpNQV1QBrLTTcyvoK8+vKqqDkXj+M8djuVXpQ2ikcu6eXGt3djK
YK26tF13xOSvTh+N1ypkGx4uvbW1mIHXQnbjDlrsc0Tcj0W0VzBD01Wxkcga26yYIz5yYiTGxisT
k7HGBQ92wT/OpYCrikEB/CtueV/75qWBts/nxHhttb0+q9px43Z6DOHs2Ap78He0t9aXODc+0swG
H6oN+9FQZ/sqNe+ikSNkTeZAr7UpDw9grd+KHJjviouPs40sPzhUDm9dbHLaModTFNUW/DwiS+kg
IEyw6JBIjTHpSIx6PvmKT08T409mZ/gY++jiJlTn6xzYklQxY0GmIwtJjI5R6BhDYlEynqNMtRFD
c1Z7FwBEwboz24tFBCKn9oxkLv0cCQGuA4+a4Sbq4KoSOX7mZCi4VrkbKv2Wu5J8hXA756UwC3Xp
yOEBjRxfolHnMazMGfdShzQyvw83rQ5uFJUnTlVkZ/eY8Hjek++g15OPso585A6aO/lVPqBt8FTr
YEgTqO7BqayvVodGBBaoQ6uDJCMjbaCjJaYOmXRLcl8Q2d8VvyliOooCt/fDbe1nl4zKaMf09OnY
SqUDLFEg37sAYzMXu5OYcTA6GeiPJqADQwdgApIwVQc1xpvmJyaPel/kJDEQS+76OC53Skdpmu5K
vBG1YXJ/Gi5hGwQXYjdjnuwNQxWrgUwOY8BAdzYxndDJ34PfwZ2l+uYIK4wpEiGhjSUXCguGjVMr
SIrgxHXgPFbiK9CxoPR3QmiWIPWIj6L2Kx0hCrPspfidKmrjjnOT3KUTYN8udTh9BM5JEfe2yHPn
OFhO80YTO37+GsIZt+XrPDUWew7rWIQ8DPm+l/f47N95ixsAGBbbWazBm2Z66ZXNab88c3Uz9tNs
P9Vj/EQbDe6GwcYRAfMfq0rwumRU5shKqze6BCF3ojej4C1vgmbvN+nRHkkwG2V5TisTv20DR6Xl
TMRivk2sksoliw920nx5bnUIfK5igGoBAjlbzkqMrm5M1txlGZAb4M0JPnerwG8ZW6b4Eibi2OH6
6XlObTxQEx7D4xYYd7+aq/4a+9Gwjq3yafAa4BmA9QwlAzYPYXdMx+o1Yx3DsH1nOqGxGTJexjxm
5pbJtXIq4wgR5lYk/NYBp/ja86iQH0L74BQFpXgwZsuxwB2jfpYJAlca2/Y65VHD5G0AeTSzV69g
FT46ab4afUJEXHziY44/hf51M3tWU3r1pthh2AhZAyMibJzFeKhd6zlsuTU6A1IryPd3nsZvHBm8
z8yYGwfbzqYd44qdgkBzxc6KnQXbb5vjQnVviHzepZ2CkxphYzhO8mBZA11kfXauO+LMydwcmpYV
IDlL/y4uB5P6GKn2PACfEvxo28qKnqa8OpD6rdZJ17CdXHiAGGH2WvXOTsXD1WKjjJmaQ9m7+j00
TYBoh5msNzPatDG6nBtIwvMB3N5ZxeUtaNyPXEwPiRpP5HE+4MMU97bBUF4V3WPpZ9mNFDi5Hkvc
E7cfDiOIL4fuplAM+Waqzd2oBflJhHfKL48wJwfc70BujSrZOQYZCceDCZXHv/9pvreK6pL19lkE
6aMYzR8e+ALAUvDY8QHb67hwp6PHjuO5S1koB/5yn6b4lmwan1bzWJ6rqfjJfMA1rmGNNgio1HZ3
78ChJtZHs5pr4NKCgvoCQfkQh9GJiFu2hkm47PC7egdy0+92Pt6NNXNEBJuFl0L3YwTylpXl3oA4
6akO79bk+xt79ngS/yJv/cYU+mh7xtkInc+gX5otxZf1WirvYYFs1dPVviFDsXGC4lvppPscsWmt
uCGtJ0fh47dt1a8plHJfRZN0hJR+p6q0MJkbB76Fnr6WfseCDTox11kqEX61I169hcW/ErG1zV08
TXWD2D3VIF5J/lA8Vfy0CVjN4UQSycer6zZbSjOevDj4ORjTvcnTc5Di0rgxPnuemTVjXTqLCx1Z
R98bdrjeP0vkpXUc5JtEiH224CLnw92paht64Yl1cLGBvTSRjfKILuX1dCpseTNmK97VKQCiynig
RIQXzFDDU+CM/k4WcB/yGgevXNpjzrCC+x3w3FLCjurNVZ/Xr0PdLGsJCHzlplT2gbAxt/QovatM
EA3vy6eOo7+o7hdaYMAQUCdCGVNKiEAXVoYb1vWYmOkVqNwFYibbUytqbrRc49Brog8piDgV7Feg
IHMPF1fUeDgzYg4OqddnLOA7/jjVOF8gUgCEs+hemJeKpsaGQDkjo9C9lKzGlMIDFgZZxBYHInck
6UpNqx8EsDOoAVxUpk59xQqZoGxaVo2pfAlG87RYNtrLQvtdHtNL3SfWL1AALGnC8CdcHYt+sSxh
AS4OTSzQXfr8l+tCF05mizRZHjwr2zt5sTrFhBBXKUAErjDlt0LzR5MxooAvkb9Md97WtDGv3NH5
bsBhQ48hitrY9ovMi+wUxD/dKuEy2feUY7Y8IU3Ph6Rd5gR93CpnxY3rPRUQn1b10HWAhBiiffbA
K0qMDJZT7bi8astzKtJNXjjrkTug70gIKv6upYHVNLr7xhveaPjZeK58L8PgDIJjIMH+3XJh9OVy
a0busZUjlHeOwVUBZ5GroL1Cf3/rC1/HKwRQDtScqvfua/bdW2yF6Q2igZc676Hd3axqYp+Ssuua
GMoC49gZ44equ6cYpFIJvJSyo91kDKtF7Hx86gQS9r06Zn3EwNoSC5qGu6Gsfsx1jAWFImohbyjI
7LLcIXiR/IWm5Zr09bshWhzvDstL37gjCAmfmRiaLTC5S1IxzITJwZ5D4yUZSvP5t779HzPA/2YG
wEkn7f/RDLBqP8uvn+W/uvP8f/zOvxwBzh+SNLSme0rfkrig/+YIsND1MYyBcHP5H37lH44A+w/X
lfwOiTtO+qaW1//hCDD/YEcrSf0xh+PUs/x/xxFgWr5W4v/Jo+d7BPJxA1BVb3ne70KZvzmjGo9n
Lbc4YgMuD0M+t0Qia+53SWBw0cRKld4TIM9W9e+L6KgyNrSK3uqsR+70U+tXkSA9mPraqiDT73N9
le30pZZLET3OhvM+NZniAsRFcmEo25lk5d+YpypA4hB5+MYJfV92kNqA30TdXpVfKd9Fqa/VfV+x
toRWf6/XWgjt4ybq8+CJG+a4tpw5OhZVvjxkLSBTPxeURphdcI2EUTyzGfMBVCw9V0wu/cpDkFrb
eh8gaO74HNwOfHidhgvcCZxCk6HvF8G8uPsstpdD0Lv0oNYlXcPLjIwSe237c+CQ2EqA0/vZ/71B
o3vVKYtP+rEVvTZB/1yXlnQ3Vd/0zzk4vrXFauNp0JsUbJzJtyFJefz6UsXbeqxDeN7UDya2Pb0U
4F2fCwM8kKdiqVNliUFko80OBiD+vVAGP0hqdQ+cseyUhE6FJ1FVnCnHs4lTFYhnMYajYx6H/jsF
tUhjouckU7NXf9TlQHqsCqOPeB6Mbw3LkZqK1pm/QTgzh6u8/dXwCV7VzmSvBwDv2Lg2PmsRirrz
8TqUFGoAQcnWViZulGvNe3ZwSOsjqavEn03Eu+aGJxtBgxsubxkPZbNtP7t2uhEPqrdlSTx6qtVH
iVZVsQCrsi3nIFauMtIlDd7NNKyPihh/tIo9GZE1Lspdo+Qrinh87EJUrhTDO0lNmW/rogOvMznT
0VDiS0oW25KLBT/20cgNaDPmaWaSRdwp+3XasIUOYmJx7TCd2ZtUUHWoH0Ryuy4q5LCw14ZX4CqJ
O3Gppi4+u31Wf2QNMmHdvQbZ+Jgy5Jmhcg5Ucp6NtmKqzaiCn5ElZZduQWRNqwztIEW3nZrqvgy9
m02hyKquqhNvYLlj9vrkc/0RWXaz743mPEvAQVpvZI+Q4N4mOJGtJ9cbbzVAsB8ZMfKjAwoQEG/7
q3fx5rdjSDjLiz7VwJKSBPiytzr/wUiFuiyJJrObybH2Le7NUfEr1OsBAbIcqWvZGNF7Iac9+55b
m03+Pmpj7HV+GNxBmDsmGFaWxDo4SfFUVtFWdM5qhkkx5Wqft8kHZ9KZaOoT27EtHbT90UjqfaKq
R0iO+BnhdzPYXawarcxI8Ii49QPr66tACtw4irkrMB65wG4rNz574GBs1PMleK9jW5EesFeL/Z1d
TkPFckLA436ItYAsxRctqXQB2BMpuaW7gJwlm0Q1SGA/WDo+jomOWqGUNS01kV1UHswiwEYhAbM3
iId0YVJTPDK5mT8hX2BmsHfWrH5Zyrn3PfhT1IV9WlRM3tAePFb0zo7pR1MRd1MgeTnn6pPCkmdF
4GqXFzhWJ0+o7TQ57ABHn9uHeTX7+muU3T5exKYx46fKVs6KyzIRatT9LK73YtamEWevol8YcS5x
4H2putXfaJDpdl+wJzWKNYpleAWxsRHz8jTk8RNuxPslzxZCv8utHj0QRq0N9Kk5T0VwMl3naOZ0
bVosb+v6Qi/zORqaN+BKK6tYtspzudUmOEJLlJNgyk81d+ok7y9GM4+HKpjwP8z3SWs9CscHaVQU
wS883OSZp6qjimM4pzIRPOirOmDXnqg7ify6CpIiOZeJqg99Ic/+sLjXqmpe+4mlrLZpwi6oqdBq
Wm3twv9F7L8y4bKHaQl4q3rgZviWSZa3eU8+vr5EI6v+InW2WWS/hDSTljK8wWcCs28TWOGh/+zl
wR7uAQGhMZrexijl0sB86XjsyxcAFnyUWWwzHKp13KvbbHvcyl0PDiW8Ad7MzGfaSiRhh4aybxL0
EyiVw+A3McUR9I6r4oUSJyxoHYFMGq3e4aoew7IwvxTXUV2nm94NwCIPS1N/BoAJuHYOMQ7zKAIp
X0mZ0lUzrJGthufAxi8GhpjWQMPiITlLF4u36Jb0IcldAiUYi74ZeRI+TV5s7tD7+2fbLLk3G0a8
HDkXSOf6bfgVAin/atW8HNsF0ZghkP0y6MSVzSR9qXISzCvDz7x4LfsCOExXcQDSIrgTQiegE/OB
6iTgwS2QDkOzaVLzMFIFv039kO8Wj4IvRxY2qRj+X+i7OZ8sxXntTf4X7B4T0Bwj6saODTqoqwl4
W0XhclCHH4C6szUtHHxmMLs8mSN1aZUTs5VWEGAwd1vefWul3WcLz2Id9clwpFE1eDBFmvFIzMQr
Nzjx0Wc5R4cifu1GICT94YN78N6iduhc8DNwfeRRuKstiX6XcFeuhprRxBG8yZ1vbLlw+9tkLOZj
sNBf7LFg3ehlWkVL9CLD+DLzHGcJ0OV3lTK70zA1zT3tb/OuBIC8nT0ixOlAh/jU4CmgSG9X9pA5
ZTJ2+1bVrzMkkT1HTblDJaR6JCrYA7f5rTIhbuAO8XGTVQVPiBb0oihvTuqFn64VetjJW1Otgmq4
WT52D7Ts9RJUZ3/2Q7r45m6duU2z7UeC5l22bCHSGTtP5cPRiRAA7WXf0ORE2r0Xhykff8GlxAAc
IG7FyYiCV7xSKWxcysIlgZ36m2wpn6dUtDswgneZK9/azDp3VptS6msEG3PAAGVWOfUSefhWQhQb
3Dk9l75BH9zgEGZS5r2R1ssmYLW0Von3zc+KL2E2R7aZuyYVW9eklCFeXFZBTWtvqJxCjQyjK1MZ
fohqYVEGbnPftBhNvFli/muNs6Cs9WxSTX6/WCOXNsTFFYXLCvsDa8XG8YCzBUACzbj4FVnlyHOZ
uDifsQOfcgN1BWbINA9Pcze6uwVtd+023LgaY5CHrEBAr7oCjgJr9lWvEFkUTisMf8luMcJL3osn
UobYeHxKZPOK+tSxG4ANu9NVmEBLUF7KTSQbgoHszPj34vxB1h7koaQqnzj7LapLavypNLFfwta6
p/IIn5vCm2rO+D11SG+k/OPBz7FYhionnDzUOytoMGpHLqNuoIzypZfyWZEiQJjFLJRN9pnWNESV
iFdwJCq591MqrEJcN1cBjfGtICROVDHuMEe2zUZwFKycsq6ivSmXkjIzF6renB2KdHzCP6CbZqne
4ynHG0T2407QvYIE0ZyF007fzUU226pk2YNFZkMizLwURfcamkt2GwOBua7srFfM5/edHSd3RgsY
ZfCK4FZAQqTKjOo8oBj4R0oYNgsejDzwLohqLS6y8ge+/1SHHaBiGs5LNPN9Il3Qbcd2zreFvxwV
/QYYJsfz5GZ81Gz75tYmWmAn12UHqyo1e+30ob1j7dgDTB0nfWXKtM5u3dXgv+07gg7FwN1C2Fdl
lvaqF/MOERkvLmwVzy3cHd8Nb5uUFxjCYMGpVvVBjjwb2G1Ojj9bJy7Z5gbwJtJEUl3qrFHnVK9F
jIWTKmdR6TUL8ymD3ZayrmbVGurn4slfySD3fmZS110rg59rwu7AB+51TjAZmYp1fGw2ctV2Z9X2
8hy28wdGswamQNEta8Cm1C+FA9AD5kL9hk5HToD2Lvdk861vFBNC2SRsz2k1OUNxLA5Mski8fPuH
q+BwnOlxfIqQMZ59WqlI5o1Yl9sKDhESfkMUpHHvwzh+cwcKExzdwzm3BjKvsAvAQ26ysRmedomm
m1CT8Gy70Xy1f5NPNAMltpqB1wAbBp/CJTiJEVpKFMtfcrI5E+euXY9I/PSXQVdJNGeFud44qN/w
lUpzWNqkIZqieg3/05yWBqoCnk5NbyFgGJ0rTXSpo8a8VSV2oNr04H4ncp1kdf7VdMGNICtXMA8y
zBx38EQ0LWaklGkdtBBkgnEaXnxNlXHi3j5mscy5cKnx0ZoqIGi1JtGQKMl/g8YGTamZSx4t7QC5
JtcMm0XTbKRnd1sri+6UZC2t2f6hRt8YORCcWVXu2tVgHOgOPNg0LMeI3Ud4GAJrHiAdV2QFKNew
f+jDzOX+AHCHG2WO71y6x9mSj47G8rQa0NPW8t2YkvHdpIHo6GqOT6aJPvnMTVp15rhSPHHojdLs
n9F22zsaoRjOo0pGz0bh9kwj3d3ggJZzJRShCJ3uF6bwfk2JRLnyMT/tAX0O1yQLyOk7REijhjhL
q/lEjdXG76lmFnnBCDTFt/KH2J+fAZI7+1GNyHy8XYA63RSABYwU2nGWTdN6415ovc7UpCSrd6rH
StOTFonZhYgxWzy9faOu3VgDB492FLa9i0q052ph2SasyHzyeHrvsDvAa5rr2t2Q9WPD6Q/NsRLh
9yRlBod6cQNiVUAOw4UFVZfWVyqo9uVkIACYmcDVXXQ78EP2KdU8qYRlLUYMJ99TqsFZbGMNt1R6
dX+TqIDN8KSDTlVrTlX6G1kFpQ98VaBJVsNvqBVrVRNsFKSrOVJc9EjEQT4tg1voL1D6EZV2flyv
Sk3LkoQbzmwU/F9mahdXTPs2xeJTNKwsQmubslfiELV1tpNuS4NYjwA6KRBdNcPNPtXYrlwDvHKN
8so11MvWeC/ev8fOyrhCMLwzBNlZuafeD+hcBhqMBpDpu6NxYWlNi5E3UFwCvDT+HLEhreYFadPW
qLHQQ0ltNX7M1SCyzOE71ms4GZIQDBY3e209liZRosTO/JNmlsPsmntlfB/H+SXV0DNSV+TjNQjN
K1oTCxzzlLTiQ8eAczK4GZ66Jnxu2uIh1Di1rkQ/lfKTM3DYwIqgwdbXop7GsKUusa1Ro9nIQ//C
oIEWC7VNCPBtkQa59b+RbtMyEXUG8wZ0AkiQRr/FGgJXGxazBVi4whvnrR1N/UJiQsvoUGHGbam1
9SAbvpHowEDG5/BgezRvZW36vGgtPhywbQRan68MlsXEaV4hmcUr1Qbqs0ACXg9a1ad6y9qFcUYh
otb9c+0AQBcAcUfIfcVB/jXPVkpfrjYMOGxNVCfUudZ2AifCzjuZoXFUcZRu+zDZ+zkeS9eBWRck
n7Jy0AK7lCQJroTR1808zpBHWG8JmBuzf4D/XJ3H1sPSsMROuAvS7kfdZNNO+oJ1gc0iBCt2x14C
N0RIRoeOZotE17zY+0kbJtDsORYQJ9eOiPCwY6sYloLCzbq+I+QLXqQu+h0aIrUmQW1/mtqbwdOl
32ZGMB+6fIz3TpO3L5OU7YpaRqRraEMr90+fh7Z8kL/HvqRtIGrqcK8qrCGiAWcotF3E0cYRKpX8
574HXEVSgM48bTD5P/y8PL8UR/ISDMG+TA0L03h0odww2sxDQxwD4RzPKbuEGITKc+2bWC4S37iP
6bH8kUf8dd0oe0G2DTYtx/qZD22FyFx5xvehx8m9WhbCFxLWzDdpIYZEud28cTInG0gNyFgWl8vE
AD/ItcvmXw8AsH8zYCBioqskdS5k6BXC5Q5Olr+vjL6/Jl0dzRtaZL6nfozZcQorvgmkdsNeAsGV
GRZrzqdtHPenOAw/6SJEOQ8MIkdpuoZ2s54xDQubvkjKILAH2fE1gxiNQc5W2zrWbUb+K3ed+TB4
yEVBnCabGQ7ws/AXYn7SwNQETC3FmvNY15iPkwFgvWnggjNDxzlJIbj94gVB8k6XTPOj4HHBpSLS
aXbuTkbYAO2kSh4xjc2HxR7zlVtLDtO5mVdtoetEfT3AmAXMUH5IdNBMl9GOJj3ekeXcqBiEeYl0
QJ9sg1wfJO2xIFaOqmJP95ZGxGeUGBODcldJE4mrVoZqeqGgLKAPOhJdMXfM6uc8Nlt3iKN3Zt/n
NvaCd6tukU+WelyXOtgjq9reIBlSvuvnO0+nl/DZ7oLEZ/nIcSYiZtm8Ld2TEfvsLPRLVQT9JrJ5
s20XGzWIiPhsjfZD47bfFu7ya4+hzZHY1lr31Z+c8daYlrUa/OHCDdvfy4qcVeD33T0f64eoxLPl
tY79UHIv/9lCdr9TqLyEPvG9Msn/TKggu9VQgq9xVL7KJkm+kcy68IMal8720tuYA5tCSmPOABfP
yOx2mDvBuFvAJgq+om4G4zKx7sUyy7N++D7ng0i47jJPsXKyueIwZPVhWUO2JGlkZ3Ny8+zizo0F
Q0rifnqNLjdKDcwQlN46C3mq6SNViuLRkYZDdeJBMenLDaHwTpxr23+fsIQBQPeptOO97oz4OLMl
brqk2Bf14K+ouzG23H2+bDw6l3imjqLr4mRDwXC/Ss06JIPM15UzsejCCP708PYfqej/h92DI0/+
jwiHp89POizKr7/nRv/6TX9qRPIPh/YnnqgAYVCCtNrzJ8PBo26OryFMZMu2dGyTP+cvicgJ/vBs
2wykpIXOsrUO9A+JiF8ySbqDUpaOqfP+1r8jEdk6mfrPCtFvvUljggBKuLatf/1vChGV6otB9wVl
sJIexpjWkBc2N8mhwZHPt7siTeNHjQYXE5cZ1WOZMxEHUb+HLZ/sXY48zmpldQAPbYfEZyHFehhH
EllI1oE344YsM3ODCFLeRekcHprKunRm/Z6Pes4y54GuceNUEnPZ9gvPymHOq0fqFzFoz+1n2OUS
qDKxLuUd27a7czyNwnPVUzejOztBPaw5e1nvtSE2FDhWjtLcrQH7FSDJj9C2XkM4OGsn5C7p9O0H
AwebdroxU/eAxsx4QpvzimzYpS/Sa9lQZ1DYaq/yXs/1k95tkmuAnQ7yHMG4oUw1oqrr4DQE34TJ
jlBk3kV7i+0wesd6jOFzgUDE3/6A3WhbSbEvTP9mWOMLJSA+QfrAwhMUk5nygMZ6cj5TU3+w8/ac
leT685iWQPc00k9ccsmdyvoHhS+7pM5YSSfc34GY8fwxKBbx9tNUvGSNvCgIpKuojz8mT35UCGLp
0L/B9WK35SaMaUVyD7IUeOTwDQ6Rta+jUuC9BVbIDrTdZjEpewMUcqjvDYV/rbg7rLzR6w6hUHfc
pdkxzpAexuwcy7HeyJSqUNq4RRm9ItS8ooFQ+hzj8oJgrRueGIAy07T3ox31W4cM5ZqGpRGEZXRK
ZlYRhRlm+7DlgRj7p6LoX5K5OpfmjCjIlnaV9P4N50u4yzuk+tjAGMg1GbfrwGkKzMELqxPT0Js3
dN+7zFhXAoWGfQvmbv5Da7cab5AgV0lbnINUPGrHty/EWyhw0C5eBTyWMldc98OhpNx5hfdP8xn7
TcpLti0N52CNPiaHN7ZG6RYgeHYNxlodi6Y0jo6CaYUZn7ANNtepx63Bh4pQZsJKnLoJwS4ovEZe
i85ayP70uwlZ5CmmAXdaiOvkbDE98A2CZGtEZtPInIMcYH1CqZ63IVypY0hSAgWBXkZgp7dkjL9G
k09536RnGLDjVh8jrPtjPDOa80t79wGcnHvuYEkcfCiDrL5cEsZov/Wq4onwqBCyycrm9t1UNB5V
i1wO/ThI3sIQfnCYZoMmB3cfvTeqA8zoFmsqa/Cww+xbEQs7Nr5vnCyJr9qMeLHTBnMhvkvMH4My
945hdFtexvyxyczsAUDuD2opANmVQFezko8DdZXOM16MGUcL8RHB0+3AJtjeNEPJTRRKMwZe7ggz
MkudlfO6noIRT7z8jnea9FDjh2fXnzysr8rBVA3ehOhnhke1Mq6Wj4rdJZVz5lXLT4YI8MMh057i
BNnN8uubpLnnqUvucXj2Jz+aswsl9+2OS0iMq5OtZZBRFe6TVLrPutmh9sU8EoIHXKXyn+7ifnJf
LfbKGk8xsauw7XjKtL4NhyNs9zUqOprHVBKJKlivUeVypyzTZ9Vjp/CQyTeInRtPzUMi6ALO2qDH
chJWZFwZruJk4Xo/DGwHF4fInkf/yDJXgCXq8od0onrDWPYUjcWvLqEnycLapa/DPJhJs8Tks00b
Qx53iHlTm8G3ppmfQzEejMrOD8usmhdqw8bPepzdO+6mWMTS/JdluTARPZJHxCIzyRdOkLmJChYD
HnblCnsXy+O2uEQKXJofEKRIsKB7wTYdFbgtLuUXw/CZPFW53KFP32Yve4XSSpkfryHqhdz0tmnT
z74YSAR2TwSgic6myao4WmZT+/uNg/bKNiWLUFkO3iZTdFjPRdEeloBndm+N8UG2wScdQ2DPvL75
k2XwHwPM/2qA0TQKjvr/Nw1j9Tl8tsnn38ca3/rrd/1lfrH/8H+PNo5pg8FjE/aPyQZgIXwML3CY
eDSa0P/vycYVf7iMNmB6LMfRv/LfdCpH/oF5QuLM+b+T0r/R+PCvGD5wGATwAunY8IBoCNZ9EH+b
a0hDo1I7Psqrao8ifxkAmvs/DKKRf3tVbn96af6pKpZSyH8ZoSyTIc4C4mE6QriO/S84jHRiSwwS
A0epCX8e0T0rzTvDMgL6WvraufVYBF9x+FsweDjhiQiZyXYRac1x09u3zES0rFUWnCmLVZswAisE
HzW4g4Ve06hgmyb2CsRgypbIf9bxT7+xqVLypPGlEgfUHObxxyUrlmaTQtOgl2FZ/A8vrKcD3r+l
RYgVUMsjN1qbmdWTMU10WhNvHvVwmARUH1+NGrXHnfr2TbRZhHvCweHfI4Rsy2qObqns6TbHutxd
26xXq5L0NLHzosN+GOhe7tqGrCh6vv2NJ8Rj0/nOZeiCSpyMsQFDkWRESv3Ka/czTUXfx2ZsNnJQ
Rs6zizQrbt7lJDNbbsogDu+8JZHnhgpxGvBKt9uFSwznfpioHAu6+ZVtVHkfk+dnyCqNExtbMgY1
mzPDy/1tbRbW3i+s4LvXDxYNEair+lQptnjlg6/BHAd+fKSFfRzP0w7/NK7WPLaTLQR6f4/7paV5
1sQx7M2dd3biMZzXk09rHZ9ck6yVR29ryjiGRal2IhyrqX1n4rPaoyyXVxeZ6FiL0Hp3E9e695uR
f/Jp0lxElK+LEiyGMDGdhwuLoq7m0av6OX0wYQfhZ5XlMm+nDjPAxreT4ic2pmIXj8uHKJZqk7p5
9xCKuX5sHJk9WVZc/HSIHBSrAMKwhHXgduwjITfv47SaNyDeR3dr5hxzAp5Ql6VgyQQMpV9tbWrL
vWG4b0s3KhzvHprw6IijEQ7OAao3eI3EniD3BlW+d4J42rh0QN+Tw/jplRQmImQ0D+P4bRBOebHR
KQ8O5tHLGAf/xd6ZLEeuZcv1iyBD30wjEH0EI9g3ExjJJNHjoDlov00z/ZjW4XsDPQ0k01yTsltV
lnkzySCwt2/35eJQ8tPfrOLM2gcuAwKK7raTKb4gTdr5TxMLgfd8tD6RCp0zWDBo6tykf/BT06mi
4Omyx/2MY6bY+gA3ERAUQwkf/SYSdX+tJrgOxWhY73nCZOzU0Z4MzEL0NnpxKualVidpOCzmP9MI
ps3oLjZHwUUDdQucnBtxzNODAKrWXObSzTgaFelGg5K4dRcLvnYUL/0P1DQsVxybfovC10K7gHUz
psyUImlb9BPTel+a2Q7WIh/m9E4kAx2C7mOaQT8IiinZO4ZORwXFc7iAzHS+H0A9olAuxVKs5tmV
e+ZhOi9KW7fDVkoL540uH83M5tilO4RqJSScJU1+2hHJIhupKHDz7L3OoU15RS3JHxGoSMbav461
S43WkIoH/BkPPSXfO7Q0Z+trWkS21bN43ZpONG3ynitlplHL2mmaPA4uXQNOvvMJUetIIDoKRqql
EHT4KD/VqEgEjXDr9GHe6hyPyirtdia9H9lmkXPx2iHyMl7m+AvoHogPkzARK/BsnQgM9DdWS31X
ABshzhUk53yh3a93p2OeYcdxQX50gX4nTKziXXLQvGY7+gA7o5ZzmnGVMIubHkuMvrzA1HsBNkpF
MHlyT/c+xyDYO6pVgL/TaLOpNt70StnaXgNTEbpamW+Lpjcc/P1lfEoN9tXB4qJatn7wrS1p9Frx
1iCNzydwP0d8X5acxsMliWdqiKGdYdD4TAd9pJ2gIWOZXqEXJSSrt4Md2/cJ0apnP/FVs02Moc5J
nivHob5Ml8+EBoMbVjwVCYnd0Cf1simm/hzPRXeApkgXTE8/iluaqEXOp+ZiGViKL2+x0wM4Anef
TNR5Zsty3wEcoXFzWkcpMlxj1vKMLc3n1ztX2c/NhmFaW0+LiWGDvtgqewx0G9LDKE96Q/ge8+O1
TMXzVLwVkvmpwrYCPVf62dlY/mndeAD7vfbj4J8Zu9Mal+WRV91KmMV27vzvpMSkN2w8ifupXB4c
DBoiET+B21QbLn2hnX0ZlsSlqNI64jImDc8WyuxwbG0ri6XIYHgG5K+5HybE6ah6WkpSEubOMQ+9
/la1U2ik7/x0a96liY9B/MVBpFtZM4O88TsZvBqMdyS2IzZGD9fkapkgzbBmlrUFdQp3lfjp+DnT
O6j/9l3pfHlRd8l1jTO3yVlo8s8TtcJBln9HmfPE55N476Tqh2HADElxtkpqyNj3zl08fXKy7JEB
HPvcCTtcRush6OwzONeV08bRBgjkijgp+6uphU4NbqiVubnx+5vLdb4t56OBDw5zJM795DhZ4PsC
YpFDUJ4qjfhPttiEQxuUUzcNqU+jQiUOE9e4to1xGLxlFXSFSciB6K6JNr5fwPuupDG1xBibCkwI
5oVR2wuNP//Uz5RaNnvZAJFzi8+F4nDNKJ4142vy8wGq63SLcvSapI/2VFiho0fXKYq5rnt0DeKj
0zNnS2b4WpJXCE1Eb3W62yZx8VVU3kfUTxA+jIBuK+JEWH5qj2QFDTaiUyZU774p7rCjhNJ7ZuNZ
NnZLAmTKYvz+9P/FfPC4vFklf+KBqtscHcMrf8VEyfJMbAJrzHr0tA2ltLu+vAW6elkFj11hh3HL
HzoPhniX6Ym95knaapvMcP5VrFL3tdUjUrh8rTTaRnuqddeZDmCssBFLeAzupSMpaMW4s4aLRF2I
FBw4enrg+5kSCcf2n9Mqv6egb5ulNjUBoqhgkXkHrR5Y+QwamEqEBP7vlITuxdZayaYEulBSPUvj
8Gwguyd9cMpcJAJcXPhMeFMRtdKdbld5OSdywixEVRF4GQN96xFvyjorg9Aci9Aq42tBNy0QJ/Er
LNoZBhIWXfSQunQHxsZm8Yq9aT0Fwb2WPicYbM0B+H4CHo1QFjkVRJHYe02wzWl2v+FVRDyiJQyi
dR9wnF8cZ7LCyalg4fC+uzObO62h86DbwFg2zynmiK3wAPCXPoNL0M8HGqUulZ4MIQgQ/AKaf8RA
vh0S7U7golgF2JYx2o33ScVHd3BYt93R/1fE4x1Ov1cvZnQsSdFuvHQ30BdhuSeqzE9e4/zoSXwn
4+jWjK9T4ul7qwd6aTsDXzX3rWycranibFN6Dx8520cihWMWtd8mHZIBuszRGeyDzx+67txjbS7U
ODDujrZGXrV2P90pTdZ+NvDTNwvqxwevvjbc0CJK5gCDDJRaWOWa+0XyBCiDKsc4tFpalxw8MOkR
IX3VoWSJCSskVQ5Wcw8jYZUEfPfK1eUpFc5GsqJqWD23cQ+7aKgpB2im4qD71GpKf8Vz+QW3yLgE
nDkzkvv5lpvFzmDbNvSZyaTeZ2RcAIFRGwcZiKMjv6FpzQict8T5HKqPsb9aMeyurFLf5q+yfW7E
cMgLl7uUVC4He2PjAmq7KTjofEoBIiwpH3rS74yvj7HOmbXEZtYDC+im7K2Z5gesGw9DeS5py10x
Ld6ZDn4LWprN2v+uXXBCeuf+WgHdGtwqrcQ+4vDadwv2kYT/bWjNIwrdWVlgokXYq7HwkBsb8Aic
ZsYdGICN3nMAY5HCARMmMr1btMx9aJvhQXeg4GHr2EUWTp9+vCQ8KawGGkrt7RsIRNrGa0+m+x5N
x0y/2dEPvd/7yn4RkeT0TkOFo52qeZ/j17S4pwtGXv0w2P5W4+yEqneq5FHdBc2YJyIQgI1XUygs
Hgv02QYk8LI89rbBToBdrbPeapneYv4ycb9Dx+Ps+FOa1VfCd9a3fmNtAVRbz2ebTmXK9OAakSyq
qvNg9nyAeko7CZ3h5Pw1S517mqc5m0B6H4x97Ha+PKYWVCuO5adcdLDNStMkBzCe/S7G3CcqDuBa
dRom/ZT36abFMCC3CxmqRto/hQDWUMp3Lx66MOcrPGCisGSXHiRg2o1R4i+19cY4jXnigGAdSzRG
lzKzqnoOZPntBuSmoinyXjBneCeZu7fCyU61QbpLYlXsxUEz/V/oWUwt7ahunYb1kugjTAAan1zb
IaYbvDOTOWuD97gLzlDaTbDRQFOsmdIGJqjl6EcPfuqGenAeDXmq8+Bawkls3syoOmMyOVcmhtCo
QfiaKpiOUn9v+Ln0vp2q+TW8sV2XCdfXaKzPprN8dNh5DTRXxDDKm2cFiv8HhHnn4PjLMbsI2O5j
IC+C5HwTtovUwib6t7TzvvTEuQnssxZxiXO3Q5BuYuub7P2qG59S/zaCk3HkCbjgCYbDQ+eWofBc
IDt6cAzKnABbIy8epUoGkUCjPphddmnj4oadf91m7rFKbjaGFoaAd1E+NDwAqmEHIbEesTNDGtGs
CI4Dhes58e/6w6hyeG/JY7swJRZLWHknWA1hMcAlcdGVOyJxVnFfuReeBZuM56eHKSSJTqZTXI2O
uV+oLMLiPorEWLfTgNifX/pl2JGMbXajJkM/8e5dZ3kQrXxkR9t7yzvQo3XDILGmMS4MfCC9vZRX
GPq4F8AFt+DlfkaWG3Juy6cJe3JVlOBte/6dDoeald08T+rjN+UPOrWJmlGtSeodMNevemrDx/GV
iY8Lf73JkvM0DuFYviTBnuZWaIYfmfeCX76SKv/Cd5GWusJmA/OTe6nF/3ptj7kh9MRE/JFEZ2k8
ysjaDEXzD+zT1wTnp9ZJD7RXDZ275vAheT36yT9tnNlZwVXS7MzZtdcONDrRKW18tJD/qhStOugc
Hg5m/M8v6YVk95uD6owXfEdVwg6g1U4j8b/F1zaO+G+NZOVQWxm85AC5V0ujQ8tE040pzAzO2ADX
i5c8L/4nhwqczXBG9C2ehku8WHtNH47RGHCqpaAz5mQLRDUWm9ilfm0G9OuR8nM/ByptPEApkfic
8f7jeF0nLs48EYeSxyWm4fUi227lmp6Ls0zbxvlM54J/myfzTBMZbV7jVx35Gy8pNp5xc6SD1Grz
XzG/9sdxlqeS1RH/ydkud7F7k527zbK9Gy0HNxGnvtFCHUJEkjwE2vys6gUoh6Riuron/gjq2/U/
U4wP9ZAanF6oE5MkT3Ot2OBUP+c4X7kDdLeu7z9nbhPrOXFgW1i8cmBfYhI3xB0AkZNjf1MhF/b0
5pyDPOHtgctnLmNvH2lMcg0TjhV9+UvxVHpV2InxTshvj9VCwCdUKJxlKdYjuG8aFwLakPwc3Rdg
3qVh/Zd0CwX8JZcSgIK3jeY3yJ6VRpsl8+XKMh6nJga6UH9FJT9hKgnqxVEEPlDlQ2m9hJiiXGv5
X3wUK6p1HlWmNFPpUlPlTHOVOHXaOsEUWyyM4j8xWZOD7Ky/Umpqf0Z6JvpSn3aGWPTHIIacI+w8
PeWW1W71qLpPjDzdTWZ6l7sO5jTfwm5X9C/SXaBBMmljLf9BsGdFrKb0SKLlnJpksNs8Yw2rEray
RBoIImmNnuZuZ1Vu1RaluS9a81kfB3IaWj7OvzzFh3MUGTOKCxCo0qBE3s5u6ayenEHymxuxce41
rlR9AdcKBjbnRr+k+5JgzpmNkBIhpltIiRCVIG/EpxgM77M/W9GVFS3FHV96YCzK+VRwu/ptjIBF
O4N6meWyoKVedaaKAt/RxHzP4Y1UdGeY0OlSB+hVWnNSQB/ARiTMeO2VtUGsNuY6aNPO3ZdtcQYX
K35jl1Znv/yQzMynSLejfZUMAvAN2XRd8F5qXTDZc8OGtwgucU1LHWkc+Bc895C/4j7vbmMJR8+G
XNdPQb3tTeeQ6gkuw4olWrJbodqQDjM5yE6UEhl5HmMQCu50FngEnjduQgpdFHFZy2eadSsab6NB
fBve4KvdvXxIkSxCNof9uNibxq02pgmrgpnuwdVghXAkoyMr80p80eYPFjQeScVwn9TOrfJnkMYF
GYyEIBis4PltgfAQOMuju5CsGlXgj08rlbCaMshrFVVQPApE6TJ9+m9Tyd31mLEJV559j1nN+DJL
LmrS7s5J4nxwEb/ryALo+NnHbOTdZnAFHi6z42lXF+kUl1ByDdyfdKh/OG1/DBjagxFygTGU4uIO
UXTrojRnh8UwvwzVrUJWXQl1hSz65EFDhyE+7WffdkzlKQdGqdz69GbaPGL10ba3c1tB+aosrq7A
HeRB4kg7TEl7tSRxBuGZt65gUxFzwQZSUS0+2u5jYnjbwBxO3NF2bPfRBsMhKK0YTGrFjclVQo91
NDwTzyG5w4ZiXQqpsHfFWdTQkJw/JhNFZoHrvMWYeMHB4IIS8Ws1jHdU/tx8WNaEAGiajGR1b0dN
zYgysiqnT1pyHwSzu8VQx9stkaY4OZQOHqsZ50wepxs3rYunOTAKJGQ72/STH4UOta6SFPqqJHZw
4KjYPuR9gOYVFMnWaaFK+AYr8CDZHuFos6vjn36KshRQkUghN+TSMXETY7BNU6sLi3YmI0CdykcN
iWfnTtlvPrQppzwsiw7MyWjK2HcwOeyg7b/2EtBhggOTGgjpkWUbojASg/dtpw3IngQWTK8Z74R0
p49A40NT9CxcK7rq3J2zRCVo6X4Uq5HeAJtSO7QlZu+wAn8fGskQvccDPT3mnAG0bOJbaSJ/lrxi
H0ZEjLWJhfcBIxkFenTMw2uc5Q4fg/3c4Xp8m2txjsWsvYvCsI5jFWPZy/VufO4X2QDSWKgkw7+Y
kTEwE0F/aGneYWTDh+haMNI0G6iYX7m32atTZmDT2sEhaAg5uglpQVwOY9vw45sbkb8NMFDedWnf
PHqtpj+0/LspvrdOrR45Z9MYDVYO2FwXOv36VeLgy4AMoiH6N8DoSv/WEVqO00UiITXTJ56L+p/I
CVUo2ft9AU0bQtf3tokFiyS3mnY/wSA6WIP1bU2Lfyl99V5q8HsnaZyEmkXeGKtdcutdZJUAHAOW
8xkPud3Wmwnl+h/CwbRrLL3U9lU1+XWo1dbyRkCFfmZd8FzLOmvrxg5haYvMSVfllKEOUiKLgWE7
N3UrrxnNdXvUZP8+6PPmsxb1VssKlXwY801l8LhfAmQjDSPkL5JAfh1Nz99D1Nn7MBL5c5TTL733
40vqqYwRj7Erd+FobbtRuRvF+F1Hb07TwOViJv31M54NOpm5s8nJBlNDRFqJ2q1ja6Ri5RlyYKCh
9LMbKA+cuTkTHWVCa9NEf+VeslCGpHrtOtM/pUPn7khmxOsWJfSH6B4BbLPocfFnYl8PwbSuvelp
TPLHHpdauGRkxRzBIcG3ZyI/6jlnS36Oi4bgbbSkVD+l+YjNPP4U9aAzpZTW2V+i6lAlxL9ztDiy
iAGvnMFDCSwrxekah3tipt+I0j88whZcjv1YsF2byEfacsLjaCLIWbwz5qz/ThqzXDdlel/b47Bt
+tH+rZYuvoOUk3/TF7p4GKinNGMLi+r14AJdKftY7l09TW8CFNWtc/Et1YSfeTmWB9FhijRJAeJr
qaZ34c/6I+e1dQCk5mpVlX9tK2NiR/eCix7xvLIi/6NsiYxNFaiWkjPMKu9JvJR69GIKdy9EpG/L
gfeRvyiKytgPx84nkphpgXXTFv1ox56xq90azC/gik09N9kZJBBhc5q+2FOW7wVt7gLkzVuTcfIf
Ypr9nkpdvBDdaiFXw+G3TR77PcoYDiuNn4WxybccZbPQNbX8MvI6q+SfnUdGuB8bemHtIOKPgPId
pyafMocwKJl8alSjdDplMS/Img8ezwT5tlA6xLBhTR+9McoHC0bZlrocRPgeccqOoeFn9ujtpJ5P
PJFHEFpsgDQrbFi2zppt/KZRdmeZEGfNibOaiw0qLKj7PhUddhn6yz5HgvmHrtSWC9W64Pf0HmD/
wAN+acQNdxXieBAQGcVwr5CGA3MOhdJ5bkN9kkN7qrl7bSuD7F08YnlvyQmril3iFbYR5OpIU60d
F+ZwkntPQcNMmYEhxHPs7jIt0o9BNmVfotExd/kS2lKPeoa/PtmCXzRBqcVvNEKW+wTj8bqUXvBF
dIVchR7k+JioyuPaYudn9VzH5tGRYqwc+nA1QTU4T9jNMKAVmYqyZvU8cPkKpIZN6MD0n+ifdT+g
IBlwR02DEwutr9du7mgDJtp+dlK8NjRTZKEw3JEAg6J0xUJ2qMAzz8tuoH+483jWVsxodKjLkYS2
yO4aHlqXXFqIQ/T0asfYKbtbXiM0WZhzjiq/f4wzf974BS2TVV2blxyA/iGPBxy7Dk/Fmnw+oo6r
vc9NjxJq8FeCHecezQrMoj77OqYoTmwBjPVtE9fufTHqzrZNozwsZtUjV+P8tzuHpDaFqx9ObEYc
LVIRBnJivqpSodYVJ0xdmQHcyc+8lzPA+ovtsx3yT5UljLfUbtlSZ064YNS4FjDwtTMxmg64Beoy
oDPHJrzRms13nCAlJFgSj1HpRl/RtAx8eDL28NwbKA/NkmlvGrO3n8zSeGlLXEmJTbXaIHH1YVgf
TpajzetqyJsdA237tmRJeuw9TFqyKcq7uFd0XlIWl1wrOeLB1cJ4jsV+5xVdQm893wsb5sPWYR89
F07Q7fEamhcdcsA6c6ikWDr4mPXULxsunHeymLw92do0tGejf49tCjNa8Ag8ilCZO02+aW2lv9kG
DcFZb5v3Jaow1Au30z+mWtr70rUgpZUTj5uGByhPB77qRP2oOGq0p1x2zV6PMmQ5G/vXigBYcqXm
O4YSQd5At2k87QjjI7XSb1MEzsihH1PP0gG5ced2OAZVRGgJilY4edMYrwcxUqMcpepBb2g8kL3i
PVc/k4tLwKVDa70YJMzWFXjUsNYq7aHv4ahNgeW8wR/0n+gh6HWynZkHWgANmCohHjxNhwrMnycv
nioQdqwkNO7cF74NQYBc6L5N2XiBE1nZjiyeFdp1aZD5db5tp8xCLsZAr8HYQWzWzVdMIsHb0raP
bSC6W+EzUc19zd+PCOm3VXUwmqZuCFiDEeC/FtEBKxscG//4jNHdZTcYNn0DFICm9Y6T5YTjnSII
oEWtnCOojXg3J+jdoeyb+NwunvHkxRVUuCUuuft41PNWmX6IIUFsubOOfDdNDARpp5FCWzh2Tdii
1hj9YfeW2OqlMwh6odynsQqCNT53F3f7NDPBxv4bbK1XQGvyCt78tSz1a++RKTLZOHfzDFGA/Xc+
aprBmaEE4U4seep4opfDnm4/G1ZtUxYGj80UZzq/6MCTudlElhjugAFwEreW/L7RScvpbt19lgsb
BObmmpGBJ47PFr5OPU37HpuCnbAl29Kt+L7DMQYESkDNpZ9hZqVMAoynHdV1LQd7AEhgwCAw1fRf
zG3jrvhxMz9ozeZLkbT/gijWw2iBCTNES/6ZLuR4chN1yxbeprCi78LkUNEF3lUznI71Orvv0FFW
zTBPqER5at/AP9OgQrfJgDHUWl54crHc6CpikiLJpCKbnhy71YnEpN2W/ZYbUhNT1mJEG8MCXoH5
kr9JXc3PBVmia0x8f1vnkfGWB5Y8aWbEWjuxACwCx59hSl5n9JrfqNtprunovA65Zx+bhPfCVCMH
0/lt7kn5FDvfS/mPxev3pBPEYzNbACsqCjHfpF80OwLw5Z2o49+I+M29h+r3EDupj6+yNdYGplJS
Sui7LiGXHeO9f++ZQgPe4ocZt4kh1Ab9phsEHNoOkOiqZLU79F7ah38mp//vk/u/+ORMx6Jr7v9k
koMRpb3+j/+OP+On/Pr5r1WO//Gr/9Msh+9Nty38+gGGOMPxMYn9RwzA+2+OYVqGrpu+7rkGyKj/
NQbg+YHt42JzdYhQGPb+ExSFV86x8G3o/F4WDfTY6P4fvHK++lv91xSAg3sCG5sR+K7NMfV/Kw/0
ktmaO1LcK82iZF4udtujH/XRSzlOznHR22pdYfgjKKhxWIjYnK5NnXg8UIpSvxcc665B7Dv/Zml5
J4eIcs19aiQyT0jguSinNqxMhwLUzsHaObQtHaqJVjL+1fUbem205iRXn/xKGx97xyteidFMHIF7
RPE0jQ4QBOaVqZHBREPKVizO+add18ajP9vlviEnfSx0Af5zsAlLyz4/lwWhpIGM8T0tf1yWpyS5
tpaIHiKWVdCy4PcTP2CMiacgZSrmnzSaWB9b9fatoQ+HetX7r7pk2h7peumjVJnIk/WCTT8L0BCq
mGt24TTeXYdCvG0MF2A9BCm5rQP5Da2R4kVrPvlm9tTY5a/XSXrE8wlsZYpXaCVSB4Jw6s0fBI3r
p2BqTSSwuDrGkKw3s+lbbz3iarMsHolDYezNmLAurVVtt/E7rd33OdzBEo3n3EfWfOnz+rOH0rSe
04k3Qub2a27BLmpYVmvn1Cq81zIaEgJK5M0Stzq4i3yP7Oob1lK6bfEYzDg8Nn5VzJeJPDhnA74w
/WBn69GkV4KnDCm31gm2ydyWB7ORACXz4bukaDkcAyrXsf1wqbLxgGX8FQ4BHpguJD3IV1JkO5xU
0GNaYYbJyLe/Ckaf4RcgzDhnT4ltuieIWC+cqotN3oAJCTsHDbioNBwhXjyGM0n2PJmTVWpOmzjK
uzrEUFft8HJ5gl7oHDO5x1euKij82yxxN1IX1FuUTpUShqhnPZJ0N4crfiy5dcE2PRPoxA3nxa0d
Vlp1iQC4QInsFyrsl/7z7zfzZwXqs6k8WE8llhFUIcznl7TVCJbS0htsHIuLozCJPANFiPiMVm5J
TUukS/KfjvtpRsoIaWPj2+eVyxmly+Ry52n9+ONUy/DPrBzG0VbkKfQQOEa8n2C6g4O9T8rovU+K
+0i99Npa+Nec92DO+zD4ezHyhnT8GR+Ex5GQyDD1KLO3hG0Zf+fq1SoTw/xwi94lv86Lt4s1cjvq
ZYy/xaY6Sb2ibX+o7yiMEbtu0eCgWiYvYU1Qj4S2yxt+Tof4n6de+40H7o3eNAwdwmUoaO3us1aD
gpnR45Go4cEWg/mS1czpMZMFYU5mDD9ymTfMv9ljdOSwBxbWrXt9ak9xbCozRCbno9v1OthQhhiz
AK/ZZ7g2mW9YgeXVZOJx1eiTqiGIRZzoQofrjk6Sp1rj2s4TptxaSDTbQOuJQauRao74MYQ3bYY+
DS4YKNTwhfp8sMyl3jh/k9ng95x+cmE+4ZeIz4VniFAkIyO6L5ZoTYgBWBPw3S0BduiyfxMgUxDT
YPo3GdpqSNTcpdhDpCq+5r8Z0v6bJ1UH+jdzhLsu1biJDba7Ibw+Ltjs3ji7WK82JJJd5+TGt6NG
1oXZlR2OcQX2ZqirwdbKLWbcJe5ZitTgW6oROEO7K1a+wpa7g8aMbPYjaQM1OANqDvuEEKadQHsl
3zuqIdsMRsz3avAmziDCJGp51DqtdtHVgJ6X+JjKRryLCDS72WSIdX8T/fw33XeoNWGkRv655kQG
5kjfLkX1mv9tBnQfkGyeDBdnJesbQirr5sIygayRXC21YOS1zq6Rp4D7jNrSngq1igywjFCEWE9i
QPRAM1hZpCzsfVZ4+gct52WwztVyIzRCQ3HHwuN34xtUTe6RdcCiqNYiRy1IfTopMxVLE80+d8ai
o3yphSpXqxUFdBRwN9K8lGrxctUKRtA02HaJEFtfLWgQsfnu/G1tOh/RkHRnS25H5xOq1rsyMAEL
qJWvU8ufUGugrRZCNuvhNKolMVXrYqcWx1mtkJHVeHvCl/vib7/U/3bN0oyGm6YW0KIZaJtVS2mV
iG9XramRWlh9PmG8AVVJxNjzelWLrfTQcNNenpfBNN4atKhVrhZh928nttLsPMsKbNnfwqxW50gt
0UKt065arOe/FVst22WBkqylfNU7tYqXaimfF92952dT20aU+WxGP8CTipV+jdJTn1O12rszOSpb
rfuUkTTE8L38WCgxALHVgy6GQMCtSa7jIl3g0CAf2EpIaFsfGkhE6xPTcH8yp+4icaqvYlczHlsl
QjhKjuDbOYZCSRTelOXnxDeolylVS1FtiOcYTsan77bVkR1iIlPP7Uto2hj6AY8hV2kgulJDfNqq
UIfr6BoorQQ7Bp86oD3uB5Z865FJeDljGakfpSM8vgi1F50onq+2jmiKS1kXb0GjXxZnpqOj4h7C
saMMuTj2e12x1X1H5RrBmKyEZXJXCMb8mVoa9lkl+ehxn9yPE9+1GZTNGkjdPfGGhnqKJKK6pDiO
MHbg5ur3sY553oGHQInSnl/wkpWxuXYc54vVmQN1SY9An/kUXSgBqrOdU9QgSZmV/8RjZ9zRd0FV
IUTnR4UoALKu5KxECVuLZWtbEQ9b8GL5V26wDKfY7LdQIbtQq+J2g/9ttxS6e4uK4GAxHemtP2zw
qOZYn+waG56xXNqmjw5FbHywaJdHiixaxN9YC6OatZeTak8tSXWHhP4Tz9G5mYwNgn27jgxoLsTV
MBpjHEZEZz3MRnPdKzHQVrIgypRzX/pz/anpo3WSSj4ssGRpPnkpXUmLiRIZRyU3jjZnpFxJkFhz
FQ8DWdIrWsjcUybvPAT2sFA6ZqMUzUFpm9WUIXOmgIKtPHPPfVO+xDQ1bXvR9Zj5K1Ujl3oUNSOX
2uP4bSkBNVBSqlCiaq3kVaGEVktJrm26HLF5WrdWybGRNw9HkqA0emk92Qsl2xrotwU6bqYEXcCO
1WpUIq/VJPNt0ezboPeqigcp2Iq66QB51btGSih2aDmeSmk/Tno2v0t0Nk5JTUOSMSgOkRKbu6L8
rpT8PBtWcouI0u4JXyYrEajtm1duti7/1OtOMzL273zZRdjWD+AYBh5mZFtRF/dT7lY/wOs+JcG6
jZalX21VgHEvZusBpcA4QhR9CTJpHfOhp70q7/JmjTHNO4sgRWvldLtpogzAB7SerVE0+M7bFBP+
3BxoxW2OhWqNcmeHB4Kr6Pumz7NDFgiaxo9b80dlhg4evE403SqvEkKVbuISI7blPVnbLxd9YlVb
lFt6MerHVFinwF6mlTNjAYRjM24JNzLVNsPy1jKWPM4t/izhzOWmoroJB5sFbrnFLprX07ThQc4z
uPD85Q7IufaO5OluwBjh1yqshyYhmCJb7dlooL4NA7emtPGNIzGG7j2DuYQjLoD7x8JG8lnnVRka
i1+tGw3nOSiHYeV2dXIh5pCHI5fwWzLlNHrwpjIH74uBOglTgOsQyGxxFyV2SF3q/GMb0n5mqI3C
2i6H0CgMQqEO5QLhMGriB8fNhC0QblVkOzs9YoFfM5YqiqARcx4tyHX2Bvb3LOaHc4LyveU+upLC
CaDR9fF93c7Ji43a9iCG3noAjqGqjzxQbXn14uhldp4ylzvVlNbO2iscDl6aRmWQMXX2nZ8KVP7J
ts89UU8isaKx9w2upi6bEqg50tmSZh3CoqfnL0CUPhYURM7crgXO0XGMzXMeLc7JBS+6QVOMz0Er
s5e6LwgT86Om4dGOGuLdc3/RBwcl0aMxRchR36ftHKt2I7MLa4C5SGoe3QWsy7/J0Mwnx51fLaD5
UG+dtn2N2oCxo3V9gAymeEuF8BvszAbBglazsQIaMhyKof8eR6BkFr/Zc2z007ub4JD18b2MvmWe
5jqlcT5PO+tSUgyLuWZMQk7e2jOIS/PSVl5LedryagZee/Zzrfqf7J3Jct1ItmV/pazmCHM4+jJ7
k9v35GUnUhMYO6Hve3z9W6AUESQVKWVaTXMSg0yjLnnhcPdzzt5rX2uhUe4SyDxXhL+hvM29RNuC
9SKuElOO8gW7t3vqWs8BwdWmi1r0wxH0BIA4wqmwJ3RJtg0gCqwqbSSvNTbhucwwyQUrqYvoVScw
jwrEypmbF8k9fhr7XtZtv5AI/64SHaoNoQkuU2KnVoC4BCn+ToqkMG6IGig7b2ToPrq3flFH3zRi
QOdWp+hn0VhiqRI0xsUqKBEnBjGkFjxVxoOw+hKRQtc/sFNV2zwLwhuZDwaIshIxCAE1in0VTDJ3
PwVmVpWZNq+rKloja8elXHG3Q/UYBR0MPt8ipQcFmcFuubK4y5Ahl4Q32ZhfI+/rGdV1HHqu++xz
ul6+66v8g81O/YlkbQIqtRwan5YwaJV84hQ0VjhRv6ZNv1SVy47hI8yxCq5/4ConTiiXRBH95BlO
d/LZRPjDcubPKkNvxTDW/22H/TswDNwpBq2od09u8Vg//p/Xt589PSav//N/Z+T3BekH1+ifP/SX
a9SCSU4bDDepZqkT9eJ7I0zV/hAOc0ZHk7ap8h+soX8i0+UfpmWbhmVoKij1t//rRyfMkH9gJ3Wk
LaU0jQmv8R80wt6smh946ZZjCkLPpGbQ0FA/rzIzRuyL/KOZlwMgocEgXFO3GOqwi2PDgbCNlL8I
5rxaKkEUCA3B/VKuu/aFGeZPGKEavA3eLipthslSLgSidQBgNqlSHqNA1R5X2tQvx193BvrQPuC9
qGkcG0zAmyu1SGAdYtDk6EcXMWAwjKlHeU3fPZJ/eJmgh3zs9n36Kz9FxeMdKrNEgbBBdJu7RXxx
TvEs1pKYnQJnf9HhWaf1cPj1p2o/v8MgFuCMwC0xpObY6mSkfefJpcX9gzBlBcO9V+VMjHtxMHO+
UW74Ca4EaDaMKOjAUdqt+rykvAu7e5kUX3z1euD6zqkT3Jq1dusxXeZmhxwaiwEdMW5sdn6jOfEq
U4JnBHrcTIDqlGn01dbpkLSFjwyppd3WVB0q4vgKjK9FzKi77lviX+3Yeang9ODq+TJq1Y3eauYM
dcajOWF9LPg++gT6kQLkT5S5D6rv39VSfgMfSNyKmSyLIn3NieaaO2zy8Djxgw7C1RetQxKT0GyN
USPUdgdLPef4PSq2XYvfFW9KNYecPyDILL+C8byf/qFkpLJl2miTfRqTzqQUHZYn/PdBVXBSpf45
8ix7XkygIzrI+uUQqN9CwlWWRoG0OMYBMqeAdBe+gi9nLPXh7Khme4YFYnNplej4fQTMXl3fMSaB
+IZBbIl5yV77NgLZ1FARpIxkuDIWd6khvHvXU4mLoVLhl2HmODS+v2fcBgcC4jxDGSFRsgJ8aiEN
Opw+uGYnhwECav6AcRaM4eVotKDCK3Vlth1ym6xb8Zbhr8kGglxjKq10Ik25KZWqDTX4sqQ+p6Pq
MaBnSdBE9rFetMk6BRQNDdn31lU14qJCEIRCBSbo9OsYunLubf1bk32Lbas7EgVHiMcEwOpr8ciM
V0cIiOBRgc62xFi3BXk2PAZ1c0psg3mfI9SZ02s3JFzanNxmMI+VikdhnhwSr8hGOBRJuNF95F8j
+MZV7LRrAeOS+VVO2zU+67pTHko7ltvJj7TWeIOnJxrppGtGDs6dNwxYxTLLXJ3+wgT8mhae2WjY
LN1YPZsx/dZ2goP1StyGIPprmOsIuLZxQsXKm4U1QB+PmeEeB1V5qrMyX3TS2UL8X+iMj7gyDsvK
F4uwdY+6LRGESSKcrJSONIO4sIjB1Hcg/v07bVKmO/WT7QY0b4nGnRmYNulIYCrVzTsN3txoOciX
uC0brfPKdUtFGFKZc4Q9OikQ7QIGiEvGaGmATiX0Nxy+cM1S5q5fXIu0yJHyiUkP6sMFnryUgkYY
eyBdVpq5aR3mK2Znp2Q07yOBhWpoEERqzgbY1V2nqN+0WN8bbXuKQvToXezO6VmV/IGoCEOAbV3O
F2RDAu3BuLEI5p3jsj8bSPm9kqfT+0+knO78HAYcliV0r34KHIc075lS+ptioN+SumM+h0e3H4oR
UoffHJsg9/eBV0WHQrQ1uFT8wemEmxtrHOISSTtFNzA6L8B0HfZ1f+Hi5zKVur3N3JSVTJ/pxeEi
vk0Lxdsg+gVQNCHuGEG0qPjiO/ox5RfavLdj5EFPq0HiYQCvdyUtbrQ10FeaDGyeD8+OvalV+6Vp
+DjOzKhYIS+MkPSLxziPqmfiiQXGD1Owm5s7oTb80Zhk9DCzzrUg3T25pxjNZlCc6oXpEpeqCB93
jOEtyBg/pfiH5iDgcMnZbvUdjvDfueH3ueFz1qR1OVy9Uop+uPM4nGz/emq4fi2Tx3R4f0mafuDH
/cj4Q2icEI7NPceAvsnh/P1+ZPzBDcgka4axn0DjIfiZP+9H/BBXJq7Gmu5M9xYuVT/uR/9/VI2f
5oQCGb3KFkZUkWEb2qcTHPQ65tt6Er+zcyNNr0w2Y8TMLj2YQO+N8mg6Rv9MaEm1ffcV/Tt3FiH5
VqaLP+RsU9M/QTYsrPKh4tEgrKokcWeWL8RTgfbc4izPBxIaO3MSDtp19FolDXyAX3+8Ok1AP9wM
BWR7HUCag38DhvynCSl6bbjVZphxvFtA0cYwJjjONqtsnWHSu60HNX7V5ZDiK41gwhLtpGbruhL6
99rjuf9/3mv2D9/DVOd8+j0sBrTAmvhlWB7T3e7dHaoVWVxAHgsR8FOICy3y73WMsTtM/0rwmz/6
M0NFFRpjYWBzwB90zQQ19+Gz8i7vxlZB9s7gh/QD2yW/wiCEVTnWGkEbizYz+t/UeT8vMM0CPUTh
zzxao9r4+JFV3/V1Q5TAvB5BSs/yCrz4Nq6xP1HpKf267AORn6yxEk+/fsD/9L0ysUAbxBzb+YmD
V6Vw2GSuEoWeuqWJKSJ0w53GAVxiN8bN+OtP++kGLiZUjCbJeGIx6T89xSFImj7CGBHFBH5XSUUm
UgMwfezTmUaOObTZcQrl68ie//Un/8MXzA7Cm6tSyVFOf1o/eYMEkOiXBEaZaew516Ol16piEXvh
CwpHZxtN6+rXnzk9tE9rdqIcqqZu80Rpcnx8qP0oGhPUazLPScR64m7JSg0p5X7zMT8/Ql1Y7J2G
ZfLDdJs/fgyx3VSJec8dwGB7APEyMcHREL/Q10zK3zzBn4sZwdfHxxiGzt5rf94QmKdFaSFlNm9D
Pbyz2sT0sL+JZk23p+E+grcrWtSkjEfAYbnwzDpk4fac0ZqyLLJJD5r4afeDaPUfbA/47NglpcrL
a8vPJVZkw2CFbJ1RvxWoDwTWFKYVRBwdgwAz8q+f689fOAcO+ij2oom09PnDxkHofu/F7Ik56Dnc
AgAhPc3nmq53+cOvP+vnNTQdbhCWQMfwwhiccO/3PZMdiMwJZBpd0DhrLexYQ0kOEvg3PKef38w3
DKbpqCpPFZzTx8+pXbXPAjS587LDhhMOCuOTrjMW8YjodWbiqHwWGDQA2UHn+81n/7zfWirLF8EP
RyuHzfR9v9vba26OdZ9P2lpLcro1AT5TOZoBU20ZSpyiueTo+Y+/V0sCGaUlgD/+p5emUG3PJM2K
ZFlJVgID3PiOndde/PpTftp1vnfvOEnY9iSNvI9/2afunU3g7hGen757a9z1AFyuVV7ei19/6Bvj
68O+w95q0TeaZFfTp37qc8AVbRWt7fElxo7v7F1yXTaIkfJZVPmjvVHicfDWaIRi8ORZw4IaSN96
CdIk3VSiHSmohBVpm6ghDPY3j/rt3fjwu/GgYaaZFP4Sp8zn+wygD6emch6o/fNsbUvmOIC5DM8H
mwJDx0qtcA9dg1lQ4lFuh2NKsHHr8RqP0WtgOUU7N3qjIMhXa4Lfvdc/vQTgYOnVaLTU+OrMqeX3
fiG2Pe2TUEvGOREQ0K8pur+O9HPMJfKD4DyGqSKOQaywMLkncg1Ux5KW/jBKa0abWftiWF26kdBG
yLv0WrkjdKDrlojKkPlWjPTgFI45W3JkSBNVWNggYm/QEIGS5cvqiRtIo5esZDHNWxm142qAv9Wt
mLbJfJ4reDdIox+qCod8L44dqUavhNql/aYCxhWuELXG3SqHCYkiZ6C7v5Qiinfe4DQB8EnerVKE
YGtyv+eXcJr6qscdc0lwQbqSSRD5FKl9jIE4HqamdhKjcyCwnZpK418MlLa/hHs/WZR6zd5LTy+o
rHPsCYt6BK/xAJm/R1Cr9fXy1yv683NhV7fY+iZYsEqq42eZHk5PmpOITufKKW7x7M2xmeuLzGx+
sylMpwWP+N361HWNfx/UDCMWAiztN+jdu70o/AtqJ/XA9B+/4+zUfsgqrNMBEuWRkv4zyo5+Cs5o
4SKmrepSO5i9Z/zA2Hmm41+iJF/FkX/As4PAjMDKiKFSSKvqb4KdxovHbCmhpzOmSQy/IZGk6E0Y
u64Ovo6yVRSQ5AiRqi4wl1nexYyecvHYVcMmI0z8B8AOCl93HegtvD0uPJTYfJsEEeYSCfegjjhh
iuI8bYkB5llX37iulV+SLWC3h3ewuvAtkr62ffZ+D53dd0YdRBRyoVwLWBso8agTS+S71vkNQReB
75WgXU0iBBXAc66jFDnBEB9xcyozvi9YrLe5jqHskYf+J1iuIPikWiuaRngT/PCuXClx0t6I3yDj
VIQa5sYZQbT+p6Q4t/EuGicvtHUZ24BSRPWRD+e2KeC9d0S4Wqs02FVW31y+QeBUo423JuvkkBYu
7PcaS1zpwNTQgI3x5YtTOuglyVlKuA7sBisLQm76jf8S/FYCR7xCMAharGmI8cGA+YP3VouCoLN/
Zr2poZcuMWzayM7Gv1hvThk7YMd0S35nvQF8N65yR+3K2dh4Zj37m/PWD1ZmzzOgJnKNOkyNTrGb
P/8FdUOS1g3r9xQ3W1Pv8g6k4xppoWQgkIvz3/w2xcsJ+w7G53Lit+HnRITXEo38CeDm4juMkG7B
bNOzkHxQFmJN8B/4AzQfH3BtqHdrJuEuAQW4UEvrZqK0+dKtvR1FS7yN/i1IG0ZtPZ5/ArQ1Kg1F
PLs/4GxjGTy0mg8yICyvXbrDKCP/AcfGt2qQqpRu/waxdWxcGBJARL+jsI2tY7zI0BnRsWW1Gi8q
Zr0XOQMQlyCNP5lrntERmBYDLRmjvly+kdbaXlUuiMC5JDoU7eEH2prleNc5iQJnWGjBi0/e0Jbe
8SGsqxsnoL31J2It78fHyCphBODPbL9y23lxdA434pufyr7Q77FMkvZE5bLtJ5ha2yZXveNdoC5M
/yapgQ7rkN9CLBtfyjS4nbhpfqcClrCH3SC8I5sUjb8fxLRiVAsm6CBWmLs/eJ5DHhs0SFUhErU2
8lWYjreaVfdzUAR7z+yPWKdjTlO0T4qqrfFbfWsGY5Hb8gEFyJPwg1tUdwZOsQxVYVPYCDr/hJZF
+fDM/e6q18YbW0RipWCSmUlVIXN8IpVlKdy1kETVnDVGfuysLdWrwiXkzufgPWQJEUdqXgMiAq78
F5gs1gee0AgpxQ+9A9fPeObGhIIFuSnpHA7KCUELiPSE/rUKJoFPEMYO44T4ThRLEqgYfqrMC3g+
p084sa5Ge5lG6IC18MbrzPVHkFgTxAKMknctNd4hO80u/kKHmTJ4tX1fJwh2NOxFWUid6BoYYYgZ
6cCHidK/1LFR3xu1mu5cQIkH4iRzcmihNEFtXHRTNNFfyK9Wkf31G+oLncbthPkarZJRiDMVGaQ/
YJ4GsUWsPLeJ41gRrOUUtOtGNUeM5OjLWCZ7WvX3aeTuKqDIkNqYCk6ALqznGYldRNa8kbnoRhMK
PAVBQaa4tegoQgJSBQ8msW5QeaMJrJrbsFZXiuGdY+5ffxO4otB+9syhRRgVeCR8GvUyV/znSnrM
WyQ7Yppaw8wqSRhEL20sHBz1xzDP34haBRiCnQODFmRN+s1WAOnx2cE3ykOyRGKXZv+E0cKyku6B
SiQrm8z0a92o49uRsJ2lLgGAtBMDS+QpBHJ4BIsJeTVGYs2teZ13ElWMKV8lkXWsOpoaDVrGIzB0
e1vmw5Wv6psJWpWk+aH+E1jVTyhsLzDmim9BcQBRpQ4xCYF+rG0xCMCi8ocQJ78bzSbylBsjQ/hn
5JRpDnM9649vuCmQv7dZRHFhIxS1scKHkb8rFOMw9u1Z+vjZm6Y9ST06RVZ+444MD3BG2Juoa79l
Y52BSBkOPlKS2V9AKOKKMhxT4puJ0BBoDRrp/e8IUNwyrC1d97OGNZJQQb7I2Qf0k9Wjl2fDKWYK
fPTTvwA96WXVkU+Hl3eBA5vEemPUofxbw6mohl1dOtgGmx80pzwYv7ptANlXJdBqRtSJxfDPO6iB
FEe9jxlOxZNTf2zOXcKipHUB7iKKwRoGEMTT1m1nb+glH/T3PHXDN9pSIaJpIjjXdJTWyACuIulw
khudmJd58tgpjgW9Mn0RgVIzk4IXD00Y+zdQjERHm1W12kXKPXrede6NmRYHM0b460oyXBMnf4To
sEdM019EbtRsDE+fgqmrYqEMypc2N4Pjd5JR7p6yLMGqRYNhQheJ+Ma1vI3bMUUCW6TDywIYcmT+
uBR2yWmcpszhgeLPyDHFmPeDSBS0/rNpBVtvgmj55nhj4GshkEu3tp1RIoLCtz0rEtpwpYzVBeG+
U/DKO9aQUcpL+ztoqDCIf+qLam1qyp1L1TYxhVSpX3LTWAkH8ZgOIpOOxouMMXgH2X4UyrqceGIK
qOfZe0AQXeVbkbgvYaqv/qQC6aDDssy67ozkYqwMePBJ9GAR9Fxo3W0G+8dvOGGrTF3qxHyuallO
Bu/4kv5pvOqbNlvKBGH133wfteFxTGSfLA2rUxh2sKdx74EjRvbvdhuHSRN4D23tG2Q9el15XRT4
DmBXrmz6aQz/mA3aCibz2jZnFnP7GIKD9KyTntBuMnuFPNCaWFIR1Ttz0DBttjr6xdjbEzWfrjNj
5AuqFVhviul8Dej2LF1wLbTFiCLvneESA+Me/R3Y5b49tWn2bA2GgsApDA+ZDT6a2/QXOykuYWql
GNFNCLsgozRhc3QnMDilEmy0wVVugzZVbzwb/nOT0y6ytq0ormxTuTFQftYVDcLe1L8FFrPLfNQo
3SzrK55W1Nwmaq3OArvbaOMxsCXB4hwCaLHbB9rrj01tW1MiYr40keaanSpnmCxW2ZTUTSxauEMv
esM879r34bj1eoHGozxbXp+dgGOVOLjHrzrEtbLOiWkEabqINeuqj6dopcp1l4mXXypRQGzDFK0U
mtZ2sjUOIQRs/EEGQw8DjqRhXQRuC0QkM4sV45ZzVoRPUYnRY1D8iww52hIWXEwcRlV8Q5N4xkzO
5k8faYar864SEyFhgJyhdWc1d3QixQftVlGx+MuuNjDGekjc1arftd14UVtGjbkAibHhhWQskAJi
EVlYPIZJc5Bxfgw4wHYF49qFRtWzgBgZCHIqRHSEKzXu+6B9qNPYnKfJwD7HdWRkCz1YDlJEoEdm
unHRwitEJO3qmnAOyw8uitq9AOKz69qmmeVJCEQxqzl1BrChit5FOCNRUqi2L4EvgzETcizBrWE1
CsuI8X2Y3BVjtcG4gv2bnWUmCms5JEqKB5vENPoeRCent2hgXkejsC+FV/lHYRfDLrMKuUoCHnOf
qcoyNjvvqLXFSkTu1u/kmsGQ8gB4XM7Rzq+dBKcM3mbyDmPlMrTTlV0Nd15b3yGnrebd4G2JaVuz
my1E7YA368l2rqtzRibbTObFQRvdpWPgf46GFNBsjqOMEIqrxrFusKzqc2MsLwth3A+pc0EY2gZw
lboFYVxj7Ld7ZJrdMvSqWxgtt2pQiH1hZ+fO9q4Klej2ZkBwMAYPoi3WkCoITgZuS7ZqP88qucPJ
tRvHfmkXRJigFp7hW11xVK980u9meIBWelOuO1S29DG2MAEI88WMcbKNTALBstPhIEuQnkXrbIPE
Pat6ih/c6iM6Ju7WyfHkJN1dQqz6wovVZa9S1PaRTaWsfqsh0/Pu5urMxxK5tGIL+FSsMlibla4U
0M2zSX2hxjLKFqgUO3OldGUJIcTonFt8jDWkY9eHPCiUKEHrmiNVVMLQzVGyqGI8GTEX6CvzTQs5
1A4SDCNq/WMBBeTce1nxrcpAf6AAqLgyFlqgnWRcZnSzglpXQPfQ84EAZ8gXOjnGndImPZA4vzvV
mglJWsX8fpcTC3SRB7Zw50INlBhXcSMvYYq7HNZq65pb0jfiJdQgfES8UjaBv4DWl3mj3mQtUtZD
Y9TWjZnX/qWkq0yg+kCYsnvj2MNZpcP/1OM5XxT2I/sddv/hSStH0jQJCgeFEu7MiSdNvjIcrxWq
q/qh5wtihVW4vLBoUfH6yH1kQggv/SylolgI/aOreDe9DlYclem8h3/lqtUsHptL6TlnGsHk2pRd
M0/gjfY+Qn28ReFR9goKD8+t3CfDD6MLP8yXWWhF8zATc3ckpRqb3FNR2tYSr0u3JT+KHMQo63R+
aDTmQmHtzo2SUwYJ6w6WEDY93JIXZLvt26b9gkI3gz0lmpvSkg+pnd9ZVkATLk5phWMzfQp7Q6Hm
AL7OmGrcBw6hNqHlf/EJ26b7WIp2k7CXIC4y7uLBjq9BTaAa44VlbWTGLOJv0olDIcyvxlTVhgVs
uCyF5dqOKsgTD+v2wm+xpCTQka2q3SpacYV98KIeyQrye0n0jGYg8AuztRcM/bWfK0l7aPomfaQu
856KFMkfeoxi1Qd2TMSrpLMb9KT41Qr8ka4DzaoSWGrvfHD0l30LZ0opvWGdNeTTqOEUIksc84E8
JeOaF/yxKvvLgNv8RTrRdma2k0VLaLHKLYUwHVeXwc71QL7nlmOxnJUcrDc4OfGxjSitLKsZdtbo
fBkF+Qi2al16WvhF5znssc1kS99yxjvFTFgIXNrI7alscQt0FtqYH/nLzq+TW2eE8g48zbgG+8af
AHCUuGrN3vZ14QAaNjsYT47/bNuW+Wy0RnvXvKnNa/2uUIW994MkRsWuTDaaPjzGNjRo9kdCJ4NQ
oEHq+5kzyL1dts28zw2gQfg2ha8yxK/659CqjjwWJmhd+chkGwGUkZ87oo8ec5/uE2/MKukd3AuR
7u8Zj6TLssiTLSbKZmvjltoErZtvstxosewQODUvHfNeqgRaFFyi51yl1JXukEI1s2SzjKCFLlEf
LwNaQ1hfB7nRUtOeEzlhtkC/sQIOEN9ayMOYPSMc0VW74gWMkKs78ENxEM1Ku7rvhu5bqKWrwdbc
JTm1cAgbKeEWa9oizoYqXE9Jmtm1V4KUWiTSLI91PtKx0rRW3OoGkExJvE8+85zwgSbJkM86U/Sw
ngx1L4NerCH60j9Thmbu183loHGTjg0z3rYE8C5qA47crCj7dtWKvNoMuWEt+qRTS7b3WNlmgxme
ysTMd4Gno1jK/CFbwSTF6Wl73jWx1MYxDZuDkuCDMtGGPcR14D8QD4uPDATVwMjNEo94MsuVQ+P4
lcxKlSGB1hP/Dmrh0XFCXz+ElasvmaPHPo7hSn3Op04zrf0Cao3bcFHh3fH0eS/9kAU5GGgSB+6C
XBf7ITe1VT42LQ0k26on01qvK9Y5E0GakrassyA3Q1nSqVDoWvN+d2huvTp0HkfRDnAt89F33pBK
uUuKdFBm29atcaKMgt7uTq3VQH+t667l7a0bIN5mMqYlHL6y7O41B3v0SQWT4z05Mg36gxhrk+zq
pCG+XjBWuKuS+m0qYbLbNRWvF2BCOxdzDglmkQO3/nrSwUEpLVygVJwVZkYJZHrBtUh08wnqoXlZ
UPB7G+ttnFAWEeJVrqeDzoUirTaNwMJ1jjEUtDvdaS1t5dZQlDYZNLgvGX5af55GJv9D3/ZaWM+G
nik/jRDStna+7AcAyUOjQQStJLnju47E9uSE16u/RAkXEgXSCG3jty3QxBJNGaRY+o70swEtiqek
SMQcsIidvdZSqfSLoTX1ZBkaCXaVNjKEtyi8TulXZZ/hIKUtT2Bs75tQ9xleJoCPbKEAjsepGe20
wK3tZUhXdVEqEsZHuyYM6jzocDs4EJ8Sy1prCBHBU171XdTdZyHtZ0d9VjrsTll1UUb5qi0r4t/r
nO2GuM8N/m3jPNJuXdiVr+552g8+t1ofKKNdYwAFIjY+VDEIHdvOCeIC7xKN9O6ouOg3LAe8EIu6
78zFENJwYVF2/krPcotS82uJNd2bC1NhbOShU6WKd1EOA0UB/PiCdHbTKt1XwiTMU2a2AJ2cfkUu
anHBj+jXJeoRBMiNcSfUPNw0Rv9EaAxHtz8Cwea2vaSE8hu8r9LaZfyu5KJbNo+YJIhlVWop/bqo
ndTCuqgz89yRO2ItQqdlN+hLc1hXegtcECBOzytiFrDT8H2kT57eecWcwL1W3xVVl2j0GiazxErt
ZNhtABpQ0OsGmnRspyCGcDlqE2a61Ykk1WXsrHHXDPohKMIhWxa5bThzvySZfKl1BUR3sn5QCGep
TJMVC8auVlrbQrfGF62QU48B3dzILFCspa4gMXDT0YiOausJc9/lQsu2PN5g3KgtjvCF29f83pZV
IBtDM8IUFjWH162yopbRmRtz793U8RBrh6gXbAXYnPnvwC5kA3TJCJPV8gr87pi6hxKbYL3qU6fy
V76h54LdxUZNmSFk1g6JOiLYxUVdqnunNsD6kCs4dhtowlFO+uvbNtHaYZN8bU2zCC51bNfJkTBF
uLaiw+IXzrTcI+bNwQGqHHGJyQB+E9Y+akA/3qs1OlwYe8WFp5dUWNKCvYPwlCNRj6oL1vCbJFWr
laWGUKG7a5wUYnzZE9/mKH61SQgJnsdxk7uXkcjLDToyvJ1jdwdbgeg4N6/IUe6YXnrcO0+jlwZb
ZnHfHGv8wpFKkcUFfF+U2nDB5l3vA93cp60db6DOm2vkCpPyo6OXoxn1OpHZuPRHcGWwI3TY3w53
o1Tvtj5hs7NyGr4PPXMtqGiN9tLYSOeZmbv3boowlspE9+/hRJASWXWIkqjyyzLc0ILmbtnCQTqk
MHe51AWsBaPSij0poTSC/Nh0ThA3wWwFNirqxgkNypDUBQsUDQAs84Gbe1Kl1c0UjrNq8OLd92Xk
sMw1O30ulGhYNqVxAPgATdpTh7OCe+PcVkEXrDsbv5SljN52FOK6kehgFUMEK+QZxOEUsRXQ86pc
4LNORS5FI3cBW0Sx6ynI1pJUv9gDohk5bnEtS0lVQ0NO5y8ZRkCzWfnV4aFd+2TcfI2CtCM/26kW
daqDz7YMqAYiU/hOB0C5y3SgvTWWQgfopQFTU93+0qJSvbRYd3PyX7/o6SiDOZNa+RTTRWBwZtVy
oXv6cBuRHnbnkwpxjlTrXuto7JD9aS+TvnXPeJHRGUf2cAngVrAzAJ20ZJof7bK0aNbXYCGcpnNp
5fGcADJECz+tonZLwiDgITNynjqiTNd525GC3KXVSSPQc2bRoaT6hmhkkq05k4V/pwpX21t581RG
MDiQ+m2twO0PQ1+YC06M+gQDX9shL8oXCU/70QoiIijUAql5VOJnnzEdb7MV00RtCRbFDRaGpelP
jeJ7zVxx0kKFBZiwwqLOHB5x/4XdLHQVSdkfBpcOg7t7Xx/q+y62OSY0cYbmoB01dTQvGo3JEBeM
dMRRQK7aYmBkduq4iqwqJW1fdKOozunoV5dK2exC1aJvBB3P2tBQmBTtJe7tmRoauj+PslF78IvR
ntWDXSy1DHBApXtiU1roAHCBcDTP1SaM1kko4qWJUAebKCyBr75rEkfgZwJKCHPtWVPnOfuq3SDk
ynvsy76s0ZzJ/ejTM5xi8WiTJESedrkh6O53IDLa0rYXErDPtSZSygEUlWsGkg5DPd+Vaz+W1OyW
EuMJ7dJxNeqiOHpKWz5ZAxljRHS+NgKrDrXSuKWmActMgEKw0BJFbHEP91s48jjNATTs1YBeljsK
g7z4LiA4Z3T1cy+t7iGvcumQzQJnVTrCuEo94C1OmcfLcUztEw0cG+Ccu2mNcUP9Fqwq0eDaFf0V
mhDlZjDT+lySL8T1NchWrH/kEaS4rIo40L5UqjFVbpjCt57BSpz1fWZduQFBdnYWxlunbJ1NDllo
04QWHbrAWYS2yHa8sltsLeMDajq62h69RxGa5VnR3WpBslBHRVuFgEa1Tr3vDOmdjCgAy6FJnz6O
KS9kD/rdnPqrapKE68ZQA/jTaAuQ4/lzhws+tV1FBk0wamvXj5rLEdsq14zYZf37zqvWudVLEqWv
BLXCjingpLehtE5FphfVLG9QoFpVw+dMsQlSx+7ISJzIbbgb1MDxbrCqlR2rJIeohOsQbdmDiN8a
UzyQBUNJYhyba1aQz0lDe6hkGC4RktwmSfRs1MhMMiWZINz6zEjFAbcv1vR2RC/oSoU7UUHyF8Kg
pF4pyXS/UZR4kQ5pPqev0h+ACtKIGnv/ilZ4uu9FfNVyc26hhZuLrKKcUBrGkRqy211GOhCtpoGS
2UsUzAZVWQQrp22JyTL9mgfBnugADzlECT2suB2vR4F7OWITXbYs4jm2S6RUwll6jX5j4epO0Iut
DFsFhK93S+5e6m2tRhta7eGO6NaveaXCLOK7eVUyzqNA6wJ9bmoDOP68U2c56baMC6pxSGZBb/s7
ZUycL25CCvVMWEPAT6jQh/U2qWDQESqxaDpOsllhpMo+ViirM6zVN2+5rrLphr3H8Twr/SbavEW6
0r+qLirSa2cqOAGYr4m/tyMrhWAZNCe88/TQaTsPui3W9BQpQii7QBZCbxsd7NlhkeQ372Jb48RY
ZZyCK32U5PMqUNZzei9HDFL0gkVCSzBQq7laWc6+TktOQcMzrgRAgcPfYawJncp7xVS2w6DssqER
ctGGGRy3KXGNlOqgMZLLZopeNUOY7xDF1E1RKtUtPCF1XxbCPmReUbzQPBb7v4NVXS1o0CtDAkTh
pQBmjwumDiSzMPTx8KHXYbLJ/wr1ZjMMeEG1aDnE/8vdmSy3bQRh+FVcvgOFfTnEVdFmSrYceUmc
+MKCJYYbNgEgtqfPN1goQqJoxTiEFdxsQDNAs6dnevn/Dt0LTZNM2kWszeyGRjMSaHHSFnMcf4h2
YudmSsUpHdCIhWnzuqxPc9GoW9FiD/hN+D712Q4v0iqPJnYMp8nSqFanWVll392MLD/tYolPxxbm
OdDeWSWu1zVdcstPcxoGQvMMV7B6mhPqvZJyQo3iyEgGKMrPp/cqJDTAmIHppeqVXfjSCS1vFXDA
FGCtCiKbF2s/Ta+sEvJ4qEAr5ypaZ0uR5I6+VViacsKqdj/DseTToioOyrOFnQK4zzYwJlSlig0A
dn9eUa5Gw5EqgxB1Lw4djkDIiYjcdSD0OTEV2h4J7Lkx15S/G9x5lnAmy6uFofwem1b6sTCeoM1X
905wXeJifdSfR5tTLFDTJ4vk2H6keU4YP7ps8eUATFXi1/MkN86kbJ6cWlambKBNoHtwpQMsPd8H
Gi8dh0xDlin0JkrdfIXKLyOFLhgPEHGq4jTnrEGHu5aavtsBhvtmTQ0YfmNByS9w8DSrbeIJdQcF
X1eb6EaC6sj50jDIWRWVcVClbnnjjFpN1D8Maio4PK2s+VXDAodHboGTFGxvShws6dC0iEh5GGVu
0s0sj9XqVIWldKZkq5y8qE1P0XixvtL0UP2up8X9VebW2AdTL8li6PX72CUHOPfz8Bpao+lXra5B
VIUOGXly35BEvptCL/d+vbbLD3oJqMuOpSImNSi8ZCO6M5ziMlPiKS2GVteRvfkLmkmJaOKQxO2+
NNY4NnEc0MjDT8PfTCqm5ucPTG3qVLqHtmxJZKlhaAO8Fr2lUbJoLFgFEd8El8bJQnIMGi7YD4Rs
qWkW5zBApNfQeyUwwa4V0ldAFCjJtuCLeErIppfOrWvPKXKgmPJtcK9mX1cPXGx+BiM64SiYFKYU
QjQ8bNV9OYebqudgW5crmtaERZRf1ABxLhrGNanmR5IWGYxrZDGkd65SB1/yCN/zzAoKh+600KfV
9JK9cdwYbqb7ihZLV9hVcrQ22WNOUAS9yI/S8is/CWAscM7LZba6TOchZ3TuKecpRpoEckCvWCjt
pic4JPNJbul6cmYqBY1yKCy5IPwnbU7DwvhUkGa8AEJBfsg2KMIqzW+5DgUImz/5DQhW7QkeFlTV
4bKYqHrsc3BwaPMVCuZNfWOSUIX62P4zMaV5QuVEFVw3RJuFUvIeHPqm5LzwlzuSzfTjQiekmfoV
MdBNGNWXSwKwPyy6fFJySZWOJRDSANptasC5v1NyGUWbzMgTmsw15fS1k1TlaRFY1uqEwDxFPQZH
BGyW8Doze3pZwbzikay3SQRnaQJAxsULnkDA4KOxZUiBK9awvHHJSHIaW5Xh+qTO9I12FtM4XpoF
MIA7tNyOgqKtH/7fwP66DxHkBecNd8HHzUzA+FI8obSnDxB3IY4Nsy/Rzz10eKCONeEHBKRg7Uzq
fXeqhLev1bzzoVF8LwO2fAcpAxwJgKmgViCR1F6vX/l0T+luq6psK2BYbNslU8QFcAb04o6UnpPD
4U9sBXr4mUMf0PJKXN798roVA9XQA1Bl81b/RgyqDPhAN0yWWXMh110x6LJuOAY1v+Arj1IMmgN1
zEghGK6sU82tUF+xTxcsGfJ+AHhsIe3VCv2IdAH4pQDljNIEhOCqOuEHo//MgSbYskC4ogX9cmmF
fkRCAL1nUbE/SgimLpOHM20gj1t931kOjkzxOyBfkAbt1Qr9iIQA87E+djkgBNOgOlXRtVYI+kAT
VEVWNN0CqslmfGw20TZtTRuvBOBdDGFZ2u9nwB0lUDXZsFVVMO50WnB8YmjoZMaKwZBVuIgMHUhR
cw3F4MqO6hhYRUBR/e0j0wbYlDSjVdIWLPozBwXDkcF6O6qAILbXUBtUmfYoijhIbG8fmxjAFgo0
9TjLyHlJpxZSg22huZ4cFISw2YY6bTm685KGZWxf6ud1gUMjO62u4pBsf+wdy+DKsDgJlH5nNwTl
xJHpQk88NlYXoAIDyNIbyEcbhC4b7BBI6WHFHJkYVEyDMnqfUGRqG22IER6W/o424EIoSAgc4fHt
kxqHHAcE6zg1UGQLrLsgxBiYRBdLoapQr/T7I+pxXL9/24Vi1MezLZgGFhFCgf2mQDFsUPNqvwSO
zxRAPeHSI2OkDrD9EaAhJ2a2pwAG3FkDtOSAjRq34b9ymV5OR/SM5/xogJ0AAstb9AbB6di7ISr4
lPTBpoxrqx8vXQQv8Ce2IRnaMvp3TTBmOUv3xWyee6CPQTy938UfRJABDqbBcyI0007dBiLEv994
d8EyhGUvS5a3WRMi2bnZh0yaabo/777v6cyDufqP6v9zspwlXnK7qJobVfeWHcWm94KmM8/TeW4t
waE5Jl7wfTPsZtN5Ww+f+8vrgTB2Ftehkd9HxSx59dkroyEDVndkGTv8p8WSDK0X3kk3ntDf0Mtm
u0RbXfRg7DSfPS8RswyGbqMzY4c+SWbBbMAm1jn7owc+QM06Ul2+LDYJpChLb1ceTn/wGPvin28X
/iwtaDozifw0my0H0iE2KPhE+5n3BlRfpPOtTkq/hgvPz/rhHqKP+ACjP+SJ1m8Dm2OH/kBrsMWr
Rvulr7M0i/mIxz9HtweOnep6drv2Z6GwD81Ur6CyxVqFj6frwhNjp5vM0nSwhOFCaQ90Y0c+4aUx
pY8NHQRDrQ85enwv95JHUund9MNj79s0tgH5p1tJH2jf92fDbVI8cevPvOTNPwAAAP//</cx:binary>
              </cx:geoCache>
            </cx:geography>
          </cx:layoutPr>
        </cx:series>
      </cx:plotAreaRegion>
    </cx:plotArea>
  </cx:chart>
  <cx:spPr>
    <a:effectLst>
      <a:softEdge rad="0"/>
    </a:effectLst>
  </cx:spPr>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0</xdr:col>
      <xdr:colOff>134335</xdr:colOff>
      <xdr:row>11</xdr:row>
      <xdr:rowOff>50799</xdr:rowOff>
    </xdr:from>
    <xdr:ext cx="5943600" cy="2953512"/>
    <xdr:graphicFrame macro="">
      <xdr:nvGraphicFramePr>
        <xdr:cNvPr id="2" name="Chart 1">
          <a:extLst>
            <a:ext uri="{FF2B5EF4-FFF2-40B4-BE49-F238E27FC236}">
              <a16:creationId xmlns:a16="http://schemas.microsoft.com/office/drawing/2014/main" id="{00000000-0008-0000-07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5</xdr:col>
      <xdr:colOff>1177689</xdr:colOff>
      <xdr:row>11</xdr:row>
      <xdr:rowOff>51448</xdr:rowOff>
    </xdr:from>
    <xdr:ext cx="5943600" cy="2953512"/>
    <xdr:graphicFrame macro="">
      <xdr:nvGraphicFramePr>
        <xdr:cNvPr id="30" name="Chart Funnel Trend">
          <a:extLst>
            <a:ext uri="{FF2B5EF4-FFF2-40B4-BE49-F238E27FC236}">
              <a16:creationId xmlns:a16="http://schemas.microsoft.com/office/drawing/2014/main" id="{00000000-0008-0000-07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120705</xdr:colOff>
      <xdr:row>29</xdr:row>
      <xdr:rowOff>16933</xdr:rowOff>
    </xdr:from>
    <xdr:ext cx="5981700" cy="2953512"/>
    <xdr:graphicFrame macro="">
      <xdr:nvGraphicFramePr>
        <xdr:cNvPr id="4" name="Chart 3">
          <a:extLst>
            <a:ext uri="{FF2B5EF4-FFF2-40B4-BE49-F238E27FC236}">
              <a16:creationId xmlns:a16="http://schemas.microsoft.com/office/drawing/2014/main" id="{00000000-0008-0000-07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5</xdr:col>
      <xdr:colOff>1213230</xdr:colOff>
      <xdr:row>29</xdr:row>
      <xdr:rowOff>51341</xdr:rowOff>
    </xdr:from>
    <xdr:ext cx="5943600" cy="2953512"/>
    <xdr:graphicFrame macro="">
      <xdr:nvGraphicFramePr>
        <xdr:cNvPr id="5" name="Chart 4">
          <a:extLst>
            <a:ext uri="{FF2B5EF4-FFF2-40B4-BE49-F238E27FC236}">
              <a16:creationId xmlns:a16="http://schemas.microsoft.com/office/drawing/2014/main" id="{00000000-0008-0000-07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5</xdr:col>
      <xdr:colOff>1184805</xdr:colOff>
      <xdr:row>47</xdr:row>
      <xdr:rowOff>59384</xdr:rowOff>
    </xdr:from>
    <xdr:ext cx="5994400" cy="2953512"/>
    <xdr:graphicFrame macro="">
      <xdr:nvGraphicFramePr>
        <xdr:cNvPr id="6" name="Chart 5">
          <a:extLst>
            <a:ext uri="{FF2B5EF4-FFF2-40B4-BE49-F238E27FC236}">
              <a16:creationId xmlns:a16="http://schemas.microsoft.com/office/drawing/2014/main" id="{00000000-0008-0000-07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0</xdr:col>
      <xdr:colOff>123842</xdr:colOff>
      <xdr:row>47</xdr:row>
      <xdr:rowOff>69696</xdr:rowOff>
    </xdr:from>
    <xdr:ext cx="5943600" cy="2953512"/>
    <xdr:graphicFrame macro="">
      <xdr:nvGraphicFramePr>
        <xdr:cNvPr id="7" name="Chart 6">
          <a:extLst>
            <a:ext uri="{FF2B5EF4-FFF2-40B4-BE49-F238E27FC236}">
              <a16:creationId xmlns:a16="http://schemas.microsoft.com/office/drawing/2014/main" id="{00000000-0008-0000-07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10</xdr:col>
      <xdr:colOff>1049918</xdr:colOff>
      <xdr:row>11</xdr:row>
      <xdr:rowOff>59578</xdr:rowOff>
    </xdr:from>
    <xdr:ext cx="7501416" cy="9677089"/>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00000000-0008-0000-0700-000008000000}"/>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3026018" y="2701178"/>
              <a:ext cx="7501416" cy="967708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workbookViewId="0"/>
  </sheetViews>
  <sheetFormatPr baseColWidth="10" defaultColWidth="8.83203125" defaultRowHeight="15" x14ac:dyDescent="0.2"/>
  <cols>
    <col min="1" max="1" width="28" customWidth="1"/>
    <col min="2" max="2" width="95" customWidth="1"/>
  </cols>
  <sheetData>
    <row r="1" spans="1:2" ht="19" x14ac:dyDescent="0.25">
      <c r="A1" s="1" t="s">
        <v>3</v>
      </c>
    </row>
    <row r="2" spans="1:2" x14ac:dyDescent="0.2">
      <c r="A2" s="2" t="s">
        <v>4</v>
      </c>
    </row>
    <row r="4" spans="1:2" x14ac:dyDescent="0.2">
      <c r="A4" s="3"/>
      <c r="B4" s="4"/>
    </row>
    <row r="5" spans="1:2" ht="30" customHeight="1" x14ac:dyDescent="0.2">
      <c r="A5" s="3" t="s">
        <v>5</v>
      </c>
      <c r="B5" s="4" t="s">
        <v>6</v>
      </c>
    </row>
    <row r="6" spans="1:2" ht="32" x14ac:dyDescent="0.2">
      <c r="A6" s="3" t="s">
        <v>7</v>
      </c>
      <c r="B6" s="4" t="s">
        <v>8</v>
      </c>
    </row>
    <row r="7" spans="1:2" ht="16" x14ac:dyDescent="0.2">
      <c r="A7" s="3" t="s">
        <v>9</v>
      </c>
      <c r="B7" s="4" t="s">
        <v>10</v>
      </c>
    </row>
    <row r="8" spans="1:2" ht="16" x14ac:dyDescent="0.2">
      <c r="A8" s="3" t="s">
        <v>11</v>
      </c>
      <c r="B8" s="4" t="s">
        <v>12</v>
      </c>
    </row>
    <row r="9" spans="1:2" x14ac:dyDescent="0.2">
      <c r="A9" s="3"/>
      <c r="B9" s="4"/>
    </row>
    <row r="10" spans="1:2" x14ac:dyDescent="0.2">
      <c r="A10" s="3" t="s">
        <v>13</v>
      </c>
      <c r="B10" s="4"/>
    </row>
    <row r="11" spans="1:2" ht="30" customHeight="1" x14ac:dyDescent="0.2">
      <c r="A11" s="3" t="s">
        <v>14</v>
      </c>
      <c r="B11" s="4" t="s">
        <v>15</v>
      </c>
    </row>
    <row r="12" spans="1:2" ht="30" customHeight="1" x14ac:dyDescent="0.2">
      <c r="A12" s="3" t="s">
        <v>16</v>
      </c>
      <c r="B12" s="4" t="s">
        <v>17</v>
      </c>
    </row>
    <row r="13" spans="1:2" ht="30" customHeight="1" x14ac:dyDescent="0.2">
      <c r="A13" s="3" t="s">
        <v>18</v>
      </c>
      <c r="B13" s="4" t="s">
        <v>19</v>
      </c>
    </row>
    <row r="14" spans="1:2" ht="16" x14ac:dyDescent="0.2">
      <c r="A14" s="3" t="s">
        <v>20</v>
      </c>
      <c r="B14" s="4" t="s">
        <v>21</v>
      </c>
    </row>
    <row r="15" spans="1:2" ht="30" customHeight="1" x14ac:dyDescent="0.2">
      <c r="A15" s="3" t="s">
        <v>22</v>
      </c>
      <c r="B15" s="4" t="s">
        <v>23</v>
      </c>
    </row>
    <row r="16" spans="1:2" ht="30" customHeight="1" x14ac:dyDescent="0.2">
      <c r="A16" s="3" t="s">
        <v>24</v>
      </c>
      <c r="B16" s="4" t="s">
        <v>25</v>
      </c>
    </row>
    <row r="17" spans="1:2" ht="30" customHeight="1" x14ac:dyDescent="0.2">
      <c r="A17" s="3" t="s">
        <v>26</v>
      </c>
      <c r="B17" s="4" t="s">
        <v>27</v>
      </c>
    </row>
    <row r="18" spans="1:2" ht="30" customHeight="1" x14ac:dyDescent="0.2">
      <c r="A18" s="3" t="s">
        <v>28</v>
      </c>
      <c r="B18" s="4" t="s">
        <v>29</v>
      </c>
    </row>
    <row r="19" spans="1:2" ht="16" x14ac:dyDescent="0.2">
      <c r="A19" s="3" t="s">
        <v>30</v>
      </c>
      <c r="B19" s="4" t="s">
        <v>31</v>
      </c>
    </row>
    <row r="20" spans="1:2" ht="16" x14ac:dyDescent="0.2">
      <c r="A20" s="3" t="s">
        <v>32</v>
      </c>
      <c r="B20" s="4" t="s">
        <v>33</v>
      </c>
    </row>
    <row r="21" spans="1:2" ht="16" x14ac:dyDescent="0.2">
      <c r="A21" s="3" t="s">
        <v>34</v>
      </c>
      <c r="B21" s="4" t="s">
        <v>35</v>
      </c>
    </row>
    <row r="22" spans="1:2" ht="30" customHeight="1" x14ac:dyDescent="0.2">
      <c r="A22" s="3" t="s">
        <v>36</v>
      </c>
      <c r="B22" s="4" t="s">
        <v>37</v>
      </c>
    </row>
    <row r="23" spans="1:2" x14ac:dyDescent="0.2">
      <c r="A23" s="3"/>
      <c r="B23" s="4"/>
    </row>
    <row r="24" spans="1:2" ht="30" customHeight="1" x14ac:dyDescent="0.2">
      <c r="A24" s="3" t="s">
        <v>38</v>
      </c>
      <c r="B24" s="4" t="s">
        <v>39</v>
      </c>
    </row>
    <row r="25" spans="1:2" ht="30" customHeight="1" x14ac:dyDescent="0.2">
      <c r="A25" s="3" t="s">
        <v>40</v>
      </c>
      <c r="B25" s="4" t="s">
        <v>41</v>
      </c>
    </row>
    <row r="26" spans="1:2" x14ac:dyDescent="0.2">
      <c r="A26" s="3"/>
      <c r="B26" s="4"/>
    </row>
    <row r="27" spans="1:2" ht="30" customHeight="1" x14ac:dyDescent="0.2">
      <c r="A27" s="3" t="s">
        <v>42</v>
      </c>
      <c r="B27" s="4" t="s">
        <v>43</v>
      </c>
    </row>
    <row r="28" spans="1:2" x14ac:dyDescent="0.2">
      <c r="A28" s="3"/>
      <c r="B28" s="4"/>
    </row>
    <row r="29" spans="1:2" x14ac:dyDescent="0.2">
      <c r="A29" s="3" t="s">
        <v>44</v>
      </c>
      <c r="B29" s="4"/>
    </row>
    <row r="30" spans="1:2" ht="16" x14ac:dyDescent="0.2">
      <c r="A30" s="3" t="s">
        <v>45</v>
      </c>
      <c r="B30" s="4" t="s">
        <v>46</v>
      </c>
    </row>
    <row r="31" spans="1:2" ht="16" x14ac:dyDescent="0.2">
      <c r="A31" s="3" t="s">
        <v>47</v>
      </c>
      <c r="B31" s="4" t="s">
        <v>48</v>
      </c>
    </row>
    <row r="32" spans="1:2" ht="16" x14ac:dyDescent="0.2">
      <c r="A32" s="3" t="s">
        <v>49</v>
      </c>
      <c r="B32" s="4" t="s">
        <v>50</v>
      </c>
    </row>
    <row r="33" spans="1:2" ht="16" x14ac:dyDescent="0.2">
      <c r="A33" s="3" t="s">
        <v>51</v>
      </c>
      <c r="B33" s="4" t="s">
        <v>52</v>
      </c>
    </row>
    <row r="34" spans="1:2" ht="16" x14ac:dyDescent="0.2">
      <c r="A34" s="3" t="s">
        <v>53</v>
      </c>
      <c r="B34" s="4" t="s">
        <v>54</v>
      </c>
    </row>
    <row r="35" spans="1:2" ht="16" x14ac:dyDescent="0.2">
      <c r="A35" s="3" t="s">
        <v>55</v>
      </c>
      <c r="B35" s="4" t="s">
        <v>56</v>
      </c>
    </row>
    <row r="36" spans="1:2" ht="16" x14ac:dyDescent="0.2">
      <c r="A36" s="3" t="s">
        <v>57</v>
      </c>
      <c r="B36" s="4" t="s">
        <v>58</v>
      </c>
    </row>
    <row r="37" spans="1:2" ht="16" x14ac:dyDescent="0.2">
      <c r="A37" s="3" t="s">
        <v>59</v>
      </c>
      <c r="B37" s="4" t="s">
        <v>60</v>
      </c>
    </row>
    <row r="38" spans="1:2" ht="16" x14ac:dyDescent="0.2">
      <c r="A38" s="3" t="s">
        <v>61</v>
      </c>
      <c r="B38" s="4" t="s">
        <v>62</v>
      </c>
    </row>
    <row r="39" spans="1:2" ht="16" x14ac:dyDescent="0.2">
      <c r="A39" s="3" t="s">
        <v>63</v>
      </c>
      <c r="B39" s="4" t="s">
        <v>64</v>
      </c>
    </row>
    <row r="40" spans="1:2" ht="16" x14ac:dyDescent="0.2">
      <c r="A40" s="3" t="s">
        <v>65</v>
      </c>
      <c r="B40" s="4" t="s">
        <v>66</v>
      </c>
    </row>
    <row r="41" spans="1:2" ht="16" x14ac:dyDescent="0.2">
      <c r="A41" s="3" t="s">
        <v>67</v>
      </c>
      <c r="B41" s="4" t="s">
        <v>68</v>
      </c>
    </row>
    <row r="42" spans="1:2" ht="16" x14ac:dyDescent="0.2">
      <c r="A42" s="3" t="s">
        <v>69</v>
      </c>
      <c r="B42" s="4" t="s">
        <v>70</v>
      </c>
    </row>
    <row r="43" spans="1:2" ht="16" x14ac:dyDescent="0.2">
      <c r="A43" s="3" t="s">
        <v>71</v>
      </c>
      <c r="B43" s="4" t="s">
        <v>72</v>
      </c>
    </row>
    <row r="44" spans="1:2" x14ac:dyDescent="0.2">
      <c r="A44" s="3"/>
      <c r="B44" s="4"/>
    </row>
    <row r="45" spans="1:2" ht="30" customHeight="1" x14ac:dyDescent="0.2">
      <c r="A45" s="3" t="s">
        <v>73</v>
      </c>
      <c r="B45" s="4" t="s">
        <v>74</v>
      </c>
    </row>
    <row r="46" spans="1:2" ht="30" customHeight="1" x14ac:dyDescent="0.2">
      <c r="A46" s="3" t="s">
        <v>75</v>
      </c>
      <c r="B46" s="4" t="s">
        <v>76</v>
      </c>
    </row>
    <row r="47" spans="1:2" ht="16" x14ac:dyDescent="0.2">
      <c r="A47" s="3" t="s">
        <v>77</v>
      </c>
      <c r="B47" s="4" t="s">
        <v>78</v>
      </c>
    </row>
    <row r="48" spans="1:2" ht="30" customHeight="1" x14ac:dyDescent="0.2">
      <c r="A48" s="3" t="s">
        <v>79</v>
      </c>
      <c r="B48" s="4" t="s">
        <v>80</v>
      </c>
    </row>
    <row r="49" spans="1:2" ht="30" customHeight="1" x14ac:dyDescent="0.2">
      <c r="A49" s="3" t="s">
        <v>81</v>
      </c>
      <c r="B49" s="4" t="s">
        <v>82</v>
      </c>
    </row>
    <row r="50" spans="1:2" ht="16" x14ac:dyDescent="0.2">
      <c r="A50" s="3" t="s">
        <v>83</v>
      </c>
      <c r="B50" s="4" t="s">
        <v>84</v>
      </c>
    </row>
    <row r="52" spans="1:2" ht="48" x14ac:dyDescent="0.2">
      <c r="A52" s="3" t="s">
        <v>233</v>
      </c>
      <c r="B52" s="4" t="s">
        <v>234</v>
      </c>
    </row>
    <row r="53" spans="1:2" ht="48" x14ac:dyDescent="0.2">
      <c r="B53" s="4" t="s">
        <v>235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election activeCell="J14" sqref="J14"/>
    </sheetView>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85</v>
      </c>
    </row>
    <row r="2" spans="1:11" x14ac:dyDescent="0.2">
      <c r="A2" s="2" t="s">
        <v>86</v>
      </c>
    </row>
    <row r="4" spans="1:11" ht="30" customHeight="1" x14ac:dyDescent="0.2">
      <c r="A4" s="5" t="s">
        <v>87</v>
      </c>
      <c r="B4" s="5" t="s">
        <v>88</v>
      </c>
      <c r="C4" s="5" t="s">
        <v>89</v>
      </c>
      <c r="D4" s="5" t="s">
        <v>90</v>
      </c>
      <c r="E4" s="5" t="s">
        <v>91</v>
      </c>
      <c r="F4" s="5" t="s">
        <v>92</v>
      </c>
      <c r="G4" s="5" t="s">
        <v>93</v>
      </c>
      <c r="H4" s="5" t="s">
        <v>94</v>
      </c>
      <c r="I4" s="5" t="s">
        <v>95</v>
      </c>
      <c r="J4" s="5" t="s">
        <v>96</v>
      </c>
      <c r="K4" s="5" t="s">
        <v>97</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98</v>
      </c>
    </row>
    <row r="2" spans="1:31" x14ac:dyDescent="0.2">
      <c r="A2" s="2" t="s">
        <v>99</v>
      </c>
    </row>
    <row r="4" spans="1:31" x14ac:dyDescent="0.2">
      <c r="A4" s="11" t="s">
        <v>100</v>
      </c>
      <c r="B4" s="68">
        <v>2016</v>
      </c>
      <c r="C4" s="56"/>
      <c r="D4" s="56"/>
      <c r="E4" s="68">
        <v>2017</v>
      </c>
      <c r="F4" s="56"/>
      <c r="G4" s="56"/>
      <c r="H4" s="68">
        <v>2018</v>
      </c>
      <c r="I4" s="56"/>
      <c r="J4" s="56"/>
      <c r="K4" s="68">
        <v>2019</v>
      </c>
      <c r="L4" s="56"/>
      <c r="M4" s="56"/>
      <c r="N4" s="68">
        <v>2020</v>
      </c>
      <c r="O4" s="56"/>
      <c r="P4" s="56"/>
      <c r="Q4" s="68">
        <v>2021</v>
      </c>
      <c r="R4" s="56"/>
      <c r="S4" s="56"/>
      <c r="T4" s="68">
        <v>2022</v>
      </c>
      <c r="U4" s="56"/>
      <c r="V4" s="56"/>
      <c r="W4" s="68">
        <v>2023</v>
      </c>
      <c r="X4" s="56"/>
      <c r="Y4" s="56"/>
      <c r="Z4" s="68">
        <v>2024</v>
      </c>
      <c r="AA4" s="56"/>
      <c r="AB4" s="56"/>
      <c r="AC4" s="68">
        <v>2025</v>
      </c>
      <c r="AD4" s="56"/>
      <c r="AE4" s="56"/>
    </row>
    <row r="5" spans="1:31" ht="30" customHeight="1" x14ac:dyDescent="0.2">
      <c r="A5" s="5" t="s">
        <v>100</v>
      </c>
      <c r="B5" s="5" t="s">
        <v>89</v>
      </c>
      <c r="C5" s="5" t="s">
        <v>90</v>
      </c>
      <c r="D5" s="5" t="s">
        <v>101</v>
      </c>
      <c r="E5" s="5" t="s">
        <v>89</v>
      </c>
      <c r="F5" s="5" t="s">
        <v>90</v>
      </c>
      <c r="G5" s="5" t="s">
        <v>101</v>
      </c>
      <c r="H5" s="5" t="s">
        <v>89</v>
      </c>
      <c r="I5" s="5" t="s">
        <v>90</v>
      </c>
      <c r="J5" s="5" t="s">
        <v>101</v>
      </c>
      <c r="K5" s="5" t="s">
        <v>89</v>
      </c>
      <c r="L5" s="5" t="s">
        <v>90</v>
      </c>
      <c r="M5" s="5" t="s">
        <v>101</v>
      </c>
      <c r="N5" s="5" t="s">
        <v>89</v>
      </c>
      <c r="O5" s="5" t="s">
        <v>90</v>
      </c>
      <c r="P5" s="5" t="s">
        <v>101</v>
      </c>
      <c r="Q5" s="5" t="s">
        <v>89</v>
      </c>
      <c r="R5" s="5" t="s">
        <v>90</v>
      </c>
      <c r="S5" s="5" t="s">
        <v>101</v>
      </c>
      <c r="T5" s="5" t="s">
        <v>89</v>
      </c>
      <c r="U5" s="5" t="s">
        <v>90</v>
      </c>
      <c r="V5" s="5" t="s">
        <v>101</v>
      </c>
      <c r="W5" s="5" t="s">
        <v>89</v>
      </c>
      <c r="X5" s="5" t="s">
        <v>90</v>
      </c>
      <c r="Y5" s="5" t="s">
        <v>101</v>
      </c>
      <c r="Z5" s="5" t="s">
        <v>89</v>
      </c>
      <c r="AA5" s="5" t="s">
        <v>90</v>
      </c>
      <c r="AB5" s="5" t="s">
        <v>101</v>
      </c>
      <c r="AC5" s="5" t="s">
        <v>89</v>
      </c>
      <c r="AD5" s="5" t="s">
        <v>90</v>
      </c>
      <c r="AE5" s="5" t="s">
        <v>101</v>
      </c>
    </row>
    <row r="6" spans="1:31" x14ac:dyDescent="0.2">
      <c r="A6" s="12" t="s">
        <v>102</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103</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104</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105</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106</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107</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108</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109</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110</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111</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112</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101</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9"/>
  <sheetViews>
    <sheetView zoomScale="111" workbookViewId="0">
      <selection activeCell="B19" sqref="B19"/>
    </sheetView>
  </sheetViews>
  <sheetFormatPr baseColWidth="10" defaultColWidth="8.83203125" defaultRowHeight="15" x14ac:dyDescent="0.2"/>
  <cols>
    <col min="1" max="1" width="33.5"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113</v>
      </c>
    </row>
    <row r="2" spans="1:14" x14ac:dyDescent="0.2">
      <c r="A2" s="2" t="s">
        <v>114</v>
      </c>
    </row>
    <row r="3" spans="1:14" x14ac:dyDescent="0.2">
      <c r="F3" s="69">
        <v>2025</v>
      </c>
      <c r="G3" s="70"/>
      <c r="H3" s="70"/>
      <c r="I3" s="70"/>
      <c r="J3" s="70"/>
      <c r="K3" s="70"/>
      <c r="L3" s="70"/>
      <c r="M3" s="70"/>
      <c r="N3" s="71"/>
    </row>
    <row r="4" spans="1:14" ht="30" customHeight="1" x14ac:dyDescent="0.2">
      <c r="A4" s="5" t="s">
        <v>115</v>
      </c>
      <c r="B4" s="5" t="s">
        <v>116</v>
      </c>
      <c r="C4" s="5" t="s">
        <v>117</v>
      </c>
      <c r="D4" s="5" t="s">
        <v>92</v>
      </c>
      <c r="E4" s="31" t="s">
        <v>93</v>
      </c>
      <c r="F4" s="34" t="s">
        <v>118</v>
      </c>
      <c r="G4" s="5" t="s">
        <v>119</v>
      </c>
      <c r="H4" s="5" t="s">
        <v>91</v>
      </c>
      <c r="I4" s="5" t="s">
        <v>120</v>
      </c>
      <c r="J4" s="5" t="s">
        <v>121</v>
      </c>
      <c r="K4" s="5" t="s">
        <v>122</v>
      </c>
      <c r="L4" s="5" t="s">
        <v>123</v>
      </c>
      <c r="M4" s="5" t="s">
        <v>96</v>
      </c>
      <c r="N4" s="35" t="s">
        <v>124</v>
      </c>
    </row>
    <row r="5" spans="1:14" x14ac:dyDescent="0.2">
      <c r="A5" s="6" t="s">
        <v>125</v>
      </c>
      <c r="B5" s="7">
        <v>76079</v>
      </c>
      <c r="C5" s="7">
        <v>73638</v>
      </c>
      <c r="D5" s="7">
        <f t="shared" ref="D5:D17" si="0">B5-C5</f>
        <v>2441</v>
      </c>
      <c r="E5" s="32">
        <f t="shared" ref="E5:E17" si="1">IFERROR(D5/C5,"")</f>
        <v>3.3148646079469837E-2</v>
      </c>
      <c r="F5" s="36">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37">
        <v>89</v>
      </c>
    </row>
    <row r="6" spans="1:14" x14ac:dyDescent="0.2">
      <c r="A6" s="6" t="s">
        <v>244</v>
      </c>
      <c r="B6" s="7">
        <v>144501</v>
      </c>
      <c r="C6" s="7">
        <v>138837</v>
      </c>
      <c r="D6" s="7">
        <f t="shared" si="0"/>
        <v>5664</v>
      </c>
      <c r="E6" s="32">
        <f t="shared" si="1"/>
        <v>4.0796041401067441E-2</v>
      </c>
      <c r="F6" s="36">
        <v>92486</v>
      </c>
      <c r="G6" s="7">
        <v>52015</v>
      </c>
      <c r="H6" s="8">
        <f t="shared" si="2"/>
        <v>0.35996290683109461</v>
      </c>
      <c r="I6" s="7">
        <v>9557</v>
      </c>
      <c r="J6" s="7">
        <v>63445</v>
      </c>
      <c r="K6" s="7">
        <v>13248928</v>
      </c>
      <c r="L6" s="10">
        <f t="shared" si="3"/>
        <v>10.906618256209105</v>
      </c>
      <c r="M6" s="10">
        <f t="shared" si="4"/>
        <v>845.03508771929819</v>
      </c>
      <c r="N6" s="37">
        <v>171</v>
      </c>
    </row>
    <row r="7" spans="1:14" x14ac:dyDescent="0.2">
      <c r="A7" s="6" t="s">
        <v>253</v>
      </c>
      <c r="B7" s="7">
        <v>27777</v>
      </c>
      <c r="C7" s="7">
        <v>24022</v>
      </c>
      <c r="D7" s="7">
        <f t="shared" si="0"/>
        <v>3755</v>
      </c>
      <c r="E7" s="32">
        <f t="shared" si="1"/>
        <v>0.1563150445425027</v>
      </c>
      <c r="F7" s="36">
        <v>18775</v>
      </c>
      <c r="G7" s="7">
        <v>9002</v>
      </c>
      <c r="H7" s="8">
        <f t="shared" si="2"/>
        <v>0.32408107427007954</v>
      </c>
      <c r="I7" s="7">
        <v>1774</v>
      </c>
      <c r="J7" s="7">
        <v>11155</v>
      </c>
      <c r="K7" s="7">
        <v>6242012</v>
      </c>
      <c r="L7" s="10">
        <f t="shared" si="3"/>
        <v>4.4500074655415593</v>
      </c>
      <c r="M7" s="10">
        <f t="shared" si="4"/>
        <v>1461.9473684210527</v>
      </c>
      <c r="N7" s="37">
        <v>19</v>
      </c>
    </row>
    <row r="8" spans="1:14" x14ac:dyDescent="0.2">
      <c r="A8" s="6" t="s">
        <v>128</v>
      </c>
      <c r="B8" s="7">
        <v>22099</v>
      </c>
      <c r="C8" s="7">
        <v>21615</v>
      </c>
      <c r="D8" s="7">
        <f t="shared" si="0"/>
        <v>484</v>
      </c>
      <c r="E8" s="32">
        <f t="shared" si="1"/>
        <v>2.2391857506361322E-2</v>
      </c>
      <c r="F8" s="36">
        <v>13936</v>
      </c>
      <c r="G8" s="7">
        <v>8163</v>
      </c>
      <c r="H8" s="8">
        <f t="shared" si="2"/>
        <v>0.36938323001040774</v>
      </c>
      <c r="I8" s="7">
        <v>2351</v>
      </c>
      <c r="J8" s="7">
        <v>9527</v>
      </c>
      <c r="K8" s="7">
        <v>1862565</v>
      </c>
      <c r="L8" s="10">
        <f t="shared" si="3"/>
        <v>11.864820825045031</v>
      </c>
      <c r="M8" s="10">
        <f t="shared" si="4"/>
        <v>1163.1052631578948</v>
      </c>
      <c r="N8" s="37">
        <v>19</v>
      </c>
    </row>
    <row r="9" spans="1:14" x14ac:dyDescent="0.2">
      <c r="A9" s="6" t="s">
        <v>245</v>
      </c>
      <c r="B9" s="7">
        <v>49741</v>
      </c>
      <c r="C9" s="7">
        <v>48284</v>
      </c>
      <c r="D9" s="7">
        <f t="shared" si="0"/>
        <v>1457</v>
      </c>
      <c r="E9" s="32">
        <f t="shared" si="1"/>
        <v>3.0175627537072321E-2</v>
      </c>
      <c r="F9" s="36">
        <v>32266</v>
      </c>
      <c r="G9" s="7">
        <v>17475</v>
      </c>
      <c r="H9" s="8">
        <f t="shared" si="2"/>
        <v>0.35131983675438772</v>
      </c>
      <c r="I9" s="7">
        <v>3830</v>
      </c>
      <c r="J9" s="7">
        <v>22652</v>
      </c>
      <c r="K9" s="7">
        <v>6280793</v>
      </c>
      <c r="L9" s="10">
        <f t="shared" si="3"/>
        <v>7.9195413700149011</v>
      </c>
      <c r="M9" s="10">
        <f t="shared" si="4"/>
        <v>938.5094339622641</v>
      </c>
      <c r="N9" s="37">
        <v>53</v>
      </c>
    </row>
    <row r="10" spans="1:14" x14ac:dyDescent="0.2">
      <c r="A10" s="6" t="s">
        <v>130</v>
      </c>
      <c r="B10" s="7">
        <v>18752</v>
      </c>
      <c r="C10" s="7">
        <v>17152</v>
      </c>
      <c r="D10" s="7">
        <f t="shared" si="0"/>
        <v>1600</v>
      </c>
      <c r="E10" s="32">
        <f t="shared" si="1"/>
        <v>9.3283582089552244E-2</v>
      </c>
      <c r="F10" s="36">
        <v>12251</v>
      </c>
      <c r="G10" s="7">
        <v>6501</v>
      </c>
      <c r="H10" s="8">
        <f t="shared" si="2"/>
        <v>0.34668302047781568</v>
      </c>
      <c r="I10" s="7">
        <v>557</v>
      </c>
      <c r="J10" s="7">
        <v>7183</v>
      </c>
      <c r="K10" s="7">
        <v>1573597</v>
      </c>
      <c r="L10" s="10">
        <f t="shared" si="3"/>
        <v>11.916647019535498</v>
      </c>
      <c r="M10" s="10">
        <f t="shared" si="4"/>
        <v>1103.0588235294117</v>
      </c>
      <c r="N10" s="37">
        <v>17</v>
      </c>
    </row>
    <row r="11" spans="1:14" x14ac:dyDescent="0.2">
      <c r="A11" s="6" t="s">
        <v>246</v>
      </c>
      <c r="B11" s="7">
        <v>78772</v>
      </c>
      <c r="C11" s="7">
        <v>72383</v>
      </c>
      <c r="D11" s="7">
        <f t="shared" si="0"/>
        <v>6389</v>
      </c>
      <c r="E11" s="32">
        <f t="shared" si="1"/>
        <v>8.8266581932221658E-2</v>
      </c>
      <c r="F11" s="36">
        <v>52184</v>
      </c>
      <c r="G11" s="7">
        <v>26588</v>
      </c>
      <c r="H11" s="8">
        <f t="shared" si="2"/>
        <v>0.33753110242218048</v>
      </c>
      <c r="I11" s="7">
        <v>4131</v>
      </c>
      <c r="J11" s="7">
        <v>35353</v>
      </c>
      <c r="K11" s="7">
        <v>8709370</v>
      </c>
      <c r="L11" s="10">
        <f t="shared" si="3"/>
        <v>9.044511830362012</v>
      </c>
      <c r="M11" s="10">
        <f t="shared" si="4"/>
        <v>1009.8974358974359</v>
      </c>
      <c r="N11" s="37">
        <v>78</v>
      </c>
    </row>
    <row r="12" spans="1:14" x14ac:dyDescent="0.2">
      <c r="A12" s="6" t="s">
        <v>247</v>
      </c>
      <c r="B12" s="7">
        <v>144750</v>
      </c>
      <c r="C12" s="7">
        <v>134637</v>
      </c>
      <c r="D12" s="7">
        <f t="shared" si="0"/>
        <v>10113</v>
      </c>
      <c r="E12" s="32">
        <f t="shared" si="1"/>
        <v>7.5113081842287044E-2</v>
      </c>
      <c r="F12" s="36">
        <v>94837</v>
      </c>
      <c r="G12" s="7">
        <v>49913</v>
      </c>
      <c r="H12" s="8">
        <f t="shared" si="2"/>
        <v>0.34482210708117444</v>
      </c>
      <c r="I12" s="7">
        <v>8113</v>
      </c>
      <c r="J12" s="7">
        <v>67040</v>
      </c>
      <c r="K12" s="7">
        <v>18034454</v>
      </c>
      <c r="L12" s="10">
        <f t="shared" si="3"/>
        <v>8.0263034300899836</v>
      </c>
      <c r="M12" s="10">
        <f>IFERROR(B12/N12,"")</f>
        <v>921.97452229299358</v>
      </c>
      <c r="N12" s="37">
        <v>157</v>
      </c>
    </row>
    <row r="13" spans="1:14" x14ac:dyDescent="0.2">
      <c r="A13" s="6" t="s">
        <v>248</v>
      </c>
      <c r="B13" s="7">
        <v>30113</v>
      </c>
      <c r="C13" s="7">
        <v>28298</v>
      </c>
      <c r="D13" s="7">
        <f t="shared" si="0"/>
        <v>1815</v>
      </c>
      <c r="E13" s="32">
        <f t="shared" si="1"/>
        <v>6.4138808396353095E-2</v>
      </c>
      <c r="F13" s="36">
        <v>19803</v>
      </c>
      <c r="G13" s="7">
        <v>10310</v>
      </c>
      <c r="H13" s="8">
        <f t="shared" si="2"/>
        <v>0.34237704645834027</v>
      </c>
      <c r="I13" s="7">
        <v>1877</v>
      </c>
      <c r="J13" s="7">
        <v>14337</v>
      </c>
      <c r="K13" s="7">
        <v>5141710</v>
      </c>
      <c r="L13" s="10">
        <f t="shared" si="3"/>
        <v>5.8566119053777825</v>
      </c>
      <c r="M13" s="10">
        <f t="shared" si="4"/>
        <v>772.12820512820508</v>
      </c>
      <c r="N13" s="37">
        <v>39</v>
      </c>
    </row>
    <row r="14" spans="1:14" x14ac:dyDescent="0.2">
      <c r="A14" s="6" t="s">
        <v>250</v>
      </c>
      <c r="B14" s="7">
        <v>2168</v>
      </c>
      <c r="C14" s="7">
        <v>1601</v>
      </c>
      <c r="D14" s="7">
        <f t="shared" si="0"/>
        <v>567</v>
      </c>
      <c r="E14" s="32">
        <f>IFERROR(D14/C14,"")</f>
        <v>0.35415365396627108</v>
      </c>
      <c r="F14" s="36">
        <v>1113</v>
      </c>
      <c r="G14" s="7">
        <v>1055</v>
      </c>
      <c r="H14" s="8">
        <f t="shared" si="2"/>
        <v>0.48662361623616235</v>
      </c>
      <c r="I14" s="7">
        <v>172</v>
      </c>
      <c r="J14" s="7">
        <v>679</v>
      </c>
      <c r="K14" s="7">
        <v>2135597</v>
      </c>
      <c r="L14" s="10">
        <f t="shared" si="3"/>
        <v>1.0151728064798742</v>
      </c>
      <c r="M14" s="10">
        <f t="shared" si="4"/>
        <v>433.6</v>
      </c>
      <c r="N14" s="37">
        <v>5</v>
      </c>
    </row>
    <row r="15" spans="1:14" x14ac:dyDescent="0.2">
      <c r="A15" s="6" t="s">
        <v>249</v>
      </c>
      <c r="B15" s="7">
        <v>13696</v>
      </c>
      <c r="C15" s="7">
        <v>11727</v>
      </c>
      <c r="D15" s="7">
        <f t="shared" si="0"/>
        <v>1969</v>
      </c>
      <c r="E15" s="32">
        <f t="shared" si="1"/>
        <v>0.16790312953014411</v>
      </c>
      <c r="F15" s="36">
        <v>9222</v>
      </c>
      <c r="G15" s="7">
        <v>4474</v>
      </c>
      <c r="H15" s="8">
        <f t="shared" si="2"/>
        <v>0.32666471962616822</v>
      </c>
      <c r="I15" s="7">
        <v>835</v>
      </c>
      <c r="J15" s="7">
        <v>4784</v>
      </c>
      <c r="K15" s="7">
        <v>6142699</v>
      </c>
      <c r="L15" s="10">
        <f t="shared" si="3"/>
        <v>2.2296387955848074</v>
      </c>
      <c r="M15" s="10">
        <f t="shared" si="4"/>
        <v>652.19047619047615</v>
      </c>
      <c r="N15" s="37">
        <v>21</v>
      </c>
    </row>
    <row r="16" spans="1:14" x14ac:dyDescent="0.2">
      <c r="A16" s="6" t="s">
        <v>136</v>
      </c>
      <c r="B16" s="7">
        <v>54471</v>
      </c>
      <c r="C16" s="7">
        <v>48255</v>
      </c>
      <c r="D16" s="7">
        <f t="shared" si="0"/>
        <v>6216</v>
      </c>
      <c r="E16" s="32">
        <f t="shared" si="1"/>
        <v>0.12881566677028286</v>
      </c>
      <c r="F16" s="36">
        <v>35144</v>
      </c>
      <c r="G16" s="7">
        <v>19327</v>
      </c>
      <c r="H16" s="8">
        <f t="shared" si="2"/>
        <v>0.35481265260413797</v>
      </c>
      <c r="I16" s="7">
        <v>3399</v>
      </c>
      <c r="J16" s="7">
        <v>24189</v>
      </c>
      <c r="K16" s="7">
        <v>2959517</v>
      </c>
      <c r="L16" s="10">
        <f t="shared" si="3"/>
        <v>18.405368173252594</v>
      </c>
      <c r="M16" s="10">
        <f t="shared" si="4"/>
        <v>1027.7547169811321</v>
      </c>
      <c r="N16" s="37">
        <v>53</v>
      </c>
    </row>
    <row r="17" spans="1:14" x14ac:dyDescent="0.2">
      <c r="A17" s="6" t="s">
        <v>137</v>
      </c>
      <c r="B17" s="7">
        <v>32698</v>
      </c>
      <c r="C17" s="7">
        <v>22709</v>
      </c>
      <c r="D17" s="7">
        <f t="shared" si="0"/>
        <v>9989</v>
      </c>
      <c r="E17" s="32">
        <f t="shared" si="1"/>
        <v>0.43986965520278304</v>
      </c>
      <c r="F17" s="36">
        <v>23337</v>
      </c>
      <c r="G17" s="7">
        <v>9361</v>
      </c>
      <c r="H17" s="8">
        <f t="shared" si="2"/>
        <v>0.28628662303504804</v>
      </c>
      <c r="I17" s="7">
        <v>310</v>
      </c>
      <c r="J17" s="7">
        <v>8930</v>
      </c>
      <c r="K17" s="7" t="s">
        <v>138</v>
      </c>
      <c r="L17" s="10" t="s">
        <v>138</v>
      </c>
      <c r="M17" s="10" t="s">
        <v>138</v>
      </c>
      <c r="N17" s="38" t="s">
        <v>138</v>
      </c>
    </row>
    <row r="18" spans="1:14" x14ac:dyDescent="0.2">
      <c r="A18" s="13" t="s">
        <v>101</v>
      </c>
      <c r="B18" s="14">
        <f>SUM(B5:B17)</f>
        <v>695617</v>
      </c>
      <c r="C18" s="14">
        <f>SUM(C5:C17)</f>
        <v>643158</v>
      </c>
      <c r="D18" s="14">
        <f>SUM(D5:D17)</f>
        <v>52459</v>
      </c>
      <c r="E18" s="33">
        <f>D18/C18</f>
        <v>8.1564716601519371E-2</v>
      </c>
      <c r="F18" s="39">
        <f>SUM(F5:F17)</f>
        <v>454062</v>
      </c>
      <c r="G18" s="40">
        <f>SUM(G5:G17)</f>
        <v>241555</v>
      </c>
      <c r="H18" s="41">
        <f t="shared" si="2"/>
        <v>0.34725287047326331</v>
      </c>
      <c r="I18" s="40">
        <f>SUM(I5:I17)</f>
        <v>42798</v>
      </c>
      <c r="J18" s="40">
        <f>SUM(J5:J17)</f>
        <v>306153</v>
      </c>
      <c r="K18" s="42"/>
      <c r="L18" s="43"/>
      <c r="M18" s="43"/>
      <c r="N18" s="44"/>
    </row>
    <row r="20" spans="1:14" x14ac:dyDescent="0.2">
      <c r="A20" s="2" t="s">
        <v>139</v>
      </c>
    </row>
    <row r="22" spans="1:14" x14ac:dyDescent="0.2">
      <c r="A22" s="2" t="s">
        <v>236</v>
      </c>
    </row>
    <row r="23" spans="1:14" x14ac:dyDescent="0.2">
      <c r="A23" s="2" t="s">
        <v>237</v>
      </c>
    </row>
    <row r="24" spans="1:14" x14ac:dyDescent="0.2">
      <c r="A24" s="2" t="s">
        <v>238</v>
      </c>
    </row>
    <row r="25" spans="1:14" x14ac:dyDescent="0.2">
      <c r="A25" s="2" t="s">
        <v>239</v>
      </c>
    </row>
    <row r="28" spans="1:14" x14ac:dyDescent="0.2">
      <c r="A28" s="16" t="s">
        <v>240</v>
      </c>
    </row>
    <row r="29" spans="1:14" x14ac:dyDescent="0.2">
      <c r="A29" s="2" t="s">
        <v>241</v>
      </c>
    </row>
    <row r="30" spans="1:14" ht="60" x14ac:dyDescent="0.2">
      <c r="A30" s="5" t="s">
        <v>242</v>
      </c>
      <c r="B30" s="5" t="s">
        <v>243</v>
      </c>
      <c r="C30" s="5" t="s">
        <v>116</v>
      </c>
      <c r="D30" s="5" t="s">
        <v>122</v>
      </c>
      <c r="E30" s="5" t="s">
        <v>273</v>
      </c>
      <c r="F30" s="5" t="s">
        <v>123</v>
      </c>
      <c r="G30" s="5" t="s">
        <v>221</v>
      </c>
    </row>
    <row r="31" spans="1:14" x14ac:dyDescent="0.2">
      <c r="A31" t="s">
        <v>125</v>
      </c>
      <c r="B31" t="s">
        <v>125</v>
      </c>
      <c r="C31" s="7">
        <f>B5</f>
        <v>76079</v>
      </c>
      <c r="D31" s="7">
        <f t="shared" ref="D31:D33" si="5">K5</f>
        <v>11245898</v>
      </c>
      <c r="E31" s="7">
        <f>MAX(0,('01_Timeseries'!$B$14/83577140*1000-F31)*D31/1000)</f>
        <v>17521.209687314018</v>
      </c>
      <c r="F31" s="10">
        <f>L5</f>
        <v>6.7650444633234272</v>
      </c>
      <c r="G31" s="16">
        <f>E5</f>
        <v>3.3148646079469837E-2</v>
      </c>
    </row>
    <row r="32" spans="1:14" x14ac:dyDescent="0.2">
      <c r="A32" t="s">
        <v>244</v>
      </c>
      <c r="B32" t="s">
        <v>126</v>
      </c>
      <c r="C32" s="7">
        <f>B6</f>
        <v>144501</v>
      </c>
      <c r="D32" s="7">
        <f t="shared" si="5"/>
        <v>13248928</v>
      </c>
      <c r="E32" s="7">
        <f>MAX(0,('01_Timeseries'!$B$14/83577140*1000-F32)*D32/1000)</f>
        <v>0</v>
      </c>
      <c r="F32" s="10">
        <f>L6</f>
        <v>10.906618256209105</v>
      </c>
      <c r="G32" s="16">
        <f>E6</f>
        <v>4.0796041401067441E-2</v>
      </c>
    </row>
    <row r="33" spans="1:7" x14ac:dyDescent="0.2">
      <c r="A33" t="s">
        <v>277</v>
      </c>
      <c r="B33" t="s">
        <v>127</v>
      </c>
      <c r="C33" s="7">
        <f>B7</f>
        <v>27777</v>
      </c>
      <c r="D33" s="7">
        <f t="shared" si="5"/>
        <v>6242012</v>
      </c>
      <c r="E33" s="7">
        <f>MAX(0,('01_Timeseries'!$B$14/83577140*1000-F33)*D33/1000)</f>
        <v>24175.599256255959</v>
      </c>
      <c r="F33" s="10">
        <f>L7</f>
        <v>4.4500074655415593</v>
      </c>
      <c r="G33" s="16">
        <f>E7</f>
        <v>0.1563150445425027</v>
      </c>
    </row>
    <row r="34" spans="1:7" x14ac:dyDescent="0.2">
      <c r="A34" t="s">
        <v>278</v>
      </c>
      <c r="B34" t="s">
        <v>127</v>
      </c>
      <c r="C34" s="7">
        <f>B7</f>
        <v>27777</v>
      </c>
      <c r="D34" s="7">
        <f>K7</f>
        <v>6242012</v>
      </c>
      <c r="E34" s="7">
        <f>MAX(0,('01_Timeseries'!$B$14/83577140*1000-F34)*D34/1000)</f>
        <v>24175.599256255959</v>
      </c>
      <c r="F34" s="10">
        <f>L7</f>
        <v>4.4500074655415593</v>
      </c>
      <c r="G34" s="16">
        <f>E7</f>
        <v>0.1563150445425027</v>
      </c>
    </row>
    <row r="35" spans="1:7" x14ac:dyDescent="0.2">
      <c r="A35" t="s">
        <v>279</v>
      </c>
      <c r="B35" t="s">
        <v>131</v>
      </c>
      <c r="C35" s="7">
        <f>B11</f>
        <v>78772</v>
      </c>
      <c r="D35" s="7">
        <f>K11</f>
        <v>8709370</v>
      </c>
      <c r="E35" s="7">
        <f>MAX(0,('01_Timeseries'!$B$14/83577140*1000-F35)*D35/1000)</f>
        <v>0</v>
      </c>
      <c r="F35" s="10">
        <f>L11</f>
        <v>9.044511830362012</v>
      </c>
      <c r="G35" s="16">
        <f>E11</f>
        <v>8.8266581932221658E-2</v>
      </c>
    </row>
    <row r="36" spans="1:7" x14ac:dyDescent="0.2">
      <c r="A36" t="s">
        <v>128</v>
      </c>
      <c r="B36" t="s">
        <v>128</v>
      </c>
      <c r="C36" s="7">
        <f>B8</f>
        <v>22099</v>
      </c>
      <c r="D36" s="7">
        <f>K8</f>
        <v>1862565</v>
      </c>
      <c r="E36" s="7">
        <f>MAX(0,('01_Timeseries'!$B$14/83577140*1000-F36)*D36/1000)</f>
        <v>0</v>
      </c>
      <c r="F36" s="10">
        <f>L8</f>
        <v>11.864820825045031</v>
      </c>
      <c r="G36" s="16">
        <f>E8</f>
        <v>2.2391857506361322E-2</v>
      </c>
    </row>
    <row r="37" spans="1:7" x14ac:dyDescent="0.2">
      <c r="A37" t="s">
        <v>245</v>
      </c>
      <c r="B37" t="s">
        <v>129</v>
      </c>
      <c r="C37" s="7">
        <f>B9</f>
        <v>49741</v>
      </c>
      <c r="D37" s="7">
        <f>K9</f>
        <v>6280793</v>
      </c>
      <c r="E37" s="7">
        <f>MAX(0,('01_Timeseries'!$B$14/83577140*1000-F37)*D37/1000)</f>
        <v>2534.3755905143462</v>
      </c>
      <c r="F37" s="10">
        <f>L9</f>
        <v>7.9195413700149011</v>
      </c>
      <c r="G37" s="16">
        <f>E9</f>
        <v>3.0175627537072321E-2</v>
      </c>
    </row>
    <row r="38" spans="1:7" x14ac:dyDescent="0.2">
      <c r="A38" t="s">
        <v>246</v>
      </c>
      <c r="B38" t="s">
        <v>131</v>
      </c>
      <c r="C38" s="7">
        <f>B11</f>
        <v>78772</v>
      </c>
      <c r="D38" s="7">
        <f>K11</f>
        <v>8709370</v>
      </c>
      <c r="E38" s="7">
        <f>MAX(0,('01_Timeseries'!$B$14/83577140*1000-F38)*D38/1000)</f>
        <v>0</v>
      </c>
      <c r="F38" s="10">
        <f>L11</f>
        <v>9.044511830362012</v>
      </c>
      <c r="G38" s="16">
        <f>E11</f>
        <v>8.8266581932221658E-2</v>
      </c>
    </row>
    <row r="39" spans="1:7" x14ac:dyDescent="0.2">
      <c r="A39" t="s">
        <v>130</v>
      </c>
      <c r="B39" t="s">
        <v>130</v>
      </c>
      <c r="C39" s="7">
        <f>B10</f>
        <v>18752</v>
      </c>
      <c r="D39" s="7">
        <f>K10</f>
        <v>1573597</v>
      </c>
      <c r="E39" s="7">
        <f>MAX(0,('01_Timeseries'!$B$14/83577140*1000-F39)*D39/1000)</f>
        <v>0</v>
      </c>
      <c r="F39" s="10">
        <f>L10</f>
        <v>11.916647019535498</v>
      </c>
      <c r="G39" s="16">
        <f>E10</f>
        <v>9.3283582089552244E-2</v>
      </c>
    </row>
    <row r="40" spans="1:7" x14ac:dyDescent="0.2">
      <c r="A40" t="s">
        <v>247</v>
      </c>
      <c r="B40" t="s">
        <v>132</v>
      </c>
      <c r="C40" s="7">
        <f>B12</f>
        <v>144750</v>
      </c>
      <c r="D40" s="7">
        <f>K12</f>
        <v>18034454</v>
      </c>
      <c r="E40" s="7">
        <f>MAX(0,('01_Timeseries'!$B$14/83577140*1000-F40)*D40/1000)</f>
        <v>5351.7238459942337</v>
      </c>
      <c r="F40" s="10">
        <f>L12</f>
        <v>8.0263034300899836</v>
      </c>
      <c r="G40" s="16">
        <f>E12</f>
        <v>7.5113081842287044E-2</v>
      </c>
    </row>
    <row r="41" spans="1:7" x14ac:dyDescent="0.2">
      <c r="A41" t="s">
        <v>248</v>
      </c>
      <c r="B41" t="s">
        <v>133</v>
      </c>
      <c r="C41" s="7">
        <f>B13</f>
        <v>30113</v>
      </c>
      <c r="D41" s="7">
        <f>K13</f>
        <v>5141710</v>
      </c>
      <c r="E41" s="7">
        <f>MAX(0,('01_Timeseries'!$B$14/83577140*1000-F41)*D41/1000)</f>
        <v>12681.726944114149</v>
      </c>
      <c r="F41" s="10">
        <f>L13</f>
        <v>5.8566119053777825</v>
      </c>
      <c r="G41" s="16">
        <f>E13</f>
        <v>6.4138808396353095E-2</v>
      </c>
    </row>
    <row r="42" spans="1:7" x14ac:dyDescent="0.2">
      <c r="A42" t="s">
        <v>280</v>
      </c>
      <c r="B42" t="s">
        <v>133</v>
      </c>
      <c r="C42" s="7">
        <f>B13</f>
        <v>30113</v>
      </c>
      <c r="D42" s="7">
        <f>K13</f>
        <v>5141710</v>
      </c>
      <c r="E42" s="7">
        <f>MAX(0,('01_Timeseries'!$B$14/83577140*1000-F42)*D42/1000)</f>
        <v>12681.726944114149</v>
      </c>
      <c r="F42" s="10">
        <f>L13</f>
        <v>5.8566119053777825</v>
      </c>
      <c r="G42" s="16">
        <f>E13</f>
        <v>6.4138808396353095E-2</v>
      </c>
    </row>
    <row r="43" spans="1:7" x14ac:dyDescent="0.2">
      <c r="A43" t="s">
        <v>249</v>
      </c>
      <c r="B43" t="s">
        <v>135</v>
      </c>
      <c r="C43" s="7">
        <f>B15</f>
        <v>13696</v>
      </c>
      <c r="D43" s="7">
        <f>K15</f>
        <v>6142699</v>
      </c>
      <c r="E43" s="7">
        <f>MAX(0,('01_Timeseries'!$B$14/83577140*1000-F43)*D43/1000)</f>
        <v>37430.011853037802</v>
      </c>
      <c r="F43" s="10">
        <f>L15</f>
        <v>2.2296387955848074</v>
      </c>
      <c r="G43" s="16">
        <f>E15</f>
        <v>0.16790312953014411</v>
      </c>
    </row>
    <row r="44" spans="1:7" x14ac:dyDescent="0.2">
      <c r="A44" t="s">
        <v>250</v>
      </c>
      <c r="B44" t="s">
        <v>134</v>
      </c>
      <c r="C44" s="7">
        <f>B14</f>
        <v>2168</v>
      </c>
      <c r="D44" s="7">
        <f>K14</f>
        <v>2135597</v>
      </c>
      <c r="E44" s="7">
        <f>MAX(0,('01_Timeseries'!$B$14/83577140*1000-F44)*D44/1000)</f>
        <v>15606.68789131813</v>
      </c>
      <c r="F44" s="10">
        <f>L14</f>
        <v>1.0151728064798742</v>
      </c>
      <c r="G44" s="16">
        <f>E14</f>
        <v>0.35415365396627108</v>
      </c>
    </row>
    <row r="45" spans="1:7" x14ac:dyDescent="0.2">
      <c r="A45" t="s">
        <v>136</v>
      </c>
      <c r="B45" t="s">
        <v>136</v>
      </c>
      <c r="C45" s="7">
        <f>B16</f>
        <v>54471</v>
      </c>
      <c r="D45" s="7">
        <f>K16</f>
        <v>2959517</v>
      </c>
      <c r="E45" s="7">
        <f>MAX(0,('01_Timeseries'!$B$14/83577140*1000-F45)*D45/1000)</f>
        <v>0</v>
      </c>
      <c r="F45" s="10">
        <f>L16</f>
        <v>18.405368173252594</v>
      </c>
      <c r="G45" s="16">
        <f>E16</f>
        <v>0.12881566677028286</v>
      </c>
    </row>
    <row r="46" spans="1:7" x14ac:dyDescent="0.2">
      <c r="A46" t="s">
        <v>251</v>
      </c>
      <c r="B46" t="s">
        <v>135</v>
      </c>
      <c r="C46" s="7">
        <f>B15</f>
        <v>13696</v>
      </c>
      <c r="D46" s="7">
        <f>K15</f>
        <v>6142699</v>
      </c>
      <c r="E46" s="7">
        <f>MAX(0,('01_Timeseries'!$B$14/83577140*1000-F46)*D46/1000)</f>
        <v>37430.011853037802</v>
      </c>
      <c r="F46" s="10">
        <f>L15</f>
        <v>2.2296387955848074</v>
      </c>
      <c r="G46" s="16">
        <f>E15</f>
        <v>0.16790312953014411</v>
      </c>
    </row>
    <row r="48" spans="1:7" x14ac:dyDescent="0.2">
      <c r="A48" s="2" t="s">
        <v>252</v>
      </c>
    </row>
    <row r="49" spans="1:1" x14ac:dyDescent="0.2">
      <c r="A49" s="2" t="s">
        <v>274</v>
      </c>
    </row>
  </sheetData>
  <mergeCells count="1">
    <mergeCell ref="F3:N3"/>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42"/>
  <sheetViews>
    <sheetView workbookViewId="0">
      <selection activeCell="B38" sqref="B38"/>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140</v>
      </c>
    </row>
    <row r="2" spans="1:9" x14ac:dyDescent="0.2">
      <c r="A2" s="2" t="s">
        <v>141</v>
      </c>
    </row>
    <row r="4" spans="1:9" ht="30" customHeight="1" x14ac:dyDescent="0.2">
      <c r="A4" s="5" t="s">
        <v>142</v>
      </c>
      <c r="B4" s="5" t="s">
        <v>143</v>
      </c>
      <c r="C4" s="5" t="s">
        <v>144</v>
      </c>
      <c r="D4" s="5" t="s">
        <v>145</v>
      </c>
      <c r="E4" s="5" t="s">
        <v>146</v>
      </c>
      <c r="F4" s="5" t="s">
        <v>147</v>
      </c>
      <c r="G4" s="5" t="s">
        <v>148</v>
      </c>
      <c r="H4" s="5" t="s">
        <v>149</v>
      </c>
      <c r="I4" s="5" t="s">
        <v>150</v>
      </c>
    </row>
    <row r="5" spans="1:9" x14ac:dyDescent="0.2">
      <c r="A5" s="6" t="s">
        <v>151</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152</v>
      </c>
      <c r="B6" s="17">
        <v>6.7</v>
      </c>
      <c r="C6" s="17">
        <v>6.56</v>
      </c>
      <c r="D6" s="17">
        <v>6.11</v>
      </c>
      <c r="E6" s="17">
        <v>6.01</v>
      </c>
      <c r="F6" s="17">
        <v>6.16</v>
      </c>
      <c r="G6" s="17">
        <v>6.45</v>
      </c>
      <c r="H6" s="17">
        <v>6.87</v>
      </c>
      <c r="I6" s="9">
        <f t="shared" si="0"/>
        <v>2.5373134328358304E-2</v>
      </c>
    </row>
    <row r="7" spans="1:9" x14ac:dyDescent="0.2">
      <c r="A7" s="6" t="s">
        <v>153</v>
      </c>
      <c r="B7" s="17">
        <v>1.47</v>
      </c>
      <c r="C7" s="17">
        <v>1.55</v>
      </c>
      <c r="D7" s="17">
        <v>1.46</v>
      </c>
      <c r="E7" s="17">
        <v>1.35</v>
      </c>
      <c r="F7" s="17">
        <v>1.32</v>
      </c>
      <c r="G7" s="17">
        <v>1.45</v>
      </c>
      <c r="H7" s="17">
        <v>1.62</v>
      </c>
      <c r="I7" s="9">
        <f t="shared" si="0"/>
        <v>0.10204081632653073</v>
      </c>
    </row>
    <row r="8" spans="1:9" x14ac:dyDescent="0.2">
      <c r="A8" s="6" t="s">
        <v>154</v>
      </c>
      <c r="B8" s="17">
        <v>2.89</v>
      </c>
      <c r="C8" s="17">
        <v>3.04</v>
      </c>
      <c r="D8" s="17">
        <v>3.14</v>
      </c>
      <c r="E8" s="17">
        <v>3.12</v>
      </c>
      <c r="F8" s="17">
        <v>3.27</v>
      </c>
      <c r="G8" s="17">
        <v>3.44</v>
      </c>
      <c r="H8" s="17">
        <v>3.38</v>
      </c>
      <c r="I8" s="9">
        <f t="shared" si="0"/>
        <v>0.16955017301038056</v>
      </c>
    </row>
    <row r="9" spans="1:9" x14ac:dyDescent="0.2">
      <c r="A9" s="6" t="s">
        <v>155</v>
      </c>
      <c r="B9" s="17">
        <v>0.75</v>
      </c>
      <c r="C9" s="17">
        <v>0.81</v>
      </c>
      <c r="D9" s="17">
        <v>0.87</v>
      </c>
      <c r="E9" s="17">
        <v>0.87</v>
      </c>
      <c r="F9" s="17">
        <v>0.9</v>
      </c>
      <c r="G9" s="17">
        <v>0.91</v>
      </c>
      <c r="H9" s="17">
        <v>0.9</v>
      </c>
      <c r="I9" s="9">
        <f t="shared" si="0"/>
        <v>0.19999999999999996</v>
      </c>
    </row>
    <row r="10" spans="1:9" x14ac:dyDescent="0.2">
      <c r="A10" s="6" t="s">
        <v>156</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157</v>
      </c>
    </row>
    <row r="14" spans="1:9" ht="30" customHeight="1" x14ac:dyDescent="0.2">
      <c r="A14" s="5" t="s">
        <v>158</v>
      </c>
      <c r="B14" s="5" t="s">
        <v>159</v>
      </c>
    </row>
    <row r="15" spans="1:9" x14ac:dyDescent="0.2">
      <c r="A15" s="6" t="s">
        <v>160</v>
      </c>
      <c r="B15" s="19">
        <f>H6/H10</f>
        <v>9.8706896551724146</v>
      </c>
    </row>
    <row r="16" spans="1:9" x14ac:dyDescent="0.2">
      <c r="A16" s="6" t="s">
        <v>161</v>
      </c>
      <c r="B16" s="19">
        <f>H8/H10</f>
        <v>4.8563218390804597</v>
      </c>
    </row>
    <row r="17" spans="1:2" x14ac:dyDescent="0.2">
      <c r="A17" s="6" t="s">
        <v>162</v>
      </c>
      <c r="B17" s="16">
        <f>H10/H6</f>
        <v>0.10131004366812227</v>
      </c>
    </row>
    <row r="18" spans="1:2" x14ac:dyDescent="0.2">
      <c r="A18" s="6" t="s">
        <v>163</v>
      </c>
      <c r="B18" s="16">
        <f>H10/H8</f>
        <v>0.2059171597633136</v>
      </c>
    </row>
    <row r="19" spans="1:2" x14ac:dyDescent="0.2">
      <c r="A19" s="6" t="s">
        <v>164</v>
      </c>
      <c r="B19" s="19">
        <f>H6-H8</f>
        <v>3.49</v>
      </c>
    </row>
    <row r="20" spans="1:2" x14ac:dyDescent="0.2">
      <c r="A20" s="6" t="s">
        <v>165</v>
      </c>
      <c r="B20" s="19">
        <f>H8-H10</f>
        <v>2.6840000000000002</v>
      </c>
    </row>
    <row r="22" spans="1:2" x14ac:dyDescent="0.2">
      <c r="A22" s="2" t="s">
        <v>166</v>
      </c>
    </row>
    <row r="24" spans="1:2" x14ac:dyDescent="0.2">
      <c r="A24" s="18" t="s">
        <v>167</v>
      </c>
    </row>
    <row r="25" spans="1:2" x14ac:dyDescent="0.2">
      <c r="A25" s="2" t="s">
        <v>168</v>
      </c>
    </row>
    <row r="26" spans="1:2" ht="18" customHeight="1" x14ac:dyDescent="0.2">
      <c r="A26" s="5" t="s">
        <v>169</v>
      </c>
      <c r="B26" s="5" t="s">
        <v>170</v>
      </c>
    </row>
    <row r="27" spans="1:2" x14ac:dyDescent="0.2">
      <c r="A27" s="6" t="s">
        <v>151</v>
      </c>
      <c r="B27" s="17">
        <f>H5</f>
        <v>69.13</v>
      </c>
    </row>
    <row r="28" spans="1:2" x14ac:dyDescent="0.2">
      <c r="A28" s="6" t="s">
        <v>171</v>
      </c>
      <c r="B28" s="17">
        <f>H6</f>
        <v>6.87</v>
      </c>
    </row>
    <row r="29" spans="1:2" x14ac:dyDescent="0.2">
      <c r="A29" s="6" t="s">
        <v>172</v>
      </c>
      <c r="B29" s="17">
        <f>H8</f>
        <v>3.38</v>
      </c>
    </row>
    <row r="30" spans="1:2" x14ac:dyDescent="0.2">
      <c r="A30" s="6" t="s">
        <v>173</v>
      </c>
      <c r="B30" s="17">
        <f>H9</f>
        <v>0.9</v>
      </c>
    </row>
    <row r="31" spans="1:2" x14ac:dyDescent="0.2">
      <c r="A31" s="6" t="s">
        <v>174</v>
      </c>
      <c r="B31" s="17">
        <f>H10</f>
        <v>0.69599999999999995</v>
      </c>
    </row>
    <row r="33" spans="1:8" x14ac:dyDescent="0.2">
      <c r="A33" s="18" t="s">
        <v>264</v>
      </c>
    </row>
    <row r="34" spans="1:8" x14ac:dyDescent="0.2">
      <c r="A34" s="2" t="s">
        <v>265</v>
      </c>
    </row>
    <row r="35" spans="1:8" x14ac:dyDescent="0.2">
      <c r="A35" s="5" t="s">
        <v>266</v>
      </c>
      <c r="B35" s="5">
        <v>2019</v>
      </c>
      <c r="C35" s="5">
        <v>2020</v>
      </c>
      <c r="D35" s="5">
        <v>2021</v>
      </c>
      <c r="E35" s="5">
        <v>2022</v>
      </c>
      <c r="F35" s="5">
        <v>2023</v>
      </c>
      <c r="G35" s="5">
        <v>2024</v>
      </c>
      <c r="H35" s="5">
        <v>2025</v>
      </c>
    </row>
    <row r="36" spans="1:8" x14ac:dyDescent="0.2">
      <c r="A36" s="6" t="s">
        <v>171</v>
      </c>
      <c r="B36" s="12">
        <f t="shared" ref="B36:H36" si="1">B6</f>
        <v>6.7</v>
      </c>
      <c r="C36" s="12">
        <f t="shared" si="1"/>
        <v>6.56</v>
      </c>
      <c r="D36" s="12">
        <f t="shared" si="1"/>
        <v>6.11</v>
      </c>
      <c r="E36" s="12">
        <f t="shared" si="1"/>
        <v>6.01</v>
      </c>
      <c r="F36" s="12">
        <f t="shared" si="1"/>
        <v>6.16</v>
      </c>
      <c r="G36" s="12">
        <f t="shared" si="1"/>
        <v>6.45</v>
      </c>
      <c r="H36" s="12">
        <f t="shared" si="1"/>
        <v>6.87</v>
      </c>
    </row>
    <row r="37" spans="1:8" x14ac:dyDescent="0.2">
      <c r="A37" s="6" t="s">
        <v>172</v>
      </c>
      <c r="B37" s="12">
        <f t="shared" ref="B37:H37" si="2">B8</f>
        <v>2.89</v>
      </c>
      <c r="C37" s="12">
        <f t="shared" si="2"/>
        <v>3.04</v>
      </c>
      <c r="D37" s="12">
        <f t="shared" si="2"/>
        <v>3.14</v>
      </c>
      <c r="E37" s="12">
        <f t="shared" si="2"/>
        <v>3.12</v>
      </c>
      <c r="F37" s="12">
        <f t="shared" si="2"/>
        <v>3.27</v>
      </c>
      <c r="G37" s="12">
        <f t="shared" si="2"/>
        <v>3.44</v>
      </c>
      <c r="H37" s="12">
        <f t="shared" si="2"/>
        <v>3.38</v>
      </c>
    </row>
    <row r="38" spans="1:8" x14ac:dyDescent="0.2">
      <c r="A38" s="6" t="s">
        <v>156</v>
      </c>
      <c r="B38" s="30">
        <f>B10</f>
        <v>0.64300000000000002</v>
      </c>
      <c r="C38" s="12">
        <f t="shared" ref="C38:H38" si="3">C10</f>
        <v>0.65100000000000002</v>
      </c>
      <c r="D38" s="12">
        <f t="shared" si="3"/>
        <v>0.67400000000000004</v>
      </c>
      <c r="E38" s="12">
        <f t="shared" si="3"/>
        <v>0.68300000000000005</v>
      </c>
      <c r="F38" s="12">
        <f t="shared" si="3"/>
        <v>0.68200000000000005</v>
      </c>
      <c r="G38" s="12">
        <f t="shared" si="3"/>
        <v>0.68700000000000006</v>
      </c>
      <c r="H38" s="12">
        <f t="shared" si="3"/>
        <v>0.69599999999999995</v>
      </c>
    </row>
    <row r="39" spans="1:8" x14ac:dyDescent="0.2">
      <c r="A39" s="5" t="s">
        <v>87</v>
      </c>
      <c r="B39" s="5">
        <v>2019</v>
      </c>
      <c r="C39" s="5">
        <v>2020</v>
      </c>
      <c r="D39" s="5">
        <v>2021</v>
      </c>
      <c r="E39" s="5">
        <v>2022</v>
      </c>
      <c r="F39" s="5">
        <v>2023</v>
      </c>
      <c r="G39" s="5">
        <v>2024</v>
      </c>
      <c r="H39" s="5">
        <v>2025</v>
      </c>
    </row>
    <row r="40" spans="1:8" x14ac:dyDescent="0.2">
      <c r="A40" s="6" t="s">
        <v>267</v>
      </c>
      <c r="B40" s="12">
        <f t="shared" ref="B40:H40" si="4">B8-B10</f>
        <v>2.2469999999999999</v>
      </c>
      <c r="C40" s="12">
        <f t="shared" si="4"/>
        <v>2.3890000000000002</v>
      </c>
      <c r="D40" s="12">
        <f t="shared" si="4"/>
        <v>2.4660000000000002</v>
      </c>
      <c r="E40" s="12">
        <f t="shared" si="4"/>
        <v>2.4370000000000003</v>
      </c>
      <c r="F40" s="12">
        <f t="shared" si="4"/>
        <v>2.5880000000000001</v>
      </c>
      <c r="G40" s="12">
        <f t="shared" si="4"/>
        <v>2.7530000000000001</v>
      </c>
      <c r="H40" s="12">
        <f t="shared" si="4"/>
        <v>2.6840000000000002</v>
      </c>
    </row>
    <row r="42" spans="1:8" x14ac:dyDescent="0.2">
      <c r="A42" s="2" t="s">
        <v>268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175</v>
      </c>
    </row>
    <row r="2" spans="1:11" x14ac:dyDescent="0.2">
      <c r="A2" s="2" t="s">
        <v>176</v>
      </c>
    </row>
    <row r="4" spans="1:11" ht="30" customHeight="1" x14ac:dyDescent="0.2">
      <c r="A4" s="5" t="s">
        <v>177</v>
      </c>
      <c r="B4" s="5" t="s">
        <v>122</v>
      </c>
      <c r="C4" s="5" t="s">
        <v>178</v>
      </c>
      <c r="D4" s="5" t="s">
        <v>179</v>
      </c>
      <c r="E4" s="5" t="s">
        <v>180</v>
      </c>
      <c r="F4" s="5" t="s">
        <v>181</v>
      </c>
      <c r="G4" s="5" t="s">
        <v>182</v>
      </c>
      <c r="H4" s="5" t="s">
        <v>183</v>
      </c>
      <c r="I4" s="5" t="s">
        <v>184</v>
      </c>
      <c r="J4" s="5" t="s">
        <v>185</v>
      </c>
      <c r="K4" s="5" t="s">
        <v>186</v>
      </c>
    </row>
    <row r="5" spans="1:11" x14ac:dyDescent="0.2">
      <c r="A5" s="6" t="s">
        <v>187</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188</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189</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190</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191</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192</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193</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194</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195</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196</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197</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198</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199</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200</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201</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202</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203</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204</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128"/>
  <sheetViews>
    <sheetView topLeftCell="A6" zoomScale="110" workbookViewId="0">
      <selection activeCell="B26" sqref="B26"/>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205</v>
      </c>
    </row>
    <row r="2" spans="1:7" x14ac:dyDescent="0.2">
      <c r="A2" s="2" t="s">
        <v>206</v>
      </c>
    </row>
    <row r="4" spans="1:7" x14ac:dyDescent="0.2">
      <c r="A4" s="18" t="s">
        <v>207</v>
      </c>
    </row>
    <row r="5" spans="1:7" ht="30" customHeight="1" x14ac:dyDescent="0.2">
      <c r="A5" s="5" t="s">
        <v>100</v>
      </c>
      <c r="B5" s="5" t="s">
        <v>208</v>
      </c>
      <c r="C5" s="5" t="s">
        <v>149</v>
      </c>
      <c r="D5" s="5" t="s">
        <v>92</v>
      </c>
      <c r="E5" s="5" t="s">
        <v>93</v>
      </c>
      <c r="F5" s="5" t="s">
        <v>209</v>
      </c>
      <c r="G5" s="5" t="s">
        <v>210</v>
      </c>
    </row>
    <row r="6" spans="1:7" x14ac:dyDescent="0.2">
      <c r="A6" s="6" t="s">
        <v>102</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103</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104</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105</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106</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107</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108</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109</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110</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111</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112</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211</v>
      </c>
    </row>
    <row r="20" spans="1:8" ht="30" customHeight="1" x14ac:dyDescent="0.2">
      <c r="A20" s="5" t="s">
        <v>115</v>
      </c>
      <c r="B20" s="5" t="s">
        <v>116</v>
      </c>
      <c r="C20" s="5" t="s">
        <v>122</v>
      </c>
      <c r="D20" s="5" t="s">
        <v>123</v>
      </c>
      <c r="E20" s="5" t="s">
        <v>212</v>
      </c>
      <c r="F20" s="5" t="s">
        <v>91</v>
      </c>
      <c r="G20" s="5" t="s">
        <v>213</v>
      </c>
      <c r="H20" s="5" t="s">
        <v>214</v>
      </c>
    </row>
    <row r="21" spans="1:8" x14ac:dyDescent="0.2">
      <c r="A21" t="s">
        <v>136</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t="s">
        <v>307</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t="s">
        <v>128</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t="s">
        <v>244</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t="s">
        <v>308</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t="s">
        <v>247</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t="s">
        <v>245</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t="s">
        <v>125</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t="s">
        <v>309</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t="s">
        <v>127</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t="s">
        <v>310</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t="s">
        <v>250</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215</v>
      </c>
    </row>
    <row r="36" spans="1:2" x14ac:dyDescent="0.2">
      <c r="A36" s="2" t="s">
        <v>216</v>
      </c>
    </row>
    <row r="37" spans="1:2" ht="28" customHeight="1" x14ac:dyDescent="0.2">
      <c r="A37" s="5" t="s">
        <v>100</v>
      </c>
      <c r="B37" s="5" t="s">
        <v>217</v>
      </c>
    </row>
    <row r="38" spans="1:2" x14ac:dyDescent="0.2">
      <c r="A38" s="6" t="s">
        <v>102</v>
      </c>
      <c r="B38" s="26">
        <f t="shared" ref="B38:B48" si="6">D6</f>
        <v>298</v>
      </c>
    </row>
    <row r="39" spans="1:2" x14ac:dyDescent="0.2">
      <c r="A39" s="6" t="s">
        <v>103</v>
      </c>
      <c r="B39" s="26">
        <f t="shared" si="6"/>
        <v>-2576</v>
      </c>
    </row>
    <row r="40" spans="1:2" x14ac:dyDescent="0.2">
      <c r="A40" s="6" t="s">
        <v>104</v>
      </c>
      <c r="B40" s="26">
        <f t="shared" si="6"/>
        <v>1123</v>
      </c>
    </row>
    <row r="41" spans="1:2" x14ac:dyDescent="0.2">
      <c r="A41" s="6" t="s">
        <v>105</v>
      </c>
      <c r="B41" s="26">
        <f t="shared" si="6"/>
        <v>2145</v>
      </c>
    </row>
    <row r="42" spans="1:2" x14ac:dyDescent="0.2">
      <c r="A42" s="6" t="s">
        <v>106</v>
      </c>
      <c r="B42" s="26">
        <f t="shared" si="6"/>
        <v>12863</v>
      </c>
    </row>
    <row r="43" spans="1:2" x14ac:dyDescent="0.2">
      <c r="A43" s="6" t="s">
        <v>107</v>
      </c>
      <c r="B43" s="26">
        <f t="shared" si="6"/>
        <v>16524</v>
      </c>
    </row>
    <row r="44" spans="1:2" x14ac:dyDescent="0.2">
      <c r="A44" s="6" t="s">
        <v>108</v>
      </c>
      <c r="B44" s="26">
        <f t="shared" si="6"/>
        <v>-3</v>
      </c>
    </row>
    <row r="45" spans="1:2" x14ac:dyDescent="0.2">
      <c r="A45" s="6" t="s">
        <v>109</v>
      </c>
      <c r="B45" s="26">
        <f t="shared" si="6"/>
        <v>-39109</v>
      </c>
    </row>
    <row r="46" spans="1:2" x14ac:dyDescent="0.2">
      <c r="A46" s="6" t="s">
        <v>110</v>
      </c>
      <c r="B46" s="26">
        <f t="shared" si="6"/>
        <v>-18304</v>
      </c>
    </row>
    <row r="47" spans="1:2" x14ac:dyDescent="0.2">
      <c r="A47" s="6" t="s">
        <v>111</v>
      </c>
      <c r="B47" s="26">
        <f t="shared" si="6"/>
        <v>25992</v>
      </c>
    </row>
    <row r="48" spans="1:2" x14ac:dyDescent="0.2">
      <c r="A48" s="6" t="s">
        <v>112</v>
      </c>
      <c r="B48" s="26">
        <f t="shared" si="6"/>
        <v>53506</v>
      </c>
    </row>
    <row r="49" spans="1:2" x14ac:dyDescent="0.2">
      <c r="A49" s="13" t="s">
        <v>101</v>
      </c>
      <c r="B49" s="27">
        <f>SUM(B38:B48)</f>
        <v>52459</v>
      </c>
    </row>
    <row r="51" spans="1:2" x14ac:dyDescent="0.2">
      <c r="A51" s="18" t="s">
        <v>218</v>
      </c>
    </row>
    <row r="52" spans="1:2" x14ac:dyDescent="0.2">
      <c r="A52" s="12" t="s">
        <v>116</v>
      </c>
      <c r="B52" s="14">
        <f>'01_Timeseries'!B14</f>
        <v>695617</v>
      </c>
    </row>
    <row r="53" spans="1:2" x14ac:dyDescent="0.2">
      <c r="A53" s="12" t="s">
        <v>219</v>
      </c>
      <c r="B53" s="27">
        <f>'01_Timeseries'!F14</f>
        <v>8909</v>
      </c>
    </row>
    <row r="54" spans="1:2" x14ac:dyDescent="0.2">
      <c r="A54" s="12" t="s">
        <v>220</v>
      </c>
      <c r="B54" s="15">
        <f>'01_Timeseries'!G14</f>
        <v>1.297349091608078E-2</v>
      </c>
    </row>
    <row r="55" spans="1:2" x14ac:dyDescent="0.2">
      <c r="A55" s="12" t="s">
        <v>221</v>
      </c>
      <c r="B55" s="15">
        <f>'01_Timeseries'!B14/'01_Timeseries'!B5-1</f>
        <v>8.1564716601519427E-2</v>
      </c>
    </row>
    <row r="56" spans="1:2" x14ac:dyDescent="0.2">
      <c r="A56" s="12" t="s">
        <v>222</v>
      </c>
      <c r="B56" s="16">
        <f>'01_Timeseries'!E14</f>
        <v>0.34725287047326331</v>
      </c>
    </row>
    <row r="57" spans="1:2" x14ac:dyDescent="0.2">
      <c r="A57" s="12" t="s">
        <v>223</v>
      </c>
      <c r="B57" s="28">
        <f>('01_Timeseries'!E14-'01_Timeseries'!E5)*100</f>
        <v>-2.0630293539312117</v>
      </c>
    </row>
    <row r="58" spans="1:2" x14ac:dyDescent="0.2">
      <c r="A58" s="12" t="s">
        <v>224</v>
      </c>
      <c r="B58" s="16">
        <f>'02_Age_Gender'!AE16/'01_Timeseries'!B14</f>
        <v>0.4401171909254662</v>
      </c>
    </row>
    <row r="59" spans="1:2" x14ac:dyDescent="0.2">
      <c r="A59" s="12" t="s">
        <v>225</v>
      </c>
      <c r="B59" s="16">
        <f>SUM('02_Age_Gender'!AE6:AE8)/'01_Timeseries'!B14</f>
        <v>6.1525235869738661E-2</v>
      </c>
    </row>
    <row r="60" spans="1:2" x14ac:dyDescent="0.2">
      <c r="A60" s="12" t="s">
        <v>226</v>
      </c>
      <c r="B60" s="15">
        <f>SUM('02_Age_Gender'!AE6:AE8)/SUM('02_Age_Gender'!D6:D8)-1</f>
        <v>-2.6278069756330624E-2</v>
      </c>
    </row>
    <row r="61" spans="1:2" x14ac:dyDescent="0.2">
      <c r="A61" s="12" t="s">
        <v>227</v>
      </c>
      <c r="B61" s="14">
        <f>'01_Timeseries'!I14</f>
        <v>721</v>
      </c>
    </row>
    <row r="62" spans="1:2" x14ac:dyDescent="0.2">
      <c r="A62" s="12" t="s">
        <v>228</v>
      </c>
      <c r="B62" s="24">
        <f>'01_Timeseries'!B14/83577140*1000</f>
        <v>8.3230534091020587</v>
      </c>
    </row>
    <row r="63" spans="1:2" x14ac:dyDescent="0.2">
      <c r="A63" s="12" t="s">
        <v>229</v>
      </c>
      <c r="B63" s="24">
        <f>'04_Funnel'!B15</f>
        <v>9.8706896551724146</v>
      </c>
    </row>
    <row r="64" spans="1:2" x14ac:dyDescent="0.2">
      <c r="A64" s="12" t="s">
        <v>230</v>
      </c>
      <c r="B64" s="19">
        <f>'04_Funnel'!B19</f>
        <v>3.49</v>
      </c>
    </row>
    <row r="65" spans="1:3" x14ac:dyDescent="0.2">
      <c r="A65" s="12" t="s">
        <v>231</v>
      </c>
      <c r="B65" s="24">
        <f>'05_Europe'!H6</f>
        <v>53.307071937218645</v>
      </c>
    </row>
    <row r="67" spans="1:3" x14ac:dyDescent="0.2">
      <c r="A67" s="16" t="s">
        <v>255</v>
      </c>
    </row>
    <row r="68" spans="1:3" x14ac:dyDescent="0.2">
      <c r="A68" t="s">
        <v>256</v>
      </c>
      <c r="B68" s="7">
        <f>'20_Dashboard'!C5</f>
        <v>2022</v>
      </c>
    </row>
    <row r="69" spans="1:3" x14ac:dyDescent="0.2">
      <c r="A69" t="s">
        <v>257</v>
      </c>
      <c r="B69" s="7">
        <f>INDEX('01_Timeseries'!$B$5:$B$14,MATCH($B$68,'01_Timeseries'!$A$5:$A$14,0))</f>
        <v>682942</v>
      </c>
    </row>
    <row r="70" spans="1:3" x14ac:dyDescent="0.2">
      <c r="A70" t="s">
        <v>258</v>
      </c>
      <c r="B70" s="12">
        <f>INDEX('01_Timeseries'!$E$5:$E$14,MATCH($B$68,'01_Timeseries'!$A$5:$A$14,0))</f>
        <v>0.35797036937250892</v>
      </c>
    </row>
    <row r="71" spans="1:3" x14ac:dyDescent="0.2">
      <c r="A71" t="s">
        <v>259</v>
      </c>
      <c r="B71" s="7">
        <f>SUM(INDEX('02_Age_Gender'!$B$6:$AE$8,0,($B$68-2016)*3+3))</f>
        <v>44277</v>
      </c>
    </row>
    <row r="72" spans="1:3" x14ac:dyDescent="0.2">
      <c r="A72" t="s">
        <v>260</v>
      </c>
      <c r="B72" s="12">
        <f>INDEX('02_Age_Gender'!$B$16:$AE$16,($B$68-2016)*3+3)/$B$69</f>
        <v>0.42218665713925924</v>
      </c>
    </row>
    <row r="73" spans="1:3" x14ac:dyDescent="0.2">
      <c r="A73" t="s">
        <v>261</v>
      </c>
      <c r="B73" s="7">
        <f>'01_Timeseries'!B14-$B$69</f>
        <v>12675</v>
      </c>
    </row>
    <row r="74" spans="1:3" x14ac:dyDescent="0.2">
      <c r="A74" t="s">
        <v>262</v>
      </c>
      <c r="B74" s="12">
        <f>'01_Timeseries'!B14/$B$69-1</f>
        <v>1.8559409144554007E-2</v>
      </c>
    </row>
    <row r="75" spans="1:3" x14ac:dyDescent="0.2">
      <c r="A75" t="s">
        <v>297</v>
      </c>
      <c r="B75" s="46">
        <f>('01_Timeseries'!E14-$B$70)</f>
        <v>-1.0717498899245614E-2</v>
      </c>
    </row>
    <row r="76" spans="1:3" x14ac:dyDescent="0.2">
      <c r="A76" t="s">
        <v>296</v>
      </c>
      <c r="B76" s="47">
        <f>($B$58-$B$72)</f>
        <v>1.7930533786206959E-2</v>
      </c>
    </row>
    <row r="77" spans="1:3" x14ac:dyDescent="0.2">
      <c r="A77" t="s">
        <v>263</v>
      </c>
      <c r="B77" s="12">
        <f>SUM('02_Age_Gender'!AE6:AE8)/$B$71-1</f>
        <v>-3.3403347110237847E-2</v>
      </c>
    </row>
    <row r="79" spans="1:3" x14ac:dyDescent="0.2">
      <c r="A79" s="17" t="s">
        <v>269</v>
      </c>
    </row>
    <row r="80" spans="1:3" x14ac:dyDescent="0.2">
      <c r="A80" s="5" t="s">
        <v>270</v>
      </c>
      <c r="B80" s="5">
        <v>2016</v>
      </c>
      <c r="C80" s="5">
        <v>2025</v>
      </c>
    </row>
    <row r="81" spans="1:3" x14ac:dyDescent="0.2">
      <c r="A81" s="6" t="s">
        <v>120</v>
      </c>
      <c r="B81" s="7">
        <f>SUM('02_Age_Gender'!D6:D8)</f>
        <v>43953</v>
      </c>
      <c r="C81" s="7">
        <f>SUM('02_Age_Gender'!AE6:AE8)</f>
        <v>42798</v>
      </c>
    </row>
    <row r="82" spans="1:3" x14ac:dyDescent="0.2">
      <c r="A82" s="6" t="s">
        <v>271</v>
      </c>
      <c r="B82" s="7">
        <f>SUM('02_Age_Gender'!D9:D12)</f>
        <v>90282</v>
      </c>
      <c r="C82" s="7">
        <f>SUM('02_Age_Gender'!AE9:AE12)</f>
        <v>121811</v>
      </c>
    </row>
    <row r="83" spans="1:3" x14ac:dyDescent="0.2">
      <c r="A83" s="6" t="s">
        <v>272</v>
      </c>
      <c r="B83" s="7">
        <f>SUM('02_Age_Gender'!D13:D15)</f>
        <v>256276</v>
      </c>
      <c r="C83" s="7">
        <f>SUM('02_Age_Gender'!AE13:AE15)</f>
        <v>224855</v>
      </c>
    </row>
    <row r="84" spans="1:3" x14ac:dyDescent="0.2">
      <c r="A84" s="6" t="s">
        <v>112</v>
      </c>
      <c r="B84" s="7">
        <f>'02_Age_Gender'!D16</f>
        <v>252647</v>
      </c>
      <c r="C84" s="7">
        <f>'02_Age_Gender'!AE16</f>
        <v>306153</v>
      </c>
    </row>
    <row r="86" spans="1:3" x14ac:dyDescent="0.2">
      <c r="A86" s="17" t="s">
        <v>275</v>
      </c>
    </row>
    <row r="87" spans="1:3" x14ac:dyDescent="0.2">
      <c r="A87" s="5" t="s">
        <v>100</v>
      </c>
      <c r="B87" s="5" t="s">
        <v>208</v>
      </c>
      <c r="C87" s="5" t="s">
        <v>149</v>
      </c>
    </row>
    <row r="88" spans="1:3" x14ac:dyDescent="0.2">
      <c r="A88" s="6" t="s">
        <v>102</v>
      </c>
      <c r="B88" s="12">
        <f>'02_Age_Gender'!C6/'02_Age_Gender'!D6</f>
        <v>0.37533368926855315</v>
      </c>
      <c r="C88" s="12">
        <f>'02_Age_Gender'!AD6/'02_Age_Gender'!AE6</f>
        <v>0.37954859511745737</v>
      </c>
    </row>
    <row r="89" spans="1:3" x14ac:dyDescent="0.2">
      <c r="A89" s="6" t="s">
        <v>103</v>
      </c>
      <c r="B89" s="12">
        <f>'02_Age_Gender'!C7/'02_Age_Gender'!D7</f>
        <v>0.33730876788945552</v>
      </c>
      <c r="C89" s="12">
        <f>'02_Age_Gender'!AD7/'02_Age_Gender'!AE7</f>
        <v>0.34369825206991722</v>
      </c>
    </row>
    <row r="90" spans="1:3" x14ac:dyDescent="0.2">
      <c r="A90" s="6" t="s">
        <v>104</v>
      </c>
      <c r="B90" s="12">
        <f>'02_Age_Gender'!C8/'02_Age_Gender'!D8</f>
        <v>0.29193875253321322</v>
      </c>
      <c r="C90" s="12">
        <f>'02_Age_Gender'!AD8/'02_Age_Gender'!AE8</f>
        <v>0.29316461057870491</v>
      </c>
    </row>
    <row r="91" spans="1:3" x14ac:dyDescent="0.2">
      <c r="A91" s="6" t="s">
        <v>105</v>
      </c>
      <c r="B91" s="12">
        <f>'02_Age_Gender'!C9/'02_Age_Gender'!D9</f>
        <v>0.2743662735529348</v>
      </c>
      <c r="C91" s="12">
        <f>'02_Age_Gender'!AD9/'02_Age_Gender'!AE9</f>
        <v>0.26233984457046838</v>
      </c>
    </row>
    <row r="92" spans="1:3" x14ac:dyDescent="0.2">
      <c r="A92" s="6" t="s">
        <v>106</v>
      </c>
      <c r="B92" s="12">
        <f>'02_Age_Gender'!C10/'02_Age_Gender'!D10</f>
        <v>0.25738670393292074</v>
      </c>
      <c r="C92" s="12">
        <f>'02_Age_Gender'!AD10/'02_Age_Gender'!AE10</f>
        <v>0.24499224900452901</v>
      </c>
    </row>
    <row r="93" spans="1:3" x14ac:dyDescent="0.2">
      <c r="A93" s="6" t="s">
        <v>107</v>
      </c>
      <c r="B93" s="12">
        <f>'02_Age_Gender'!C11/'02_Age_Gender'!D11</f>
        <v>0.27695705803046383</v>
      </c>
      <c r="C93" s="12">
        <f>'02_Age_Gender'!AD11/'02_Age_Gender'!AE11</f>
        <v>0.23384256105867471</v>
      </c>
    </row>
    <row r="94" spans="1:3" x14ac:dyDescent="0.2">
      <c r="A94" s="6" t="s">
        <v>108</v>
      </c>
      <c r="B94" s="12">
        <f>'02_Age_Gender'!C12/'02_Age_Gender'!D12</f>
        <v>0.30759068837475007</v>
      </c>
      <c r="C94" s="12">
        <f>'02_Age_Gender'!AD12/'02_Age_Gender'!AE12</f>
        <v>0.22849491162292448</v>
      </c>
    </row>
    <row r="95" spans="1:3" x14ac:dyDescent="0.2">
      <c r="A95" s="6" t="s">
        <v>109</v>
      </c>
      <c r="B95" s="12">
        <f>'02_Age_Gender'!C13/'02_Age_Gender'!D13</f>
        <v>0.36041615511236008</v>
      </c>
      <c r="C95" s="12">
        <f>'02_Age_Gender'!AD13/'02_Age_Gender'!AE13</f>
        <v>0.31692307692307692</v>
      </c>
    </row>
    <row r="96" spans="1:3" x14ac:dyDescent="0.2">
      <c r="A96" s="6" t="s">
        <v>110</v>
      </c>
      <c r="B96" s="12">
        <f>'02_Age_Gender'!C14/'02_Age_Gender'!D14</f>
        <v>0.38484921715019776</v>
      </c>
      <c r="C96" s="12">
        <f>'02_Age_Gender'!AD14/'02_Age_Gender'!AE14</f>
        <v>0.37931663323330955</v>
      </c>
    </row>
    <row r="97" spans="1:3" x14ac:dyDescent="0.2">
      <c r="A97" s="6" t="s">
        <v>111</v>
      </c>
      <c r="B97" s="12">
        <f>'02_Age_Gender'!C15/'02_Age_Gender'!D15</f>
        <v>0.40929772210240201</v>
      </c>
      <c r="C97" s="12">
        <f>'02_Age_Gender'!AD15/'02_Age_Gender'!AE15</f>
        <v>0.38819033793736524</v>
      </c>
    </row>
    <row r="98" spans="1:3" x14ac:dyDescent="0.2">
      <c r="A98" s="6" t="s">
        <v>112</v>
      </c>
      <c r="B98" s="12">
        <f>'02_Age_Gender'!C16/'02_Age_Gender'!D16</f>
        <v>0.39370742577588491</v>
      </c>
      <c r="C98" s="12">
        <f>'02_Age_Gender'!AD16/'02_Age_Gender'!AE16</f>
        <v>0.38231537825858314</v>
      </c>
    </row>
    <row r="100" spans="1:3" x14ac:dyDescent="0.2">
      <c r="A100" s="2" t="s">
        <v>276</v>
      </c>
    </row>
    <row r="102" spans="1:3" x14ac:dyDescent="0.2">
      <c r="A102" s="17" t="s">
        <v>281</v>
      </c>
    </row>
    <row r="103" spans="1:3" x14ac:dyDescent="0.2">
      <c r="A103" s="5" t="s">
        <v>115</v>
      </c>
      <c r="B103" s="5" t="s">
        <v>282</v>
      </c>
    </row>
    <row r="104" spans="1:3" x14ac:dyDescent="0.2">
      <c r="A104" s="6" t="s">
        <v>135</v>
      </c>
      <c r="B104" s="7">
        <f>MAX(0,('01_Timeseries'!$B$14/83577140*1000-'03_States'!L15)*'03_States'!K15/1000)</f>
        <v>37430.011853037802</v>
      </c>
    </row>
    <row r="105" spans="1:3" x14ac:dyDescent="0.2">
      <c r="A105" s="6" t="s">
        <v>127</v>
      </c>
      <c r="B105" s="7">
        <f>MAX(0,('01_Timeseries'!$B$14/83577140*1000-'03_States'!L7)*'03_States'!K7/1000)</f>
        <v>24175.599256255959</v>
      </c>
    </row>
    <row r="106" spans="1:3" x14ac:dyDescent="0.2">
      <c r="A106" s="6" t="s">
        <v>125</v>
      </c>
      <c r="B106" s="7">
        <f>MAX(0,('01_Timeseries'!$B$14/83577140*1000-'03_States'!L5)*'03_States'!K5/1000)</f>
        <v>17521.209687314018</v>
      </c>
    </row>
    <row r="107" spans="1:3" x14ac:dyDescent="0.2">
      <c r="A107" s="6" t="s">
        <v>134</v>
      </c>
      <c r="B107" s="7">
        <f>MAX(0,('01_Timeseries'!$B$14/83577140*1000-'03_States'!L14)*'03_States'!K14/1000)</f>
        <v>15606.68789131813</v>
      </c>
    </row>
    <row r="108" spans="1:3" x14ac:dyDescent="0.2">
      <c r="A108" s="6" t="s">
        <v>133</v>
      </c>
      <c r="B108" s="7">
        <f>MAX(0,('01_Timeseries'!$B$14/83577140*1000-'03_States'!L13)*'03_States'!K13/1000)</f>
        <v>12681.726944114149</v>
      </c>
    </row>
    <row r="109" spans="1:3" x14ac:dyDescent="0.2">
      <c r="A109" s="6" t="s">
        <v>132</v>
      </c>
      <c r="B109" s="7">
        <f>MAX(0,('01_Timeseries'!$B$14/83577140*1000-'03_States'!L12)*'03_States'!K12/1000)</f>
        <v>5351.7238459942337</v>
      </c>
    </row>
    <row r="110" spans="1:3" x14ac:dyDescent="0.2">
      <c r="A110" s="6" t="s">
        <v>129</v>
      </c>
      <c r="B110" s="7">
        <f>MAX(0,('01_Timeseries'!$B$14/83577140*1000-'03_States'!L9)*'03_States'!K9/1000)</f>
        <v>2534.3755905143462</v>
      </c>
    </row>
    <row r="111" spans="1:3" x14ac:dyDescent="0.2">
      <c r="A111" s="6" t="s">
        <v>126</v>
      </c>
      <c r="B111" s="7">
        <f>MAX(0,('01_Timeseries'!$B$14/83577140*1000-'03_States'!L6)*'03_States'!K6/1000)</f>
        <v>0</v>
      </c>
    </row>
    <row r="112" spans="1:3" x14ac:dyDescent="0.2">
      <c r="A112" s="6" t="s">
        <v>128</v>
      </c>
      <c r="B112" s="7">
        <f>MAX(0,('01_Timeseries'!$B$14/83577140*1000-'03_States'!L8)*'03_States'!K8/1000)</f>
        <v>0</v>
      </c>
    </row>
    <row r="113" spans="1:2" x14ac:dyDescent="0.2">
      <c r="A113" s="6" t="s">
        <v>130</v>
      </c>
      <c r="B113" s="7">
        <f>MAX(0,('01_Timeseries'!$B$14/83577140*1000-'03_States'!L10)*'03_States'!K10/1000)</f>
        <v>0</v>
      </c>
    </row>
    <row r="114" spans="1:2" x14ac:dyDescent="0.2">
      <c r="A114" s="6" t="s">
        <v>131</v>
      </c>
      <c r="B114" s="7">
        <f>MAX(0,('01_Timeseries'!$B$14/83577140*1000-'03_States'!L11)*'03_States'!K11/1000)</f>
        <v>0</v>
      </c>
    </row>
    <row r="115" spans="1:2" x14ac:dyDescent="0.2">
      <c r="A115" s="6" t="s">
        <v>136</v>
      </c>
      <c r="B115" s="7">
        <f>MAX(0,('01_Timeseries'!$B$14/83577140*1000-'03_States'!L16)*'03_States'!K16/1000)</f>
        <v>0</v>
      </c>
    </row>
    <row r="117" spans="1:2" x14ac:dyDescent="0.2">
      <c r="A117" s="2" t="s">
        <v>283</v>
      </c>
    </row>
    <row r="119" spans="1:2" x14ac:dyDescent="0.2">
      <c r="A119" s="17" t="s">
        <v>286</v>
      </c>
    </row>
    <row r="120" spans="1:2" x14ac:dyDescent="0.2">
      <c r="A120" t="s">
        <v>287</v>
      </c>
      <c r="B120" s="7">
        <f>INDEX('01_Timeseries'!$J$5:$J$14,MATCH($B$68,'01_Timeseries'!$A$5:$A$14,0))</f>
        <v>936.82030178326477</v>
      </c>
    </row>
    <row r="121" spans="1:2" x14ac:dyDescent="0.2">
      <c r="A121" t="s">
        <v>288</v>
      </c>
      <c r="B121" s="7">
        <f>'01_Timeseries'!J14-$B$120</f>
        <v>27.974427759037553</v>
      </c>
    </row>
    <row r="123" spans="1:2" x14ac:dyDescent="0.2">
      <c r="A123" s="17" t="s">
        <v>289</v>
      </c>
    </row>
    <row r="124" spans="1:2" x14ac:dyDescent="0.2">
      <c r="A124" t="s">
        <v>290</v>
      </c>
      <c r="B124" s="7">
        <f>SUM('02_Age_Gender'!AE6:AE8)</f>
        <v>42798</v>
      </c>
    </row>
    <row r="125" spans="1:2" x14ac:dyDescent="0.2">
      <c r="A125" t="s">
        <v>291</v>
      </c>
      <c r="B125" s="7">
        <f>B124-$B$71</f>
        <v>-1479</v>
      </c>
    </row>
    <row r="126" spans="1:2" x14ac:dyDescent="0.2">
      <c r="A126" t="s">
        <v>292</v>
      </c>
      <c r="B126" s="7">
        <f>SUM('02_Age_Gender'!AE13:AE15)</f>
        <v>224855</v>
      </c>
    </row>
    <row r="127" spans="1:2" x14ac:dyDescent="0.2">
      <c r="A127" t="s">
        <v>293</v>
      </c>
      <c r="B127" s="7">
        <f>SUM(INDEX('02_Age_Gender'!$B$13:$AE$15,0,($B$68-2016)*3+3))</f>
        <v>247265</v>
      </c>
    </row>
    <row r="128" spans="1:2" x14ac:dyDescent="0.2">
      <c r="A128" t="s">
        <v>294</v>
      </c>
      <c r="B128" s="7">
        <f>B126-B127</f>
        <v>-22410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W66"/>
  <sheetViews>
    <sheetView showGridLines="0" tabSelected="1" topLeftCell="C53" zoomScaleNormal="131" workbookViewId="0">
      <selection activeCell="E68" sqref="E68"/>
    </sheetView>
  </sheetViews>
  <sheetFormatPr baseColWidth="10" defaultColWidth="8.83203125" defaultRowHeight="15" x14ac:dyDescent="0.2"/>
  <cols>
    <col min="1" max="1" width="2" customWidth="1"/>
    <col min="2" max="2" width="19.1640625" customWidth="1"/>
    <col min="3" max="13" width="17" customWidth="1"/>
    <col min="14" max="14" width="2" customWidth="1"/>
  </cols>
  <sheetData>
    <row r="2" spans="2:14" ht="15" customHeight="1" x14ac:dyDescent="0.2">
      <c r="B2" s="53" t="s">
        <v>284</v>
      </c>
      <c r="C2" s="53"/>
      <c r="D2" s="53"/>
      <c r="E2" s="53"/>
      <c r="F2" s="53"/>
      <c r="G2" s="53"/>
      <c r="H2" s="53"/>
      <c r="I2" s="53"/>
      <c r="J2" s="53"/>
      <c r="K2" s="53"/>
      <c r="L2" s="53"/>
      <c r="M2" s="53"/>
      <c r="N2" s="53"/>
    </row>
    <row r="3" spans="2:14" ht="15" customHeight="1" x14ac:dyDescent="0.2">
      <c r="B3" s="53"/>
      <c r="C3" s="53"/>
      <c r="D3" s="53"/>
      <c r="E3" s="53"/>
      <c r="F3" s="53"/>
      <c r="G3" s="53"/>
      <c r="H3" s="53"/>
      <c r="I3" s="53"/>
      <c r="J3" s="53"/>
      <c r="K3" s="53"/>
      <c r="L3" s="53"/>
      <c r="M3" s="53"/>
      <c r="N3" s="53"/>
    </row>
    <row r="4" spans="2:14" ht="16" thickBot="1" x14ac:dyDescent="0.25">
      <c r="C4" s="55"/>
      <c r="D4" s="56"/>
      <c r="E4" s="56"/>
      <c r="F4" s="56"/>
      <c r="G4" s="56"/>
      <c r="H4" s="56"/>
      <c r="I4" s="56"/>
      <c r="J4" s="56"/>
      <c r="K4" s="56"/>
      <c r="L4" s="56"/>
      <c r="M4" s="56"/>
    </row>
    <row r="5" spans="2:14" ht="26" thickBot="1" x14ac:dyDescent="0.25">
      <c r="B5" s="50" t="s">
        <v>254</v>
      </c>
      <c r="C5" s="51">
        <v>2022</v>
      </c>
      <c r="E5" s="56"/>
      <c r="F5" s="56"/>
      <c r="G5" s="59"/>
      <c r="H5" s="56"/>
      <c r="I5" s="56"/>
      <c r="J5" s="56"/>
      <c r="K5" s="56"/>
      <c r="L5" s="56"/>
      <c r="M5" s="56"/>
      <c r="N5" s="56"/>
    </row>
    <row r="6" spans="2:14" ht="16" customHeight="1" x14ac:dyDescent="0.2">
      <c r="B6" s="45"/>
      <c r="C6" s="57" t="s">
        <v>304</v>
      </c>
      <c r="D6" s="58"/>
      <c r="E6" s="57" t="s">
        <v>295</v>
      </c>
      <c r="F6" s="58"/>
      <c r="G6" s="57" t="s">
        <v>0</v>
      </c>
      <c r="H6" s="58"/>
      <c r="I6" s="57" t="s">
        <v>305</v>
      </c>
      <c r="J6" s="58"/>
      <c r="K6" s="57" t="s">
        <v>306</v>
      </c>
      <c r="L6" s="58"/>
      <c r="M6" s="57" t="s">
        <v>285</v>
      </c>
      <c r="N6" s="57"/>
    </row>
    <row r="7" spans="2:14" ht="22" customHeight="1" x14ac:dyDescent="0.2">
      <c r="B7" s="52" t="s">
        <v>298</v>
      </c>
      <c r="C7" s="60">
        <f>'06_Metrics'!B52</f>
        <v>695617</v>
      </c>
      <c r="D7" s="61"/>
      <c r="E7" s="62">
        <f>'06_Metrics'!B56</f>
        <v>0.34725287047326331</v>
      </c>
      <c r="F7" s="61"/>
      <c r="G7" s="62">
        <f>'06_Metrics'!B58</f>
        <v>0.4401171909254662</v>
      </c>
      <c r="H7" s="61"/>
      <c r="I7" s="60">
        <f>'06_Metrics'!B124</f>
        <v>42798</v>
      </c>
      <c r="J7" s="61"/>
      <c r="K7" s="60">
        <f>'06_Metrics'!B126</f>
        <v>224855</v>
      </c>
      <c r="L7" s="61"/>
      <c r="M7" s="63">
        <f>'01_Timeseries'!J14</f>
        <v>964.79472954230232</v>
      </c>
      <c r="N7" s="64" t="s">
        <v>49</v>
      </c>
    </row>
    <row r="8" spans="2:14" ht="22" customHeight="1" x14ac:dyDescent="0.2">
      <c r="B8" s="52"/>
      <c r="C8" s="56"/>
      <c r="D8" s="56"/>
      <c r="E8" s="56"/>
      <c r="F8" s="56"/>
      <c r="G8" s="56"/>
      <c r="H8" s="56"/>
      <c r="I8" s="56"/>
      <c r="J8" s="56"/>
      <c r="K8" s="56"/>
      <c r="L8" s="56"/>
      <c r="M8" s="65" t="s">
        <v>49</v>
      </c>
      <c r="N8" s="65" t="s">
        <v>49</v>
      </c>
    </row>
    <row r="9" spans="2:14" ht="31" customHeight="1" x14ac:dyDescent="0.25">
      <c r="B9" s="48" t="str">
        <f>"Change since "&amp;C5</f>
        <v>Change since 2022</v>
      </c>
      <c r="C9" s="66">
        <f>'06_Metrics'!B73</f>
        <v>12675</v>
      </c>
      <c r="D9" s="66"/>
      <c r="E9" s="67">
        <f>'06_Metrics'!B75</f>
        <v>-1.0717498899245614E-2</v>
      </c>
      <c r="F9" s="67"/>
      <c r="G9" s="67">
        <f>'06_Metrics'!B76</f>
        <v>1.7930533786206959E-2</v>
      </c>
      <c r="H9" s="67"/>
      <c r="I9" s="66">
        <f>'06_Metrics'!B125</f>
        <v>-1479</v>
      </c>
      <c r="J9" s="66"/>
      <c r="K9" s="66">
        <f>'06_Metrics'!B128</f>
        <v>-22410</v>
      </c>
      <c r="L9" s="66"/>
      <c r="M9" s="66">
        <f>'06_Metrics'!B121</f>
        <v>27.974427759037553</v>
      </c>
      <c r="N9" s="66"/>
    </row>
    <row r="10" spans="2:14" ht="15" customHeight="1" x14ac:dyDescent="0.2"/>
    <row r="11" spans="2:14" x14ac:dyDescent="0.2">
      <c r="B11" s="29" t="s">
        <v>232</v>
      </c>
      <c r="G11" s="29" t="s">
        <v>1</v>
      </c>
      <c r="L11" s="11" t="s">
        <v>300</v>
      </c>
    </row>
    <row r="29" spans="2:7" x14ac:dyDescent="0.2">
      <c r="B29" s="29" t="s">
        <v>301</v>
      </c>
      <c r="G29" s="29" t="s">
        <v>303</v>
      </c>
    </row>
    <row r="47" spans="2:7" x14ac:dyDescent="0.2">
      <c r="B47" s="29" t="s">
        <v>2</v>
      </c>
      <c r="G47" s="29" t="s">
        <v>302</v>
      </c>
    </row>
    <row r="65" spans="2:23" ht="15" customHeight="1" x14ac:dyDescent="0.2">
      <c r="B65" s="54" t="s">
        <v>299</v>
      </c>
      <c r="C65" s="54"/>
      <c r="D65" s="54"/>
      <c r="E65" s="54"/>
      <c r="F65" s="54"/>
      <c r="G65" s="54"/>
      <c r="H65" s="54"/>
      <c r="I65" s="54"/>
      <c r="J65" s="54"/>
      <c r="K65" s="54"/>
      <c r="L65" s="54"/>
      <c r="M65" s="54"/>
      <c r="N65" s="54"/>
      <c r="O65" s="54"/>
      <c r="P65" s="54"/>
      <c r="Q65" s="54"/>
      <c r="R65" s="54"/>
      <c r="S65" s="54"/>
      <c r="T65" s="54"/>
      <c r="U65" s="49"/>
      <c r="V65" s="49"/>
      <c r="W65" s="49"/>
    </row>
    <row r="66" spans="2:23" x14ac:dyDescent="0.2">
      <c r="B66" s="54"/>
      <c r="C66" s="54"/>
      <c r="D66" s="54"/>
      <c r="E66" s="54"/>
      <c r="F66" s="54"/>
      <c r="G66" s="54"/>
      <c r="H66" s="54"/>
      <c r="I66" s="54"/>
      <c r="J66" s="54"/>
      <c r="K66" s="54"/>
      <c r="L66" s="54"/>
      <c r="M66" s="54"/>
      <c r="N66" s="54"/>
      <c r="O66" s="54"/>
      <c r="P66" s="54"/>
      <c r="Q66" s="54"/>
      <c r="R66" s="54"/>
      <c r="S66" s="54"/>
      <c r="T66" s="54"/>
      <c r="U66" s="49"/>
      <c r="V66" s="49"/>
      <c r="W66" s="49"/>
    </row>
  </sheetData>
  <mergeCells count="23">
    <mergeCell ref="M7:N8"/>
    <mergeCell ref="C9:D9"/>
    <mergeCell ref="G9:H9"/>
    <mergeCell ref="I9:J9"/>
    <mergeCell ref="M9:N9"/>
    <mergeCell ref="E9:F9"/>
    <mergeCell ref="K9:L9"/>
    <mergeCell ref="B7:B8"/>
    <mergeCell ref="B2:N3"/>
    <mergeCell ref="B65:T66"/>
    <mergeCell ref="C4:M4"/>
    <mergeCell ref="C6:D6"/>
    <mergeCell ref="E6:F6"/>
    <mergeCell ref="I6:J6"/>
    <mergeCell ref="G6:H6"/>
    <mergeCell ref="K6:L6"/>
    <mergeCell ref="M6:N6"/>
    <mergeCell ref="E5:N5"/>
    <mergeCell ref="I7:J8"/>
    <mergeCell ref="G7:H8"/>
    <mergeCell ref="K7:L8"/>
    <mergeCell ref="E7:F8"/>
    <mergeCell ref="C7:D8"/>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C5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2026-09-25T07:35:11Z</dcterms:modified>
</cp:coreProperties>
</file>