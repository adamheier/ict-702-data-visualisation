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E3751170-C271-A34C-BA0D-5F2D621301D3}" xr6:coauthVersionLast="47" xr6:coauthVersionMax="47" xr10:uidLastSave="{00000000-0000-0000-0000-000000000000}"/>
  <bookViews>
    <workbookView xWindow="0" yWindow="660" windowWidth="29400" windowHeight="1718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6.0" hidden="1">'03_States'!$A$31:$A$46</definedName>
    <definedName name="_xlchart.v6.1" hidden="1">'03_States'!$E$30</definedName>
    <definedName name="_xlchart.v6.2" hidden="1">'03_States'!$E$31:$E$46</definedName>
    <definedName name="_xlchart.v6.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8" l="1"/>
  <c r="B9" i="15"/>
  <c r="L7" i="15"/>
  <c r="J7" i="15"/>
  <c r="H7" i="15"/>
  <c r="F7" i="15"/>
  <c r="D7" i="15"/>
  <c r="B7" i="15"/>
  <c r="J6" i="15"/>
  <c r="D6" i="15"/>
  <c r="B77" i="12"/>
  <c r="B76" i="12"/>
  <c r="B75" i="12"/>
  <c r="B74" i="12"/>
  <c r="B73" i="12"/>
  <c r="B72" i="12"/>
  <c r="B71" i="12"/>
  <c r="B70" i="12"/>
  <c r="B69" i="12"/>
  <c r="B68" i="12"/>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H38" i="8"/>
  <c r="G38" i="8"/>
  <c r="F38" i="8"/>
  <c r="E38" i="8"/>
  <c r="D38" i="8"/>
  <c r="C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1"/>
        </ext>
      </extLst>
    </bk>
    <bk>
      <extLst>
        <ext uri="{3e2802c4-a4d2-4d8b-9148-e3be6c30e623}">
          <xlrd:rvb i="24"/>
        </ext>
      </extLst>
    </bk>
    <bk>
      <extLst>
        <ext uri="{3e2802c4-a4d2-4d8b-9148-e3be6c30e623}">
          <xlrd:rvb i="37"/>
        </ext>
      </extLst>
    </bk>
    <bk>
      <extLst>
        <ext uri="{3e2802c4-a4d2-4d8b-9148-e3be6c30e623}">
          <xlrd:rvb i="49"/>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2"/>
        </ext>
      </extLst>
    </bk>
    <bk>
      <extLst>
        <ext uri="{3e2802c4-a4d2-4d8b-9148-e3be6c30e623}">
          <xlrd:rvb i="103"/>
        </ext>
      </extLst>
    </bk>
    <bk>
      <extLst>
        <ext uri="{3e2802c4-a4d2-4d8b-9148-e3be6c30e623}">
          <xlrd:rvb i="114"/>
        </ext>
      </extLst>
    </bk>
    <bk>
      <extLst>
        <ext uri="{3e2802c4-a4d2-4d8b-9148-e3be6c30e623}">
          <xlrd:rvb i="126"/>
        </ext>
      </extLst>
    </bk>
    <bk>
      <extLst>
        <ext uri="{3e2802c4-a4d2-4d8b-9148-e3be6c30e623}">
          <xlrd:rvb i="136"/>
        </ext>
      </extLst>
    </bk>
    <bk>
      <extLst>
        <ext uri="{3e2802c4-a4d2-4d8b-9148-e3be6c30e623}">
          <xlrd:rvb i="147"/>
        </ext>
      </extLst>
    </bk>
    <bk>
      <extLst>
        <ext uri="{3e2802c4-a4d2-4d8b-9148-e3be6c30e623}">
          <xlrd:rvb i="158"/>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<sst xmlns="http://schemas.openxmlformats.org/spreadsheetml/2006/main" count="369" uniqueCount="280">
  <si>
    <t>GROWING GOLF IN GERMANY   —   Participation Dashboard 2016–2025</t>
  </si>
  <si>
    <t>Primary audience: DGV executive board   ·   Secondary: the twelve state golf associations   |   Players as at 30 Sep 2025, facilities 31 Dec 2025   |   Sources: DGV; Allensbach/AWA; The R&amp;A; Destatis</t>
  </si>
  <si>
    <t>PLAYERS 2025</t>
  </si>
  <si>
    <t>FEMALE SHARE</t>
  </si>
  <si>
    <t>AGED 61+</t>
  </si>
  <si>
    <t>INTERESTED / MEMBER</t>
  </si>
  <si>
    <t>2   Every stage grew, but play (+17%) outpaced membership (+8%) since 2019</t>
  </si>
  <si>
    <t>3   Where growth comes from and where it leaks (orange = net loss)</t>
  </si>
  <si>
    <t>4   The female share keeps sliding while male membership grows</t>
  </si>
  <si>
    <t>5   Domestic headroom: penetration varies eighteenfold (red line = national average, 8.3)</t>
  </si>
  <si>
    <t>6   European ceiling: Germany sits far below the northern markets</t>
  </si>
  <si>
    <t>Colour encoding: blue #0072B2 = male members and volume measures, orange #E69F00 = female members and the opportunity measure. Palette after Okabe and Ito (2008), distinguishable under all common forms of colour vision deficiency.   |   Sources: Deutscher Golf Verband (2017–2026); Institut für Demoskopie Allensbach / AWA 2025 via Statista; The R&amp;A (2025); Statistisches Bundesamt (2025). Full source list and caveats on sheet 00_README.</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</si>
  <si>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</si>
  <si>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</si>
  <si>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</si>
  <si>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</si>
  <si>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</si>
  <si>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</si>
  <si>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</si>
  <si>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</si>
  <si>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</si>
  <si>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</si>
  <si>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</si>
  <si>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</si>
  <si>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</si>
  <si>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</si>
  <si>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</si>
  <si>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</si>
  <si>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</si>
  <si>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</si>
  <si>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</si>
  <si>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</si>
  <si>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</si>
  <si>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</si>
  <si>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</si>
  <si>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</si>
  <si>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</si>
  <si>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</si>
  <si>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</si>
  <si>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</si>
  <si>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</si>
  <si>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</si>
  <si>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</si>
  <si>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</si>
  <si>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</si>
  <si>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</si>
  <si>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</si>
  <si>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</si>
  <si>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</si>
  <si>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</si>
  <si>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</si>
  <si>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</si>
  <si>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</si>
  <si>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</si>
  <si>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</si>
  <si>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</si>
  <si>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</si>
  <si>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</si>
  <si>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</si>
  <si>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</si>
  <si>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</si>
  <si>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</si>
  <si>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</si>
  <si>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</si>
  <si>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</si>
  <si>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</si>
  <si>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</si>
  <si>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</si>
  <si>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</si>
  <si>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</si>
  <si>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</si>
  <si>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</si>
  <si>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</si>
  <si>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</si>
  <si>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</si>
  <si>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</si>
  <si>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</si>
  <si>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</si>
  <si>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</si>
  <si>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</si>
  <si>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</si>
  <si>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</si>
  <si>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</si>
  <si>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</si>
  <si>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</si>
  <si>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</si>
  <si>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</si>
  <si>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</si>
  <si>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</si>
  <si>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</si>
  <si>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</si>
  <si>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</si>
  <si>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</si>
  <si>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</si>
  <si>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</si>
  <si>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</si>
  <si>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</si>
  <si>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</si>
  <si>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</si>
  <si>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</si>
  <si>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</si>
  <si>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</si>
  <si>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</si>
  <si>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</si>
  <si>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</si>
  <si>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</si>
  <si>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</si>
  <si>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</si>
  <si>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</si>
  <si>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</si>
  <si>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</si>
  <si>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</si>
  <si>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</si>
  <si>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</si>
  <si>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</si>
  <si>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</si>
  <si>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</si>
  <si>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</si>
  <si>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</si>
  <si>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</si>
  <si>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</si>
  <si>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</si>
  <si>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</si>
  <si>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</si>
  <si>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</si>
  <si>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</si>
  <si>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</si>
  <si>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</si>
  <si>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</si>
  <si>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</si>
  <si>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</si>
  <si>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</si>
  <si>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</si>
  <si>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</si>
  <si>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</si>
  <si>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</si>
  <si>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</si>
  <si>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</si>
  <si>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</si>
  <si>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</si>
  <si>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</si>
  <si>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</si>
  <si>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</si>
  <si>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</si>
  <si>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</si>
  <si>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</si>
  <si>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</si>
  <si>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</si>
  <si>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</si>
  <si>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</si>
  <si>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</si>
  <si>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</si>
  <si>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</si>
  <si>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</si>
  <si>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</si>
  <si>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</si>
  <si>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</si>
  <si>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</si>
  <si>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</si>
  <si>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</si>
  <si>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</si>
  <si>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</si>
  <si>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</si>
  <si>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</si>
  <si>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</si>
  <si>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</si>
  <si>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</si>
  <si>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</si>
  <si>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</si>
  <si>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</si>
  <si>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</si>
  <si>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</si>
  <si>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</si>
  <si>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</si>
  <si>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</si>
  <si>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</si>
  <si>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</si>
  <si>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</si>
  <si>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</si>
  <si>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</si>
  <si>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</si>
  <si>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</si>
  <si>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</si>
  <si>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</si>
  <si>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</si>
  <si>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</si>
  <si>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</si>
  <si>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</si>
  <si>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</si>
  <si>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</si>
  <si>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</si>
  <si>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</si>
  <si>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</si>
  <si>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</si>
  <si>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</si>
  <si>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</si>
  <si>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</si>
  <si>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</si>
  <si>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</si>
  <si>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</si>
  <si>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</si>
  <si>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</si>
  <si>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</si>
  <si>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</si>
  <si>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</si>
  <si>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</si>
  <si>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</si>
  <si>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</si>
  <si>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</si>
  <si>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</si>
  <si>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</si>
  <si>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</si>
  <si>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</si>
  <si>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</si>
  <si>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</si>
  <si>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</si>
  <si>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</si>
  <si>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</si>
  <si>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</si>
  <si>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</si>
  <si>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</si>
  <si>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</si>
  <si>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</si>
  <si>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</si>
  <si>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</si>
  <si>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</si>
  <si>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</si>
  <si>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</si>
  <si>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</si>
  <si>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</si>
  <si>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</si>
  <si>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</si>
  <si>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</si>
  <si>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</si>
  <si>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</si>
  <si>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</si>
  <si>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</si>
  <si>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</si>
  <si>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</si>
  <si>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</si>
  <si>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</si>
  <si>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</si>
  <si>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</si>
  <si>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</si>
  <si>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</si>
  <si>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</si>
  <si>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</si>
  <si>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</si>
  <si>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</si>
  <si>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</si>
  <si>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</si>
  <si>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</si>
  <si>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</si>
  <si>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</si>
  <si>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</si>
  <si>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</si>
  <si>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</si>
  <si>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</si>
  <si>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</si>
  <si>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</si>
  <si>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</si>
  <si>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</si>
  <si>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</si>
  <si>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</si>
  <si>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  pick any year from 2016 to 2024</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</si>
  <si>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</si>
  <si>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</si>
  <si>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</si>
  <si>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</si>
  <si>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</si>
  <si>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</si>
  <si>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</si>
  <si>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</si>
  <si>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</si>
  <si>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</si>
  <si>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</si>
  <si>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</si>
  <si>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</si>
  <si>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</si>
  <si>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 grew 17.0% between 2019 and 2025 while DGV membership grew 8.2%. People playing without a membership rose from 2.25m to 2.68m — an increase of 437,000 in six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</si>
</sst>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0" fontId="6" fillId="3" borderId="0" xfId="0" applyFont="1" applyFill="1" applyAlignment="1">
      <alignment horizontal="center"/>
    </xf>
    <xf numFmtId="0" fontId="0" fillId="0" borderId="0" xfId="0"/>
    <xf numFmtId="0" fontId="9" fillId="2" borderId="0" xfId="0" applyFont="1" applyFill="1" applyAlignment="1">
      <alignment horizontal="left" vertical="center" indent="1"/>
    </xf>
    <xf numFmtId="0" fontId="0" fillId="2" borderId="0" xfId="0" applyFill="1"/>
    <xf numFmtId="0" fontId="10" fillId="6" borderId="0" xfId="0" applyFont="1" applyFill="1" applyAlignment="1">
      <alignment horizontal="center" vertical="center"/>
    </xf>
    <xf numFmtId="0" fontId="0" fillId="6" borderId="0" xfId="0" applyFill="1"/>
    <xf numFmtId="165" fontId="11" fillId="5" borderId="0" xfId="0" applyNumberFormat="1" applyFont="1" applyFill="1" applyAlignment="1">
      <alignment horizontal="center" vertical="center"/>
    </xf>
    <xf numFmtId="0" fontId="0" fillId="5" borderId="0" xfId="0" applyFill="1"/>
    <xf numFmtId="3" fontId="11" fillId="5" borderId="0" xfId="0" applyNumberFormat="1" applyFont="1" applyFill="1" applyAlignment="1">
      <alignment horizontal="center" vertical="center"/>
    </xf>
    <xf numFmtId="166" fontId="11" fillId="5" borderId="0" xfId="0" applyNumberFormat="1" applyFont="1" applyFill="1" applyAlignment="1">
      <alignment horizontal="center" vertical="center"/>
    </xf>
    <xf numFmtId="0" fontId="13" fillId="0" borderId="0" xfId="0" applyFont="1" applyAlignment="1">
      <alignment vertical="top" wrapText="1" indent="1"/>
    </xf>
    <xf numFmtId="164" fontId="11" fillId="5" borderId="0" xfId="0" applyNumberFormat="1" applyFont="1" applyFill="1" applyAlignment="1">
      <alignment horizontal="center" vertical="center"/>
    </xf>
    <xf numFmtId="0" fontId="2" fillId="0" borderId="0" xfId="0" applyFont="1" applyAlignment="1">
      <alignment horizontal="left" indent="1"/>
    </xf>
    <xf numFmtId="0" fontId="10" fillId="2" borderId="0" xfId="0" applyFont="1" applyFill="1" applyAlignment="1">
      <alignment horizontal="center" vertical="center"/>
    </xf>
    <xf numFmtId="0" fontId="10" fillId="7" borderId="0" xfId="0" applyFont="1" applyFill="1" applyAlignment="1">
      <alignment horizontal="center" vertical="center"/>
    </xf>
    <xf numFmtId="0" fontId="0" fillId="7" borderId="0" xfId="0" applyFill="1"/>
    <xf numFmtId="0" fontId="2" fillId="0" borderId="0" xfId="0" applyFont="1"/>
    <xf numFmtId="4" fontId="7" fillId="0" borderId="1"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Players</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People at each stage, 2019-2025 (millions)</a:t>
            </a:r>
          </a:p>
        </c:rich>
      </c:tx>
      <c:overlay val="1"/>
    </c:title>
    <c:autoTitleDeleted val="0"/>
    <c:plotArea>
      <c:layout/>
      <c:lineChart>
        <c:grouping val="standard"/>
        <c:varyColors val="1"/>
        <c:ser>
          <c:idx val="0"/>
          <c:order val="0"/>
          <c:tx>
            <c:strRef>
              <c:f>'04_Funnel'!$A$36</c:f>
              <c:strCache>
                <c:ptCount val="1"/>
                <c:pt idx="0">
                  <c:v>Interested in golf</c:v>
                </c:pt>
              </c:strCache>
            </c:strRef>
          </c:tx>
          <c:spPr>
            <a:ln w="22000">
              <a:solidFill>
                <a:srgbClr val="999999"/>
              </a:solidFill>
              <a:prstDash val="solid"/>
            </a:ln>
          </c:spPr>
          <c:marker>
            <c:symbol val="circle"/>
            <c:size val="6"/>
            <c:spPr>
              <a:solidFill>
                <a:srgbClr val="999999"/>
              </a:solidFill>
              <a:ln>
                <a:solidFill>
                  <a:srgbClr val="999999"/>
                </a:solidFill>
                <a:prstDash val="solid"/>
              </a:ln>
            </c:spPr>
          </c:marker>
          <c:cat>
            <c:numRef>
              <c:f>'04_Funnel'!$B$35:$H$35</c:f>
              <c:numCache>
                <c:formatCode>General</c:formatCode>
                <c:ptCount val="7"/>
                <c:pt idx="0">
                  <c:v>2019</c:v>
                </c:pt>
                <c:pt idx="1">
                  <c:v>2020</c:v>
                </c:pt>
                <c:pt idx="2">
                  <c:v>2021</c:v>
                </c:pt>
                <c:pt idx="3">
                  <c:v>2022</c:v>
                </c:pt>
                <c:pt idx="4">
                  <c:v>2023</c:v>
                </c:pt>
                <c:pt idx="5">
                  <c:v>2024</c:v>
                </c:pt>
                <c:pt idx="6">
                  <c:v>2025</c:v>
                </c:pt>
              </c:numCache>
            </c:numRef>
          </c:cat>
          <c:val>
            <c:numRef>
              <c:f>'04_Funnel'!$B$36:$H$36</c:f>
              <c:numCache>
                <c:formatCode>General</c:formatCode>
                <c:ptCount val="7"/>
                <c:pt idx="0">
                  <c:v>6.7</c:v>
                </c:pt>
                <c:pt idx="1">
                  <c:v>6.56</c:v>
                </c:pt>
                <c:pt idx="2">
                  <c:v>6.11</c:v>
                </c:pt>
                <c:pt idx="3">
                  <c:v>6.01</c:v>
                </c:pt>
                <c:pt idx="4">
                  <c:v>6.16</c:v>
                </c:pt>
                <c:pt idx="5">
                  <c:v>6.45</c:v>
                </c:pt>
                <c:pt idx="6">
                  <c:v>6.87</c:v>
                </c:pt>
              </c:numCache>
            </c:numRef>
          </c:val>
          <c:smooth val="0"/>
          <c:extLst>
            <c:ext xmlns:c16="http://schemas.microsoft.com/office/drawing/2014/chart" uri="{C3380CC4-5D6E-409C-BE32-E72D297353CC}">
              <c16:uniqueId val="{00000000-46AD-6A4D-B178-3157CB8694D9}"/>
            </c:ext>
          </c:extLst>
        </c:ser>
        <c:ser>
          <c:idx val="1"/>
          <c:order val="1"/>
          <c:tx>
            <c:strRef>
              <c:f>'04_Funnel'!$A$37</c:f>
              <c:strCache>
                <c:ptCount val="1"/>
                <c:pt idx="0">
                  <c:v>Play golf at all</c:v>
                </c:pt>
              </c:strCache>
            </c:strRef>
          </c:tx>
          <c:spPr>
            <a:ln w="30000">
              <a:solidFill>
                <a:srgbClr val="E69F00"/>
              </a:solidFill>
              <a:prstDash val="solid"/>
            </a:ln>
          </c:spPr>
          <c:marker>
            <c:symbol val="circle"/>
            <c:size val="6"/>
            <c:spPr>
              <a:solidFill>
                <a:srgbClr val="E69F00"/>
              </a:solidFill>
              <a:ln>
                <a:solidFill>
                  <a:srgbClr val="E69F00"/>
                </a:solidFill>
                <a:prstDash val="solid"/>
              </a:ln>
            </c:spPr>
          </c:marker>
          <c:cat>
            <c:numRef>
              <c:f>'04_Funnel'!$B$35:$H$35</c:f>
              <c:numCache>
                <c:formatCode>General</c:formatCode>
                <c:ptCount val="7"/>
                <c:pt idx="0">
                  <c:v>2019</c:v>
                </c:pt>
                <c:pt idx="1">
                  <c:v>2020</c:v>
                </c:pt>
                <c:pt idx="2">
                  <c:v>2021</c:v>
                </c:pt>
                <c:pt idx="3">
                  <c:v>2022</c:v>
                </c:pt>
                <c:pt idx="4">
                  <c:v>2023</c:v>
                </c:pt>
                <c:pt idx="5">
                  <c:v>2024</c:v>
                </c:pt>
                <c:pt idx="6">
                  <c:v>2025</c:v>
                </c:pt>
              </c:numCache>
            </c:numRef>
          </c:cat>
          <c:val>
            <c:numRef>
              <c:f>'04_Funnel'!$B$37:$H$37</c:f>
              <c:numCache>
                <c:formatCode>General</c:formatCode>
                <c:ptCount val="7"/>
                <c:pt idx="0">
                  <c:v>2.89</c:v>
                </c:pt>
                <c:pt idx="1">
                  <c:v>3.04</c:v>
                </c:pt>
                <c:pt idx="2">
                  <c:v>3.14</c:v>
                </c:pt>
                <c:pt idx="3">
                  <c:v>3.12</c:v>
                </c:pt>
                <c:pt idx="4">
                  <c:v>3.27</c:v>
                </c:pt>
                <c:pt idx="5">
                  <c:v>3.44</c:v>
                </c:pt>
                <c:pt idx="6">
                  <c:v>3.38</c:v>
                </c:pt>
              </c:numCache>
            </c:numRef>
          </c:val>
          <c:smooth val="0"/>
          <c:extLst>
            <c:ext xmlns:c16="http://schemas.microsoft.com/office/drawing/2014/chart" uri="{C3380CC4-5D6E-409C-BE32-E72D297353CC}">
              <c16:uniqueId val="{00000001-46AD-6A4D-B178-3157CB8694D9}"/>
            </c:ext>
          </c:extLst>
        </c:ser>
        <c:ser>
          <c:idx val="2"/>
          <c:order val="2"/>
          <c:tx>
            <c:strRef>
              <c:f>'04_Funnel'!$A$38</c:f>
              <c:strCache>
                <c:ptCount val="1"/>
                <c:pt idx="0">
                  <c:v>DGV-registered members</c:v>
                </c:pt>
              </c:strCache>
            </c:strRef>
          </c:tx>
          <c:spPr>
            <a:ln w="30000">
              <a:solidFill>
                <a:srgbClr val="0072B2"/>
              </a:solidFill>
              <a:prstDash val="solid"/>
            </a:ln>
          </c:spPr>
          <c:marker>
            <c:symbol val="circle"/>
            <c:size val="6"/>
            <c:spPr>
              <a:solidFill>
                <a:srgbClr val="0072B2"/>
              </a:solidFill>
              <a:ln>
                <a:solidFill>
                  <a:srgbClr val="0072B2"/>
                </a:solidFill>
                <a:prstDash val="solid"/>
              </a:ln>
            </c:spPr>
          </c:marker>
          <c:cat>
            <c:numRef>
              <c:f>'04_Funnel'!$B$35:$H$35</c:f>
              <c:numCache>
                <c:formatCode>General</c:formatCode>
                <c:ptCount val="7"/>
                <c:pt idx="0">
                  <c:v>2019</c:v>
                </c:pt>
                <c:pt idx="1">
                  <c:v>2020</c:v>
                </c:pt>
                <c:pt idx="2">
                  <c:v>2021</c:v>
                </c:pt>
                <c:pt idx="3">
                  <c:v>2022</c:v>
                </c:pt>
                <c:pt idx="4">
                  <c:v>2023</c:v>
                </c:pt>
                <c:pt idx="5">
                  <c:v>2024</c:v>
                </c:pt>
                <c:pt idx="6">
                  <c:v>2025</c:v>
                </c:pt>
              </c:numCache>
            </c:numRef>
          </c:cat>
          <c:val>
            <c:numRef>
              <c:f>'04_Funnel'!$B$38:$H$38</c:f>
              <c:numCache>
                <c:formatCode>General</c:formatCode>
                <c:ptCount val="7"/>
                <c:pt idx="0">
                  <c:v>0.64300000000000002</c:v>
                </c:pt>
                <c:pt idx="1">
                  <c:v>0.65100000000000002</c:v>
                </c:pt>
                <c:pt idx="2">
                  <c:v>0.67400000000000004</c:v>
                </c:pt>
                <c:pt idx="3">
                  <c:v>0.68300000000000005</c:v>
                </c:pt>
                <c:pt idx="4">
                  <c:v>0.68200000000000005</c:v>
                </c:pt>
                <c:pt idx="5">
                  <c:v>0.68700000000000006</c:v>
                </c:pt>
                <c:pt idx="6">
                  <c:v>0.69599999999999995</c:v>
                </c:pt>
              </c:numCache>
            </c:numRef>
          </c:val>
          <c:smooth val="0"/>
          <c:extLst>
            <c:ext xmlns:c16="http://schemas.microsoft.com/office/drawing/2014/chart" uri="{C3380CC4-5D6E-409C-BE32-E72D297353CC}">
              <c16:uniqueId val="{00000002-46AD-6A4D-B178-3157CB8694D9}"/>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7.5"/>
          <c:min val="0"/>
        </c:scaling>
        <c:delete val="0"/>
        <c:axPos val="l"/>
        <c:numFmt formatCode="0.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Change in members by age band, 2016 to 2025</a:t>
            </a:r>
          </a:p>
        </c:rich>
      </c:tx>
      <c:overlay val="1"/>
    </c:title>
    <c:autoTitleDeleted val="0"/>
    <c:plotArea>
      <c:layout/>
      <c:barChart>
        <c:barDir val="bar"/>
        <c:grouping val="clustered"/>
        <c:varyColors val="1"/>
        <c:ser>
          <c:idx val="0"/>
          <c:order val="0"/>
          <c:tx>
            <c:strRef>
              <c:f>'06_Metrics'!$D$5</c:f>
              <c:strCache>
                <c:ptCount val="1"/>
                <c:pt idx="0">
                  <c:v>Change (abs.)</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FAB8-8A45-BE57-B854CEAE94E5}"/>
              </c:ext>
            </c:extLst>
          </c:dPt>
          <c:dPt>
            <c:idx val="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3-FAB8-8A45-BE57-B854CEAE94E5}"/>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FAB8-8A45-BE57-B854CEAE94E5}"/>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FAB8-8A45-BE57-B854CEAE94E5}"/>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FAB8-8A45-BE57-B854CEAE94E5}"/>
              </c:ext>
            </c:extLst>
          </c:dPt>
          <c:dPt>
            <c:idx val="5"/>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B-FAB8-8A45-BE57-B854CEAE94E5}"/>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FAB8-8A45-BE57-B854CEAE94E5}"/>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FAB8-8A45-BE57-B854CEAE94E5}"/>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FAB8-8A45-BE57-B854CEAE94E5}"/>
              </c:ext>
            </c:extLst>
          </c:dPt>
          <c:dPt>
            <c:idx val="9"/>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3-FAB8-8A45-BE57-B854CEAE94E5}"/>
              </c:ext>
            </c:extLst>
          </c:dPt>
          <c:dPt>
            <c:idx val="1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5-FAB8-8A45-BE57-B854CEAE94E5}"/>
              </c:ext>
            </c:extLst>
          </c:dPt>
          <c:cat>
            <c:strRef>
              <c:f>'06_Metrics'!$A$6:$A$16</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'06_Metrics'!$D$6:$D$16</c:f>
              <c:numCache>
                <c:formatCode>#,##0</c:formatCode>
                <c:ptCount val="11"/>
                <c:pt idx="0">
                  <c:v>298</c:v>
                </c:pt>
                <c:pt idx="1">
                  <c:v>-2576</c:v>
                </c:pt>
                <c:pt idx="2">
                  <c:v>1123</c:v>
                </c:pt>
                <c:pt idx="3">
                  <c:v>2145</c:v>
                </c:pt>
                <c:pt idx="4">
                  <c:v>12863</c:v>
                </c:pt>
                <c:pt idx="5">
                  <c:v>16524</c:v>
                </c:pt>
                <c:pt idx="6">
                  <c:v>-3</c:v>
                </c:pt>
                <c:pt idx="7">
                  <c:v>-39109</c:v>
                </c:pt>
                <c:pt idx="8">
                  <c:v>-18304</c:v>
                </c:pt>
                <c:pt idx="9">
                  <c:v>25992</c:v>
                </c:pt>
                <c:pt idx="10">
                  <c:v>53506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6-FAB8-8A45-BE57-B854CEAE94E5}"/>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4138798701298702"/>
          <c:y val="4.77649213295804E-2"/>
          <c:w val="0.83341360028860034"/>
          <c:h val="0.7408498444613294"/>
        </c:manualLayout>
      </c:layout>
      <c:lineChart>
        <c:grouping val="standard"/>
        <c:varyColors val="1"/>
        <c:ser>
          <c:idx val="0"/>
          <c:order val="0"/>
          <c:tx>
            <c:strRef>
              <c:f>'01_Timeseries'!$C$4</c:f>
              <c:strCache>
                <c:ptCount val="1"/>
                <c:pt idx="0">
                  <c:v>Male</c:v>
                </c:pt>
              </c:strCache>
            </c:strRef>
          </c:tx>
          <c:spPr>
            <a:ln w="28000">
              <a:solidFill>
                <a:srgbClr val="0072B2"/>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'01_Timeseries'!$C$5:$C$14</c:f>
              <c:numCache>
                <c:formatCode>#,##0</c:formatCode>
                <c:ptCount val="10"/>
                <c:pt idx="0">
                  <c:v>406551</c:v>
                </c:pt>
                <c:pt idx="1">
                  <c:v>408960</c:v>
                </c:pt>
                <c:pt idx="2">
                  <c:v>408103</c:v>
                </c:pt>
                <c:pt idx="3">
                  <c:v>409205</c:v>
                </c:pt>
                <c:pt idx="4">
                  <c:v>416016</c:v>
                </c:pt>
                <c:pt idx="5">
                  <c:v>431818</c:v>
                </c:pt>
                <c:pt idx="6">
                  <c:v>438469</c:v>
                </c:pt>
                <c:pt idx="7">
                  <c:v>439793</c:v>
                </c:pt>
                <c:pt idx="8">
                  <c:v>445369</c:v>
                </c:pt>
                <c:pt idx="9">
                  <c:v>454062</c:v>
                </c:pt>
              </c:numCache>
            </c:numRef>
          </c:val>
          <c:smooth val="0"/>
          <c:extLst>
            <c:ext xmlns:c16="http://schemas.microsoft.com/office/drawing/2014/chart" uri="{C3380CC4-5D6E-409C-BE32-E72D297353CC}">
              <c16:uniqueId val="{00000000-728F-B24F-B7B8-2DAC7F510B26}"/>
            </c:ext>
          </c:extLst>
        </c:ser>
        <c:ser>
          <c:idx val="1"/>
          <c:order val="1"/>
          <c:tx>
            <c:strRef>
              <c:f>'01_Timeseries'!$D$4</c:f>
              <c:strCache>
                <c:ptCount val="1"/>
                <c:pt idx="0">
                  <c:v>Female</c:v>
                </c:pt>
              </c:strCache>
            </c:strRef>
          </c:tx>
          <c:spPr>
            <a:ln w="28000">
              <a:solidFill>
                <a:srgbClr val="E69F00"/>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'01_Timeseries'!$D$5:$D$14</c:f>
              <c:numCache>
                <c:formatCode>#,##0</c:formatCode>
                <c:ptCount val="10"/>
                <c:pt idx="0">
                  <c:v>236607</c:v>
                </c:pt>
                <c:pt idx="1">
                  <c:v>235983</c:v>
                </c:pt>
                <c:pt idx="2">
                  <c:v>234137</c:v>
                </c:pt>
                <c:pt idx="3">
                  <c:v>233472</c:v>
                </c:pt>
                <c:pt idx="4">
                  <c:v>235401</c:v>
                </c:pt>
                <c:pt idx="5">
                  <c:v>242165</c:v>
                </c:pt>
                <c:pt idx="6">
                  <c:v>244473</c:v>
                </c:pt>
                <c:pt idx="7">
                  <c:v>242333</c:v>
                </c:pt>
                <c:pt idx="8">
                  <c:v>241339</c:v>
                </c:pt>
                <c:pt idx="9">
                  <c:v>241555</c:v>
                </c:pt>
              </c:numCache>
            </c:numRef>
          </c:val>
          <c:smooth val="0"/>
          <c:extLst>
            <c:ext xmlns:c16="http://schemas.microsoft.com/office/drawing/2014/chart" uri="{C3380CC4-5D6E-409C-BE32-E72D297353CC}">
              <c16:uniqueId val="{00000001-728F-B24F-B7B8-2DAC7F510B2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chemeClr val="tx1">
                  <a:alpha val="25000"/>
                </a:schemeClr>
              </a:solidFill>
            </a:ln>
          </c:spPr>
        </c:majorGridlines>
        <c:title>
          <c:tx>
            <c:rich>
              <a:bodyPr/>
              <a:lstStyle/>
              <a:p>
                <a:pPr>
                  <a:defRPr/>
                </a:pPr>
                <a:r>
                  <a:rPr lang="en-GB"/>
                  <a:t>Members</a:t>
                </a:r>
              </a:p>
            </c:rich>
          </c:tx>
          <c:overlay val="1"/>
        </c:title>
        <c:numFmt formatCode="#,##0" sourceLinked="0"/>
        <c:majorTickMark val="out"/>
        <c:minorTickMark val="none"/>
        <c:tickLblPos val="nextTo"/>
        <c:spPr>
          <a:ln/>
        </c:spPr>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1"/>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rnd">
              <a:solidFill>
                <a:srgbClr val="C00000"/>
              </a:solidFill>
              <a:prstDash val="dash"/>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autoZero"/>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6">
          <cx:pt idx="0">2537</cx:pt>
          <cx:pt idx="1">8255245</cx:pt>
          <cx:pt idx="2">7017957146650214401</cx:pt>
          <cx:pt idx="3">8248738</cx:pt>
          <cx:pt idx="4">41760</cx:pt>
          <cx:pt idx="5">7010772237493993473</cx:pt>
          <cx:pt idx="6">8208586</cx:pt>
          <cx:pt idx="7">23331</cx:pt>
          <cx:pt idx="8">8175722</cx:pt>
          <cx:pt idx="9">8164991</cx:pt>
          <cx:pt idx="10">27654</cx:pt>
          <cx:pt idx="11">28479</cx:pt>
          <cx:pt idx="12">8145598</cx:pt>
          <cx:pt idx="13">8145597</cx:pt>
          <cx:pt idx="14">8141652</cx:pt>
          <cx:pt idx="15"/>
        </cx:lvl>
      </cx:strDim>
      <cx:strDim type="cat">
        <cx:f>_xlchart.v6.0</cx:f>
        <cx:nf>_xlchart.v6.3</cx:nf>
      </cx:strDim>
      <cx:numDim type="colorVal">
        <cx:f>_xlchart.v6.2</cx:f>
      </cx:numDim>
    </cx:data>
  </cx:chartData>
  <cx:chart>
    <cx:title pos="t" align="ctr" overlay="0">
      <cx:tx>
        <cx:txData>
          <cx:v>Players per 1,000 population, 2025 — ranked (VcG excluded)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Players per 1,000 population, 2025 — ranked (VcG excluded)</a:t>
          </a:r>
        </a:p>
      </cx:txPr>
    </cx:title>
    <cx:plotArea>
      <cx:plotAreaRegion>
        <cx:series layoutId="regionMap" uniqueId="{FF8B1334-FBE9-C849-9DD2-87A49D6C29A5}">
          <cx:tx>
            <cx:txData>
              <cx:f>_xlchart.v6.1</cx:f>
              <cx:v>Players per 1,000 pop.</cx:v>
            </cx:txData>
          </cx:tx>
          <cx:dataPt idx="4"/>
          <cx:dataPt idx="7"/>
          <cx:dataPt idx="11"/>
          <cx:dataPt idx="12"/>
          <cx:dataLabels>
            <cx:visibility seriesName="0" categoryName="0" value="1"/>
          </cx:dataLabels>
          <cx:dataId val="0"/>
          <cx:layoutPr>
            <cx:geography cultureLanguage="en-GB" cultureRegion="DE" attribution="Powered by Bing">
              <cx:geoCache provider="{E9337A44-BEBE-4D9F-B70C-5C5E7DAFC167}">
                <cx:binary>7JpZk6Q4tq3/Slk9X6oQaKKt+zwIcA+PecoY8gWLjIzUgEACBAJ+/d1RXT1Un3P6nvN+zdLSzAN3
Oa5h77W+xZ/f1z+924+38ae1s/30p/f1Lz+rEPyffv11elcf3dv0S6ffRze5H+GXd9f96n780O8f
v34f36Lu5a9ZivCv7+ptDB/rz//xZxhNfrjqLbzVfdBhu5s/xu3+Y5ptmP7t1f/m4k8fvw3zuPmP
v/z89r3TfaWnMOr38PPvl07f//IzRxkhafbzT7/+8zC/v+H6rYPPPqp5hPvVb//l5z7epvCXn1H2
CyV5jgvOKE5znhY//xQ/Pq8Uv3DGUV7ggnBc0LTAP//UuzGov/xM0C+U5jxnOM84RfDfzz9Nbv7t
UvpLlmasoEVO05wgQv8+Q7fObtL1f5+T31//1M/drdN9mOBuUIp+/sn/9Y2fv5KliCC4CcpSmPQ0
zwsG19/f7uF3fb7//zStCU0Xoyk5tbp221zTxG3ndkncRUwLGcSKCT2M4W7Wj/uI0SlvBl/zgfR3
0caSL34RsyS3Ztiu2a6fLc8Fjr0UyvMXvY5JmcT2wUjTDMItygupsx8ZTbND3Nf83KX9SoWTTXxs
ezzVXYGamubxh0bsQBf3ylueljhqKxrOUpFxd4HDNpWG9ovoyG6rNfRP49CG0zw7YwVtwnzYI8YH
OtFUyHbGdSOH4cAwN++yyfKqb5q0HN0+i23pb0fZucM0Te3lRnxyS9J9vBqbZa1n1tX5nH4dKP7h
+2ep+fU8qHJM1E2ihnolLLkx/XKFDLqQZHvfC1uPIT1rt+ZaK/J1xtPlPJtBeMzRN8bpXbMaEfNQ
Fuy6QOSl7+jj0ueyDGtfdeuQlEW3BbGYXomBj+tJJegh6dcPjNMXySZTjtJL4fjWlsix265b7/qV
dGJYyEeiWSfaPnaCJCOp9GLuUWaiGJirY0Zq7dCZKjypNtnep2zhWjTUvrNWHbdVjVpkE9OCrbQo
ESpe9mIre1Zcq0FJEb280VmIQtpJrHyAS71cS5Wq4RQycmpk7g957l+kQlTIdZlujewkKhPOrzac
tofUmfSeutSeUlssFXIoqxPCUMXa1FVJipszqqbsYgxeKBqaOiYoVUIXW/KRSRmPvPOo7jyVZaQ2
nIbZOFHwdO/F3nSDFUjbRjBLqWi3xV+3xgaBMzRVjgV8SAfPLsnO0vdI1HgpN8kqnUh94OnU3CRb
5r54p+SFWW17yDo63anREuH17C7bqVHnqsWF2LTEZewHUxs4MWo2/EK1PoiRWldm3WJvKUnF5AZ+
3ho6viwJsR8T7YUl/WRhuvCXRc7ZWRM3LIzbL1nq/AG1nFy5JkvO9kK9tVN7n0c8VUW/6nPU5rok
y/aR9qgkmsyV5HZ+guJxxwveiZjpa9tzdlhy9kBRhi63DfuaqN0e1yVJH4LscLVh+TjGAp2npPg2
pG4XqzRV8P4tTXJcusYPUCP5KDTOE6H35Tzz/Ly3xSP1BTpgsvUV6tyPIcNZqTd0tsVWlx3qs9pb
/GNcfFOuHP/olLFltsPu7TcqhbHZZWzCoRvGrQrz0Ipg1u+NZL1QxsujXMJWutm+K6bLxDb7ISla
WXY7bGSFAxUhKy6mxgq1yXoZ2ygys9Vphp9WUsy1ZYUT4zpF4WifVqnW77FNlGgt1CUmkwfV665s
0uEsk/4uYRM5dm38ajIq/Bxrs7JD2rgLBAUMTaoT2nWVGuJxSmAbrmQQTO8H5YayXbcnn3e90Fbd
+y2gUrmkksN4aJMei8Si6wZq/WGmEd80243Gs+h79S20qRG7Ja+L21DdTjKpuF4LsbN5L9U6PtuC
jRXT9Db2P2JYE4HYPp48XU+JLjrhC88PyI7NaVnleCAqvXcmO+59VAebs9s0yPW89/ko4A5jOWZz
X8UgL6bQ16npSrMv1ypNj4h0FYuMlNZkb4wuBz8NJ1fsV8bJ9230B9qZ08zSS5osx9SiO75sXxQm
D56Ntd3Gy71ZPezXVGjtPza5OJEWzSpQoaqWtIOIuDWHBfVXSWa9WCf1oe0oy3zZR7Hh+dtuDS7n
jJ5kYYaycJqWbVKM5awJeQ5Kp6IzO7LC4D4vF8/Scuu7Y+z9UxiTauIZqjbCD3Smd9x0vuRhH2q2
sje2qMtcT/cFa1+X9LvZWOVbXVTDuCgh5/S2XRzMV7jhUd83XFck7EmFoEWIXW7Xoe9fO7bTM0zV
fpgn1JY0yU+qTc7oJp9s03lBYMBrmapdzOl8Y3h7TMgQSyWjLXVBxnIfYipag3bR5MWTjkMQLLHz
o+7IerILzkuWbHtNjSnE1OF3ntj7VJGLmftLQrebTrm0wtrEM7ebtGr5WhqNWkGW7pzpbhW4G3+E
Uc2111tFdGSiy/uDTpv3mNP5iGObi5Ev7a308/0Y5rlc+qG7GdhSCLslD4Ucnw1pbke66QumHKmG
rbmyyYQOSxFUafviinX8SjpZK7YkYhtZOQ7984yhxk5kftuNqzHpJhGtO3NUP7ST47Ur8mMeyXpE
DUKHjmlyXWwabjMnw1lIgihCe0EmaD+StHddBttmWIvztEnpJbfFLZvGXWzJqKsdzsO6wpliipg6
hNZWNve0cvv6uq79S8ySrszCaEWQ5BEjdQ/icq56zN0dC+Ot1PFopbaPOTaonpOdnC28hUaKQQ/o
GXmRSPg5TA+C+oyIwrm1BGHIrpVbP5h050iGl+DwWo7bKlTT15x2YtZ4AC2DR9EMBZSDaYSDuian
fLrqFI/H2M5OxEaxKhnnK76G2za6Z2Ka6cSmpBCeBWiddBCB+gfN5VLuLlxtWwhCZ76ot87c+wbl
VVjZlzioU8+Ti4aP6sDiPokuYVuVmIiEs00q1p752sgvw5C11WDwQ1j8GdLDd2UJqIq9fWq2T1mT
Sl5nce/LzoBm2V6aZM1Fh+ULc425STxvRdr2TR324hnPIBA8UnlpByOrIaqHouCPNk3ZEbrNAquf
vXku08rK4Uc+x1G4rHkdOetvOijhYk3S0wZ1voJDllyF/WqjZDrEDA8vM+H5KQZHa7mqmz1P52q3
08WAk4MJuloY3QSdZS7SmWWVa04yyW7nuMKPg86bLKuqZgwKYsygxbeLEZvxX7G22VnRe1l7F97y
ThUC7f33oSXXYc9JSTLKRVcMz5nBUznnfj7PArWtaIg9o0lyIFbmGlocCJp03WwtPZZP7YqWa8Ki
K8MWQdPm/CpH8i7uS8ndNFQSLcNrihR0GubDCWRsJgUFrQDHY0v6b3HttnLKJ3XcaTSZQFRt1UQi
Fts23EwWhxKleQqdpWdis8yXCxzhYyw2U5k+n05ZEsrRNE8JdxLkWwxlPyTf/YaJ0LHjr3pvwqth
tC/lMow3LUp3Me7p9yRXWQUCbRBLn1wEB3MskX5NCfVl12xKsB0JkzW6bKA4nC0NxaJdsmdQiFIs
rr3MdNachqnYT32f7PVuh6dN9vZBJW2dmXaueDIk9TpEXXW+kfUe5XnL2nImPTSciI9TTHA18tZC
QaK8NH5VB29htWC9TeU0F326X0uroMbj8VsnqX/bCLiDDQxE5/wljuMzHTQ5IjwWtZZkOXNJ25Tt
nDfHrNiTM4d3IwJHZTHzMlp8NiekEDLCuRt8Js8cG4aq6II5WK7mKqJEgtpgBE5jGuqJSVuygXY1
39aiSs1Aqr7N0npdlrXai1HXzTSLSaHlQNfNH4qEfu1lu55A3nsRcqcOfT66K7X1N00+dGKM8XXY
OK9s1r72BM5wZudqHXJXFfPua9QUoxJxQ/Fr3MH/UK49lAmoO3hNvjo1t7eeMCVohs4Qk09Ipf7A
aHzcFrADjDzmCb7U+VQPXF1vfrnivL8LrXdCdQaqbV/QKnZrCgs0sjNCdHO2mnTuRbeyRynpvSmK
pE4QkVfpNsZyJ3M9ZblhQi1BXUgcWNnw5SHuBqxxQh+jDmlTD+ABKp81Y6XbBb8UKpsUNKE5f0az
e2hXzK7n1GTl1LD+1ARQXH6Bg9vLxh360X7xo+9vWubiHc9b+uTmpXjNWxLuJ100nZiCMwJz7MuU
tH01232DwzMsJUXzN40WV+pmjfdLYkF7jOSqS5A7Tcj6xzRqqAna4xdpw6DEhGb6zFvVVpru3dWk
FDnjnOOz2NHlWi+drIuwJSAUUXgchzgfWj3sU5mwbCu3fbhuRj0c9CDHcxb27gA78DWT7HZWDa04
WyYphpCg8zgxdekKpc9xkez3a2HYtXErOCXpY3IxrNl0NoOmt2KOTTJUU5P0lcOMOrFTPgvStvkZ
w+P2kGazPDS8T6+nuc+Oecca0RdzVytQ6zfENmsNu9mfUUPl+Twv5HpGFoHZm65ID5ujmKbhALWj
v0sCiTVTKFyxOXE3xTqXvGXJEfTBVoNSCdBjRxdrH1N/FtjEwTWj7sohk12teDsPtkvv28G7Y2OS
5gMlDToOawRFzmibCo52W4MSWw5xRPo6N3MZ2Xrbhn2H3cYvk7Qn0FyuC+gS5cZ8W+NlCY8dmpdD
sAZ9jKGArrAsOa7R4vcy9+QFIVn1aBwqH50paeuWy5zQsVwXl5gyKeJ+JZNZ7MpkZ8Mq0clYp76P
0PhPvI/4eSADWAHbVi2N8uG3AqtacCQqrAY00XA/8oAOyVqsUL6bCE5mXSs/78eJTr4qbN/Aenb+
cdqBMogFFXeyaNUk2MzjzZJuVqzpDtbWLRvU3mG/a5cEbt9MU5XI4cz2vtq8TVqxZmHWYt0dmL22
8fW46+LQrqO52bQaZ8GwX4464+pslQyKpXaRXG/TlNVqLdQtCSBKB8vOOTb8WOx7c8Sz/jEsVr10
60Suotv5iZvBzkJu6KEptk5kMjXViKZ7NcxrlUWqhJobc+xtpC8doukZsVz2ItkaWKwCh9dpSaA0
Yfoo8/40Z73HFZ4MSA4HTolZFM95yOUT7OllFqsdigoPfjoObYJPo/oxQD8VIXB/dEy+rb4/DKC7
y2zMVWlY7GFiohFFlg9l3mYXeyf780XP/VXXTOD8u1zwT1/GE3SpzHY/BZJ+GzN7DzMIFoanW72B
qj0GW5iaBGwfWjo2IjXMV33s7bdMWXuyU1uyloZXmdOmJHy+3Vdsbo2ZYfaSHKwhRWF6WNp0/Zro
z7Pt0JFMhNcSDGCm+d2Us2PiZbhK98lfzKY1tY3TxUhA0vajXp+GZO69sAkooThJ+XVI/OXkRvOC
O46/aEnDEc2KixmDNYRa2t3LdMWlTeJ23ykC8gwjeYs2A84NVGaqlua142yo0J6YKl85SMwlX58b
PEcnMECKWlFLj+1MjILpWbsb7M36FSrNq2sH+5rrYTsVbmHvU5o21a6gTEuu5zKEgghQjs+djeE4
r36BUxfOAUfBOFMPfGA1P1w6dkcJIO9rO25ZObAVdu8idbm0gWQisny5LozmUP6ZfoyqA3kbJlcy
RPoDGgZbNYVVBzMXaQWafbxvMF1Ok+4t+I8owsqbCgiLqdcC2QuivX38jZ3++ld8+wc4+e78Nmqp
fue3f3/5H4+ug39//vzMP/74CYD/8erqb+T4377r+OE+Ge30r2/6w8hASn+/u0+4/IcX/4k0/zME
/p9e/B+C5hQThum/A83iY7S6/wNl/tuHfqfM+S+MpjwrCoDWOUP/oMwo/yUtEC6Kv5Fk4L9/o8yA
poE5EkZyxHKecbj0N8qc/ZLnvMh4lmWU0Iz8byBzDtD8j4gZcHWKiizLSQoEKiV/RMzUsoSsqpvB
WzWu3Ajob8xADFjUrSBEXANlbdBgejN08KYHOFRQLdKG31Djv7mWfDYhkJ0jv3VdllUpTmq6SF6x
Xdq6R3w/5MmWC4f2u95NyysHxHo+KHLq1XyPhg5sdjiaSKey24CTZHY6a8H3/NOS/BcsHZj8v/2V
sKL/DNLDvI2uS9oZGtzcnMa0ueuLTzi6xHJYVjHE3JSzspf//ltz9J9ml6dpyhlGlGR5wRHECP/8
vZHrZrNzt5RMby9y8h5MNpAcDzOa5WCbQTQHwYcOtN2s18PqQeWB63vJuuFZoYfNs6ZWSH+hIf8i
Q9qW2yd3XRWr+WRODfePeWEPLtHvSu+8jiY5jH37lWMAzcugMmDP21c8T7GWub2PpmViHxuAj20r
wOV/n1qocW32vOfTI15yKnrE3qhKoV3m3TVuN32bpUm8a13zipR6Cln2IzRtVq4g2Yeh//BMYQDm
aQHWZh+OW9rgaikKe4S4JT/LkI+iGLvLbZYvqG3PAYRW81ZMIHt3kHtq/CpR8/I5ULevgBqM4lWR
g2NFCWCcif4mGIZL3vbqrpWMlwOa9BUvML7dNPphOF1qMihUWrpjKJdTU6nEyBKykO2uQHS5I7rg
IvYZqgtl90qG8JSmkxW5DWM9to4fFVda9AQ5kezgPEyDm3qe5EsjES33jjK4GVuU26zUBXCWVZht
SepOpRloPQNeGbv7og2Vig0+T9e8gbGzHVysud3JAngZUA5dYgtgIx7glIGHdJuqjQUp2+8+lk3v
rOBEDrdjZ61YgnwsPrdEt4JTmcLSHfso10uulTxOoJMqWGtwpIs9/+12CE7uPvnu7H5YzuJVHBkR
a6tHsYb0bexyXFHmmUh4RutGjyfYkNubDvN1xyGdoEWKRLHmj3zJuSCIamijEywFBWCUP8y7vBw6
c4YVNC7o1voACcExnbTYce6B+do7jIvxcuQ2OwUStmMOJ/hzRVtstGgLPNeJ2dvTBNvMNRgQcR6t
+Nx4dM7nqm0AaVKLGWi/iRzW5NOeDjrYauxYe7KdfSngZBGR4v3KkeZqQ8m34EZfxaw4mW2rMNH8
ILOtnlRamaW5wjy7hVL0sFpQzkuugeYP9qvM4rEr1FNO7A0qwjfeaCqyZreC7Ela847fREyf8gic
gBVni1lhoZbiI8L6geKbaBm6BbIKvlSyBQu8NCMRaE5rbLZnHFVSNmp4SPvB33IFqck4qVYMaoBi
GcMD1ECgpOD5+2D8oWX4utvpSwusR2xzcz3lxdmeNE+Qq/zILb4gywIhSaPAUTdl5/sRfiBEdKZA
V9HDBHEwoOseDrAJylgAQTDEdUKOsDqr+ma3+Vx5RGsmd1sa1XNhNJz4ZFRnwwYquW92X2YTutiG
vS2tmq9m7dWFlhCzDekSygg9r+6TEK72oPgx8xASOenXWuqJCbOG9aZJoqBJWL64poedzKCaFKuh
J2Aj8iwuuxeTkU015m6BVM0+JdqNzylqv+yt5IKHeXlaPLQC8EZge/d2PM6OJt/U2jioTQtaa0pU
IzhthwNZQvvlczdb307vtO8hx5lpCtWcnqdohh+9jiXwUHYXUlQ23UszraBy5RAq2sw5JFjqVhZE
VtHJ676f1pLtkErNvJnK30r+/xdK/89EnoKOAZHy3yfy15/5+U/3SvcfyfPHFLx6s/8az/8+yF+F
U/ELpjnExinmJMsgi4fu+td4nvwC0ohmkIzncBWR9J/i+ewXknEMf84Qwhlhf4jnc1A5BdQ5CpoH
BvjfKCd4DuBfRQWGRJ6BDCtApGGc/4uoSO2mlwaOmVj0EB4Ib/LbMd/8lc0b/WyUA3RMEjqXw2Y/
+G7s5aT8EUg6Okv67KpbPSCUHIhBNgawo2Yh5dZAcibBNV8xxbaTMRpiIbnpvY52GG6ajD/3iftK
cVYcEWu/8bFonjPoxVdZdH0V7JgeVCSAxMcVX2Yse153Vi25SW8GF3yJ6LiIla6hNltzLJIkvA4u
nV5ju3G4EAFQro6e+TRXdaaa/H5QU3IPKRtQ+WStwmewSn36FfSqhcQL7AdaiRXArmXZO/+ez6Gt
tfWQPvHePjahg7wrLvaysbK/QVnWPbjE6vOgGWQCweoNcDAfgEcqbcsp0Z83preH1SxQpWDOBgD2
Dn/v+jw7GyWE3+1iwUMOwFfuU21GaK6ZOU1bQ0/wTAQ/tmTfhyprUgUpmAswfOJxKTPtn4CFpuXg
ivGDRQImNpIdxBjw8MwHUkEfBnOMsdWAzfHMzrQxyTOmpjhgeNAEvLmU6f0Ypl7kXGcCcvHhAvuJ
1gQ4DMSMhR4f4tzqOpM7OhjdI9H6aT/xnSQ17tPu6Lvh+9BNIRVFPy9QjSHOfR3BtVWA/aFpMEq/
Bjm772ufFT+mtQ31PFD3vgM1fzHIhBNZpuK72tF2jaIxXsy+R+cdgLRDMU/0ruddWMQ+T/lHamJ6
SLKFvbnmE6YoO4dyyMk7KMwplm0zuC8DkgOwp2K4bNrlW4PCfMcUeO/MIPUIcRzALjUhKbI1AzXZ
IpKAUw656kq3sem+26FTVA04+LViJIs1h6T5m2x72pYOJbHKlGSHmKfF5WZNBDRppvkM0rkn7yO+
ypa2LkyQxzGDfJuPm4JlgrRl7scEmmy23HXDzODb86S9c3Iunga7fpnnqa+nPoXOPX5uT9uvh2xZ
4KkC2FVkRikk3XsD8VwYo0hpPgE0mqR7a/SclHINSiyQYZQpWrIr6vP2fiC8Lftlbs7cwKAt5R2q
cN4kJYTPvJ4oNwhufEGvAxQp0EobOkJJcGcoJmewL/R7u3h+3wZ2mSX7cAbRTHtEw+daWPclnabk
ImMe70Lu8KST39MUsmFEIHShyescfHqzeUA61Zbt2IiOke4K5s8duJw9SEyISjYJbL0t8u3VIzZe
SNtHCh5Y9iOktAiaMTw1ELXwSzuWGXZL1c19UU2j2uuVNvYJ7RDgYmdZ2bYDqq3h5BYAWwfKArhG
naeJC1Uc+A8T8qwc966p2QhHkCfanMZ9XC9j3kxfkxF1cDxweowTPFgQ5wY/usy7ctk6Vck5hDKD
5KCMAwHziHTIHtMVVAvp3WljPbvBW+FLDNLvsoM5v5h27L5QzZdTniz8iviG6BoeWWAQN5ph/9xo
0AochAW9kvqct257aAkAILqv8rBEvw0Q62JXppGSyxhpBmEQToHEd1AUFhBCKxCy8wwOjxgdNqeV
9/tp9vLFEusPuJ3h9DM5fQf3tpzgcZkLqFUDFrPd1och5ON5F5X0AjjLXMKpW0aFX6c8ZKyEYDC8
RxOhKERoNc8OYo4nt7bbKcLDKA9ZO00lXR08gsH9M07aZxZTLSAqvKfFQg8y8u2AMYytrHOjMF38
sWb2cdT7ufOYXGLWWhiZumMcQDUO8ADbkbYKTjpQ4CvEmYT4oIOAtW30fd9CVgJd8pjuif3aAam/
WtP0u/Wgv5bBXeJx38t5HvayDYGJqMd479bu/7JzJtuR42qSfpV+gOY9AImB3JI+ax5CUmjDoxjE
ARwADiDApy+j6t4+mXm7K7v2lYtcZERkuNzpwP+bfWbmYLp4eBmnWmYR1rWrJinhXOcjTyMlHfii
onvOa52kQxAmKfgEXA396g+QLYusigaV9pClHmk/dveymXXaTr0/5WEh9pYubNfFmC5ndTZQQdMu
zOsr8Eugm+K52leVrKdTK/hbOCQgm8JS39csr7OoJHRvZCL3QvCGpI0cgnPZBe1p1bT6bcuZXtd4
1A5B7pJHqkRwXgT2nFAO3T4nrst6VeonOiUkCxxVP60ey3M040KsKoBcm/d8yxqOR6QNSn8KFlYd
e0q3jyrpz0trN/RhKH+Ipb8w7zQGzHXpskbazXlK2HPoovGl7UfyLRYSkm4FcCXKSqbZiQc82DxN
SPYmklm78EziEN83OYQ8Npt4bwLL0qpWbp93tThATZ9OQg7rpRg7eR4GUr8Gwob7oqPsWyeIys9B
vsKDrUzn4iyGJPObB7l+4FC5r8yi4Z2oZv4oSjscczuZfTuv9TcTmOEqWEy4S0aJx2kK5/tptKfc
2/EWj+GD00VyGNRwFnpawEOQYn7tdDiFaY7tMk2ojmE9eV88121sTVoQVfwaWAyNMi8CXF9Mx9la
rx9xgA0ltH7qskrb4qXIqdzB64Y93hRrlNa1E89QXPAjOVK8s3FJsgAGwHmyK1xGxRdwhioM9jNW
4KMwc273Plb50XMR+yM31bzjmv/UwJ+e6iqIL5ANygjnaMn2lez8sGtVXWeG5a1MzThTA7mc0G9J
R+Tnyk13tHUf3dQRr+/DELyP6aS0aVx3XGdQXMiu1HOdLQwrSygsTwsz2iyis7kwiAEn7tmajUOU
X+uaDQe3FNUdKyO7n2k4/oCqF33CwPGZSYpi2IW8dlfUJo0B+9YNb80CWxk6ANwGzBSVeerrpAl2
YUXWHmKXKMqLwDthd3JmDLd5gBVtJI5fcdmFWMKJTCeOhSrXdqdj6BNR2bTXpF3InswLdRdWYFbE
EDPhe0mTeteuYOYAwwTfoTLhusqpAAcx9PWH6Ep31WqufoFWwKYYmjgc9zBBCUtbEtkTn4p+b3k+
vSwhwS7F2vAxDFx8CRoxv2ggNmfo/8m5i+Lup5Pe7eWSXxe5Uj+cZ+bBlkn+0MrG+gPMQHMzN3OV
Tf36vCju0oCT6lDkkmJ68vkv2Cz42jdjnnmTjIcA1N0ldpGVadPPTmYu8MExnJvfTQG1nosW6nYo
+oMYKHb5Rsu3CdDLReI+utZdCzCBx+XF9cM7/K3lqRzd9K6qbtmBZhx3U8e2rzBvaDqU2FSTfJJQ
oUIITC1Gxs4vOdhZwk7rGFWXjubuXgZsuZccVCCslNeERj6bvVNXZaP1YzsXmCVi5Z91CyUrjNb4
SAt11kUdQSBKwnNgPH1hBfPfary36Yrj/dEuvX11Wuf7gkqLUTrg+6bEl7TApbGk3oV9Wo2Ve1Qy
flexvw+o3pA4MX9XdE4AxE7xnfdNfqOJ/uZ5H2OEmn26FLrfgfyBYNILE/c4xElzxNac/FgAaR81
/uJrunTjbZRD1stn7dPJVjcthfEgyiDHs1C+UJJHV1LPPwYVNpjB4QMX5ihh+l57Z8RuJtF0q9ah
PifD/NyKxezabtAfslJVvqMG6oupGHSfOIo2bQ+eRKSrI6sj2x9ycCR7DhEoTkmLE57LiP3oJe9P
yQLmNOWk0G3aaDuqtImS4s40wh4HgZMxBOR8od2qUtpCtJtEnuytpdE5SGAN1XkQXqapru6DpOC3
ImzBiJRGvy1NbI80Ig8B/uobeJpuV8vtQ8e6taZTGdKLDrBE7Xy7qtsFTNsB9If9xbgZH7q1HO/B
DF1qKnGkR14t1x4fbjolE9QiX1Px5htSpLTmrMxUv0bfS4MfbvKx2asBFusa8+Q4soKchj7nT31V
8UOMDW7NYiwxBzskBr4WjXGvr/5CyFq+Y96K8HVPOkg11uTwp2EmJqxM7knocCwaO7+yeAaooR1P
lzIE+z3U12XJ2JEmIkzjsg2XrJjkfAvxo+8yiIY0jXtd7ktu/FMESBX3b+6PEGgWuoPm9g2f/3r0
0dzilsXoUlQtzfpaFsdVaYyT61pfaMhORWCHH3Is6I4PYXUk8yj38DDNbZBwfd+K9gPLM8FEGZdQ
0cOiz0Yrrmjg+mPX9u5shB/SYMnnq8ne0Qofdr4SfpRL3UMh9HQA7pSzBxfK5XtOkvU77Vh/y2Z8
AbCvDI/rXNTQJ4zdN607JYNu9gYO424N5LqbXQ6quM9Plq+nIl+rw0hmlWriHuM6Cp67jkLN65VP
NW+mfW5riINVf/BwybI4IfUh7mb+A6eCPvSmr29nX8mM9LyFwSbrXVHT6NlocVfIFlTNIBVEVN3t
YuDs5zYu2h1g+DLVLpenmOT63eT6dujL7sLqcsmoTPD01hZUKJeO3AQsH3dSlwDxa2xm3Szqx9Dj
tiho8UF1EF31ZgXJ2PJdzVX76mLwfqR1l7kJPguW2KuqxWg0FvNwm0Co3EUmeJaueY94mRzCKRhP
9QB5ErZkeaz7JsiGUv120/xL6eDwP2LX/0/8JIyi6L+Uuq775ffwv54+XN/5PzqD//yD//QFESSB
O4SQCRBZKkTyf9In4h/QtqSEX8ShcP2n+fcvXzD6RwzfgiOeAtkJFDmUr3/5gvQf+E8UCwv+vQlc
/630SRj9Vd0iIV4SQ4wlpgBG6Pbrf8ieBLmxYdKsVZasXXUSrOVnXgfyfTRwRBoDMo0pVRTplEt2
kmMnvseJui+snH6BrFBPhdE3kavzg4uwosFiM1Vy5waAZTNIuCtLq/GWT6q8VDYsbi3ckwdh6PLz
DxLj/8X4C7eIzJ8iNAjkkARhHTB8HEPP5tD94ccYlw48Ma2qjJokzLqkojscifgyah0dlzVPLkyy
Kd1Qm8Ca6G4eWAA+nKgHHPbrGdmMIUnrtZMYFZW/p2ShLwHc1Dk1usMIETmcUt4IHKiUdccCWaYj
1I/m1gcOJKqx9IedEaFCXOnyX/9oX+bhn3+0SDBJpIAyhLWP/yUdNCXCezEPNe5qNty3fVDuAK7O
Z4gpQRqtzGLzKkc4Mg7XfwZAlx4TGQTkWvqNW90Gl3NJk18EEtvfOJ+U/NvbHskwIpRKPI4x3vc/
v+1tG4UrHQuVtQZc7xhFeVaYBe5xyb8VwQKcNGFF5mtf3uRVld9PQd36vzF98cD/9bPHi5AUAS+O
bwz87T+/iNG2vAiJUlnVqxfMiezSDst4tG03vhnkRqZsXZPomqzw82YeViklI/sU0xw3mF1DBWtu
4GA+8dN8TiZSJ3wOp7/5EP/NISZIkgkZ4iSQjDP5lw8x9stoaglnN+/t8NS1AQEPDKOoAbMNBAaG
hTkyM9Ak062GWtKH8U8K43pfqwYbCeDAv3ms/s0qJwyvJOYI2MWxwFnz5zdNtrSyXjgEYvxY34AA
Vxjo2uLWx+C1JDH9az3S5IezC9//99+LJI7xYVGcfyyhf3kvNGmWGtRtk/EkjvaVduA5eSGLnzSu
gpsVZuku4IJdzRPmyDRirZHpnHt9jAqMtmtHwr95L+j2hPz5K8ZARQjBcAozPM+bBfCH0wMPV2/o
tgdMEx8OYlqeBj0HO1FB1LUq/2iXqjiUUtlDXQBFrnAjH3kz3PzNG0PEv3kNFC5nAmGfUQDOZDv2
//hCiJXVDGOw3iyCsU51sNJb3jS/2nlC8Gdyb5w2C17EULya1hZn2HzgjHQbvBeyjH42Lua/OIw6
mGNQRoGXUejja/M4YosGdm3pEXT8aZiW6Czi5sEU0MQxsdkH5JCyvMpxvOHiSUVl17SLPwOBbwMS
GBafT7SkahzGSxCBesWaPFx3BI+KT9YXZBvz1OK8T8VYxR3iGm14xNA/fegl9GdXevLYGHJhENZu
cAeBF92oyETF+uQHxID6L2gSaqbfJxtJWQ42C0BI3gVFMN0U88ZbkrZ/iDcGEyo7cm5summ1oVmY
c6wEa1Ve+rDaQEGF/8eUsLt1apv9XMogXaYkPIo5WW8BGBdQlSL/JDYutOsLC+lvknARoNLtpi+E
dPrCSX2Xj6egB2MaIRNXpYh0yNtoY1C7jUa1G5dadX14Sb5gVUfD5hBTOI60/D53ojtAUtYXX9Dw
1G40Zj27DCdYfiP8CgViBnZ2VSJslw1Va9JKz+I6bAi/JaOjMQbdxT5UndKfLOkN6NC5fenjFplI
BrjB9NBjlsqlSUOTm2AkIDeXRIzfcBfofWlj+dixFsb/0uXQsW2chlMVvBZdXWWsD5e7ItD+LKdw
OBIJvTYJSnGnkpUgg9XPt5Ngy87ZvDuOji3fimR13+IxfOyKge8jBUY909qrYjcusTvLnA3QNjos
IMoulOy7Zmxu+8q5vdrA7JGTT/C5MMG8W88TUqbtIW7JsFdyzKt0ZBNMhlC2dwtkfmwua7c3fi2A
nfJAZQODnju5EaTc6Ju7aFHyJOvmmWB13y/OIxFkt6f2K40QsRLBrTC4b3n1XSchpNvSmcvihikN
KTi8EG8F8XgFiJeY/BT28Nc7NbRZt8oGobW6XVM6EHpeqC9fqxk8aK6hqh9hUdBXyRAyinTkPus2
is9yQCAkQVDXZm0L5DaF+5A/9TNv9v0KMScFuGeOyCLFmUTmbcK3OSpOcl3jR8j4ONnUgusxJauG
upNTP//yDp8zqIjO7sYWHhPDCPMQxm17gKRcnyjxauc2DKBvfb4rfDuBlQ2whwYCVHUbrHDTpMRH
m/fFuCuGPnz3HYTZybP+3uZJPWYyqdtvsE/trt+GwQz5lenJ4Pzb8R439RLCh0zn2eM2HDuWBWH8
Hi6FjbNZFIj/zDa4GcZWHuYZSkqdYD0mcw/JZl3syYJlfCekNWMqhBPXWrDp5PBAcQhL46EY2vk1
xEl754ukm7aMsNiHyHrsw5X0b3OwHWXVGxFAd4L1wRWhBb8jtQDMipOl6dVBx+WZRu0ZRL9pM1wZ
Jps4XmZL81fJDb/rhtEaYA19dQvdwh0UW915mavxuRK9ehpHiNzRahGHdW1xqtawPWGqvCKza18L
l8MEDTEh2pjeqaaq96KfnuakCt+ZZfLAe+VucNyYK2K03o8xLu5imMV3n4PX2dm2tAFY/sRiBdT1
WdN8uYGu/mHD3odplBiXhUKq1wkAxQNG+6lK8aGENxSxyqxyAe5dpBVhayT1c90JmfUOr/oQzDw4
VXRcjmVNh0PNFgNmNpmmSxSyKfgCah5rspK950zAbojEHX47Xr4cQt7u8dNPxS4ckzlMdRGAyR/k
RSPymyCgKVk2LWY+k6m+p3m5HIPZ0pcyQWx4GmPxVHU19NRaW/1GQ6VhG8CjSP00qB+zhjExUIQJ
q64EExbZ5iyYKU8imh/9woOjz6VpMlUK6O2LzD+EZv4z9LQ5IUKQ1RCvX8EDv3dtYV+4G8ByeFDM
2Sz7ALOcru+d9zLr5h7BvzyOh2+zt82VqBeXWuI+u74kNwKpkhtRVrDyVjtkWGfOJOB6B+SL57va
KXmQcqI/Bl8rskssgcIDuw+CGJtaGNEMJ2qdsVZESAxg294ZsvD7OFosJAgYoCNShsGIpGntl/aM
8RCs9lAgxnZY52g9DEnZQxx0ivzukIw40Jrxh3VR+i4e1zibwpY/IAa3fBtXOlyaYCVnUErTDReF
OgESdplbphjxL1fdlUMI841C7080JD+cJBDK5vUC2XM9rqRBZHbq1YOFdfGzGhKonVXUnfrORbeW
5vhe8upHRPhjMAlyHxHIbMsAB3ClcyqYukYaG05OAfzR5FGKbCWBvSnsIxL5CXYyD+uhDcJfooeL
scNnYk7IVZF92RX0ViCdhKS/wUOHWCTiYmNdX9E6vu9aaSuETIm9Gxf4uk0MdKyfqhc+UXGGk/Xc
9ux9KXqkvIYGBkIF74m0BXnzI048cLMgTyGjXcE14WWmJ5rsajM6v5vFeKPgr2awHPp9LOkzJULf
W2w1e+wjq8nqwnm85rx+k6MeHybu44/eicgAXo2bU9zWuK6GHhYiUnQCwruLHsNkKZ5FwW+msPmc
QXBlE1VmVyZ1czd0mn9ATkQ/QMUkPxPdxAmSmaK8pb59oriWACYOiYJBXIa/8tn0D9hMsoJLdQtR
DM4gX8R3QpyGyZsgJk2xm+xhaKxHeDfRXUdYCeHPY1TgkVJbGMRfMdKWJgu7+Jnmctz5yeI1+eAH
IfY2REYV4wMcW4kQx4PxagDqVpuoQo0Daa/lyuJshDtw7ZpKIL/i7Y5QABBT3FQngrjApRkChrRP
5Q9rFKwV7o/xOoxtXlyT3ut04AET+0pBnk5d5ZAaD0cSIXqrJK4UlWg8QEVjEeZOWhRBjAEwvD1b
x+TWIviDIBtpiqxUNMb3STuGtGicv6z4ror91LAjkjLJweTxAftz8EMVdDjNjRh2pQX9CkIsfDZA
LN6XisHv9za6jKTEzQbp6/vi4W1lvgrKnwpX5G2+rgtEQQ9fG1P8j76o7rtysddVUZP2bEhJryvf
FHaHeMOCSHtUp30n+Mlx8awMCW5CBE6/hfEU/uSmyU+Gj/ketRMIZTAfHbFbw3oZuuXNaiS3YKoi
lt2J8S5YahB4MQikrBNA2XaRhvvwMiddgqfL4e7G+DSeQKDAzIFFmt8roofT6JIlHdflxUK1+EA8
XRxzPSa7OdBt5pryfpl8m2FRRHpFjEeNa+XAKvGZyPU15o4gdz/wKwPS6C4uiunK5SGsHVDZx9XM
eOwdrEKUEwCV7YstHAHZ44gg/HIGylOmwxjCRnAl7sa4nPrfMD4iEJ1l/jbWNBzSRA/1dsVX5XIY
USHS7WFqNemgAlkfx8LhjLfD5K9xiZb7fgz7N9ms+q4D0fQtF1N74mNkrrCNzxg7SvZRNiK5bZ13
J+Q+oNjOSY24BId475Cjzho8VNuQW7ALUhzzK4gFWDxznGzz15dTlbu++cU3+6oQYf0BgtMdq8og
dKHasnjP8xbOEkUGTW82GPML3neVlJG7rJtRti5zez1VvE/RBWJ35RyftJjzdFowYceJ4Fdh0IE3
/HLggHEBaWm+nDm8heCUkIr83X25drCKzZMQA6YqV2qGNNZm8ZEvt49uxp/+8gBjVfmMbcbgtFmE
RQXtvkloeUeBKB6QZPq9zkwfkdz1Kb52oJrKFoOo7CyUc5yACw6jzLqpP/abPSn/06n8ci3pZmB2
0Vzfo10juvGbvRm3tP9ItCXvvnEEIa4vJ7Qtgyorv/xRaFIMo/kCnDgOO3aNhAx/tpV8zWNcaS3S
t+uR0SA+ukKoZU/02BwrpMsOkc7DQwlgvADwFJGziBjP5rXp3/lm6AJREs8uCiNEPSP4vXGl4tRE
CIFX6JtBCG/uMO3F4KMzAqc43yzj/Ms9HjcjeUE64Jf6cpdFnBfP+ZfnHGz2M3AKONHxZkojzovp
eIRTDf8lOdQl/dEUy3IJ8uXY91F4n28Gdx3YcKc307vFafVNizzaYcyuT4SuMxbN7dpcUUwzTcYg
eaS632KpcKnlX976QFULn72F5Y4+l3BvUMzx4piLT12C5phKwtVKNrseoVuy1wMJEblR8b6p+gDr
StRn+svuLx09Qh4S2RxHWL+ncEK1wBcjMNecYAGLkmcgeHRnvexPDtTTYabFXGRxZcFFlOYSI5j8
g+Ur4lxFqzElgksYlqA6tkz7U/SFLUwbwTBXAG3GCcmBuiPBSbpW/cRIDRy2UPmjRbwny6nr9oVN
qjMb2vynj2KLybzLz9OUUxxMa9Se2o2uAGgNN8EYYAsUROVNTsL+Ho9FhTMgeiu/SA00qTR7J0cc
4hvIIQZ0AuF7hMQlEmYKp0NvWAl2AC5bSwp/QgcKwPCNDOk2RgSzJoggERTgxkZ/sH04Y55dWywW
ziPYp8xzK3v75izaZfjs7pZIPkRiUaibAZ4itB5fug1ZsRu8EjsN0SduVtBOFL0Vy3KO82lIl416
2fCXdQNhkKgiRwkGqoab81hUyEpDvijQSiLUDd9gGjEgH10E3O/shtpEG3SDNB6/xiR2Ab34HAT+
c2IChE60wTqglCCUbABPjdxK5F2Fv7J6DZfulW+wT84grtgNAOrF6M/gKYoXu+FB4H0QTa/QTPJz
+OKH5GTZ9yH5FW1oUYhAYI/xDcBRGDTuCc+xZjil7RXac+xZYEX9FW2wktqwpWnjl9bAn82GNEEm
FCllHumbDXgaN/SJRCN5WCQFq7+BUfWGSEG1x6jDN3DKAS94ymnnn7Y3SM9uvQrseN0IDg0twO0e
4g7ALxd7yfx6YzyQetQH3SUWlINcgiBl+MBERvCeHCZTR0i/4pRFS9Z8XtFXgYxjRU8aWw4YQDwP
ru0kzLep+r3YoMyqsKoOYMbNKerhzGucCikbmhWKXrgekAAJ9wNpgZIRmh96mIZSivVUmi3A3wzy
ZetIqHqD9hUzquSaygCFJcZssXLWnkE/os9ooMHZc1CgCs7ZnsNTzwwCrheRD815ArGyY62k2FdY
vA9Qe7NnzRwAmE2SW6XjaMdzDy+/0vxENBfpSpb5dl0VA69iuw5sQhm+F23iUm00eLwoLk7YrCC4
s2E6iLq90U27bqCTzxanr7yd+l88wFyc/u/VY/pSqB1C8nbJkep1BBgMgiwIuVYGfG005YdgFet+
4Aih6Bm3aFGareKiiRFnrheEn3NYDTrp1wctu+Gewv58xfz5htYQKNU2h9KBz/t6tvLV2yJJuUtw
FxiMrnHUlFeN0RkOPHHVVnH9mCweu9XI0bCzq9E6INKa5P567QpzK0uRXBzCQTtskCUICcgHrZjH
bw0HnWEgQ/xGoAHfGlokb36FCRvGiXvM61wdh6YI74Hiqz7FkXHwBeOof1qW6WZY7fi9nB17RmAq
x2pmWpAEo/tAY9ZyVFEIVgZPE4bhiA7PzmkwHJinEKGYd3W0jAe3xh+kkL8hweLdqCIzHusq4lfB
DF6TlQqNQDYa1e5Lgf0frP/vsP4Q1k0MC+D/jfWffo/j7z+anPG//sw/bU6U4qEOD/+IzYKDpfkv
il/+A19fSRO+Fd0hPBBCff+XzQlvlEcM2aOYo00v4tDD/2lzsuQfsEwRo+TwKSRFKcF/h+KHGfVX
iR++kIRNtNlVjMHx+LOyjmOvVNYDciTbIq3KrtvbTmJ4mX2QPJoVMiiUj99IlzR7GoNjQe9LlQ8o
jmuTxNw5hNguCKyfI8iBBz7NQGIrNR58r93Od6Xdw3Ncb4AQoeLMqgbbqZ0xfAO3vTDXv0wQEC+m
Asw8dk3wVKjqx0wGAP9l8uGV6H6Pxpxko8Vek9oewjZszpDX3Lg1rhR7TEu7JFRiL4iff05hwM8K
3tvOBuuV6kJ/HGcgt/2qSIsUVPh7DfVP4tzDzLGzhv2M7U7PyXQmBoMFzl+HfpW2P6thia77EaIt
i5f4BhQgerrKBr+bSQiYX715gQqnQ20lEOR6Uecwqe3OlQqioXtG34+HeVb3J/g36Gmp5HQaLVl+
h1uhnkerE5zSML5iK7pQqoKAsqtK8lqURO3EQhoA4TOYCozFsFUnIHlQ+VKBSbkZEnsX4brcYygV
19il0X1AqP8UoC6zZvxe5P7nEjcdMvjgy1YYRXdC1cE+YXx5QQzWfcocGt1a6VNB6+Qk4b3dgWJX
nz7BcSWh42RODYA86sZmqLQ46MCbjzWqkgfFFDlVQG/uBAdVVdsJZUHxqjGnR2jr4AXv703so8Oy
WUZoacxPuY7Wtxb4pt4ZKELQ65rZHb1Qza+CD3qP41xdyoaVOwsFEEiyLO8LvOfIHKpyp0uNAEhc
QpVJ+HalOllDYvHDqYj88ECiXB48bTUYOUG/dwqiSNQ4DfyXuw8439NRQXEQbXw/IVF4IDGBfrYB
2maqAc3nxN/kCzR27HQ9bIaWX1kx9YhyDPQxboR5ylm93mLESw5FmWwQjxb3SPEWh76NzJMcw+go
+rW67uJO3MfQAPBJYf+rVvQW5kv0mgfoFLRmkSc8n69KQ0/Gc4tBLo3DqLxLdKd2gLjMIRqGb6Th
ANQVJ3f14i16o1p+GpDVv7K9K/Zelb1O+60dIMpbwJCjWHYJyKYX2ZsJRSPJkaJaABE5je4TlMNA
RDsWmo7ZshURyK2SIPlqJwha1DyUcBbu64Xf9ZLmW5Bs+o5yPwDwFINE0bQ/QNcjY+g6jDxBVz61
IfosjB38foG7tPeoBDsgnX82ZW2QLwua27ZOMlIxsPgtxBhFAPu2bgLSWOVHNUp1j/6Ca4A/Jitr
dOaora5hnmSZeY+Zv5n7g0anA6m74ViXJWrjUFJz7n1rjwj/IF/bYZdN5dYOARJ4uQjWo/GIQaZo
O4+an2I2p5aJ52lrmCj75XuxbqUTEHFRQAGxn5zqIBFvsCLqY7hGZUqD3u1GlFdUEF12ZY4+ixLF
FhIyJFyjUMbnxsHnQPla+QaZ7hM6CzJDWzsG1onLhNkwRV9eeZ83PbgzN9CsnfL6tHy1a5Rb0YbY
KjeEIWjfaGqU9EgOYShe9GdYKLP3W1WH/2rtWL8aPHoIBDlRJ21Qj4BvD2o+lnB9YNz7tFGwGdcQ
k1K8FYOUXx0hyvOHmtsCs9hWIcK7Ok8HAe+xR78IKFDMn3GNdEqFw2jcakgSNT72aMfD/lH2gP+6
ME1QmvINwx+2JxeplyLwLTT3jpEz2SpPyq37JG5RnfXVhxJu1Sg+cvbabHUpw9Ka3WBRfciqX+FW
qRLbJUG32LISXJuR37sZxYkAH9QeMjMOla9qFl5jAJ66axarnc/1hpHP8BvxaeFdrG7JVvESb3YR
NLM8XWGkIqQF5XrzVgsGlzUOq/HSuBX1YAu+yIWEG9vHn9WCzrYKkEGabI6tdn2Wbx5utXR8J2Hr
jpu/28DoFZvjO23eL91c4L6PkQHenOFmhRdU1hP/hURt+LOKo/xdb16y3lzlavOX2eY0+wkpgbxb
PhlMaLpoehsEAmU7cpjyz3WbeWtA6e085JnZ5mGJwbhuoYNX26xcdKpERnibnynwYL/N1KqvO8yD
26BNtpkbAz6qZ7c5vIHBfh5ZydDkhikd/n2AzXdRe7Tjouguzmk6bnM9lpXmjEjUcGHb1E9QOLgX
OTO7ddsJ/oO9M1mSG8my7K/0DyBEAcW4NYPNZm7m5iO5gTjdSczzrF9fB6zMkqiI6upK6UVvepMS
lGQEnTZA9d1377k5kMLLtMwJkRp6v8oJzDTLFJH8HigqRgvyc85r5gBQxXKDmRCcqgFaA4Ny063F
Mp1gYlLbypIKUtoyuyxTTNgzz9gR8vY4RvFaAbf5KsyA0VsTk18vs1CwTEVoRUw2y6QULDNTv0xP
eFfC7Zh1ib12l+mK7/281hi4yEMJgnululRzSzqwA9ZoLhOaAwYOIKNnnTgAcf070xNrVeuJS338
7gb8ElIqgZnaDn0TDtjP+XeextJHcuwB49nGsTP3EjtMl67TlC89k+2prApuCRWueDtwsTrqWnEQ
rNSNJchDJpAjI5h0JvioIhy8RH4gg5a4oLnIT0sgyFqiQWG7hIS0tvveLsGhNrBjzEiEidolVpQu
AaOJpJGK4yVzNCb4OCFF5et0CSUlSzxJLkEldlFqNS7hpWaJMeVO5Pm6SbRJT8NmzVWSvBPqMtmn
8ncOKgzTwcYRSjyqdav527REpnqocG9tVlabcglUBcGQX2orJmVVjyZ8om4JX2kjMSyyeWQz1DRv
R70o/CAPyGuROtVO+e8QF2kutcS6jLqt96nBUD0Q+cLnFX9ib9vLQi/3sWj0XbVExNwo0gkKxeTG
1BIhw/mkIdITKxs78vXlQNRsFibPGNWk91RlxmUciaSBlUNizyuIZEtgjfA82TV7ibGx+SbRZi/h
NhF50VEn71YtwTe2sfLe/A7DlXMB7HV6KZagXNDgXuuTAMhr2jVLkC7VtmExSr+t+wh1cdlr5Hm4
y4eECyRhPISoVxDLPXGUcmBvodXeOcghS5cNh2z0O9PnNcT78NeNm3zSm8kPjJbogmkOPFLJTwA0
/Z0Q1H+nBWHtsAHuOxI6tjQsjCNGZe9kToY/17WPQQT6QfW6BnNZYR+X+ZOIoOaVzhS+pKYGJrJJ
DzO4rvegjp/tNkhIZmn2eZJ5wHbWRDfiKN80nj0uq2l3V00pBMvc4HHfRnm1UoNu7UcrhAyQJPm+
tWAVdHU6r5nBw2vO/xwGNnmrIs2iS4WP+doadvqk2AM+uKUbPnrYOlCXx/SYcc3CKmI/JnZV4Euo
Y3GOtCHZ8ry8G2XEOnYMXI7/vEBMmctz7hE5nyAJraxC7vpKkGInbbfHqf4tMMG/WiofrpYt1I+w
JF+axzn7aNt+aZdDriBWjAxssY0fzGzj4WnRvMn1u2DqHosKQczsjjneJ6w3IApUPNWfXtwbh561
/q4xdVzIPE4GFlybKImMh7qb5CrQcvtcFoNz70P7efR64pIj/9V5Rm8v2vG718Z7ZVh3q8/CVStI
ljnuKU7YEYGMgPLUk7Z0c3IInbSfOL8V93S04QlrQX7IsKUcPFM1V1FHJAbxHZQbfMxVtDKHPL9z
KoibmOs03HRhox8zmQ9QCrB8Mj6E3zr+I+egViB2jfR7Fw1AuHNhJwH8mAWgG+lVeXVqZTxwxZQH
tuT6q+FqBP06nXvMoAvf5l64mYIhuNth0DzXSRUfQreXR24WGj6HOf7phh73aK2P7kNfwf7sh444
FqEHYGcOMee0qYNbbBFAWBmj1i2R1/qI8LWVvZ7eED24hXjxMfKc/pHgTLHVsMhsOl3p1yjr+qPS
F5lQH/jeqkBjWcfIQYpF6H7eYIdR8VD97HhY+AZBroLQUj74CtOBH0ryDCA1H/GazT89zjmV4X+v
a5vkZuZEhJyCH95k7bu4ZPs7ZvkNlwrENSuyzl0SqpUFz2oVteRcFHtMn71G1XBvcJJ9HI7Lh2Ry
+u9eQqxJSe73EwrJzhLRaxXxKHUzeZeha26QfWyyApb2raqg4eHT4xaaVPh12lh3n/RWim3ilBIj
/Qz9RQEek55ePGX1oN61qmSRIx04jXPs+lXJLt6cMnlig9BuM4AYXCtTSJj5j3I2u8f/r8/8T5zo
LhEUx8BT+r/XZy4/P9PsZ/Gjb8Lf2IX/BYfpZ/NR/BW98I//0D9EG/MPUzANe1zzcVSaFu7vf0cv
6ALXuukAs3KEbWDX5P/5p2hj/mG7OCUxszoCFhKe339a0+UfONwRWAT0K5cnvvuvaDZ/Nxc7WFMl
1mdODmH8zSeqssl2BkaDdYbRxKzC+dIMc4KOqQj7xpnDUTiSSE1IFjZszrN4ePjTK/hfucr/Zsd0
hOXYixHKE2C67MX+/CdfaMaljIBqpNalcGEPB5679cL01gpSdRoLxbV02twPxbKPp28Bcx2mQWKF
azMorGPF2PqrndVTOZU3NQ7Ps23edIsUyaClxTXDTlMbxhvDwEHkCCTwhCag8Aq3oVsk2g8IrCj9
IjfRhWEc/Pd/t8WZ/Z8sr7yvKGKGMAUblN9y3Z//agNTRYjVHebzrPfrTFlvGftBvAzMh//9n/Q3
5Y0/SSf7IIVjE3Iw/vIiKkNjxVEtbgJdwKbgzsAdIk0wviw2iaY214Mrdpq7fJL/4/P/X7x7SIV/
+0tyOeaT4+k6CR/evr/YaXVc/p1m6mTo2R09KCOaDlKUA1CfgcesYc5bz85btaZmoPYDV3zvms45
1e0pdOoGSrCqXhWrwRWqWc7rMymCVkwlXqqzlBuAG4rgl5TTT10BYC/0dNjYA7lCzFWrxG0BAi+8
fUT8/mTK6pxXJXECjZNCurNxTFqRHR3was9xh/at1wB5izOeT2ATVm5Bw8nKrQEBqbIXLnojMfsF
8qKCgS1yo+N6rdrqAeXAOM1m8lYiHKxsyTN/PZC82DqpVEfbG5fVGna2QcobW4k1SbQT3/f8lLnE
HlKuHmJuWuhGoGCD0nkpybwRLuwSv6iLT2tMWxRJ9zyHeXI2JET4MomSg82+fl2k7PiT2bs5y8wL
MiJ+KM3sWhWt8TYg+V48XpdbMPVvY10a58iWPqQ0ua7GqNkos5l+hL1bo18WW8pZHkTqcsYt4PEv
QFwsi4LuaR7sdK/p9rGC6/oki6oMd6IAu6VUU4PKdhs/y5DDFB6pd8+awouTMPuWeeTsWnwZYCYT
BU7fOk09iiQpgXYFq/e5ytvyRTOZGABj4I7LHL3aGph1WnN0/dFpmkeWvPKJPanrIweqlQxw20Hg
7LUfMRuoo1lxR4frB+QotjCz4Nxs1m5g4w6y2Mkdu17Ku4ujweQcRcHtqbzYRI1d8lho9JUIm+o5
GZ345DZjicshZhCBdybvwkVoxA8jdvhuY4cUc1VM/P7CObbaMO7CzMIX4mCwUUmqdqE3hV+ZNTyw
zXVfKrQOXsNU2BfMHT1TkF6hodbm9H2WVYlPo0GlcefqVlEAcJjw4i9pXHDMeYBlNNYtIAR2yUex
1WS2wQhBiYnVtzuQ/MKXZMv3HtInykOrj9vaMRhDFC4J087jI/yqdmdmzPwu261VGeEbFzk8f8y6
5rbPAIPAguunX1XpAOgntqp/b8JZvFkk+W5z23mPo8C/R9JZX9dG0n600sCYXFHysapM8G3GiAI9
sWh/Kmq+cZDDCFRUwXdFtJv3OgT3aUTaD8diIhfoxRgt7Mn9CsE9+8DFsm2dY1QqkxAzjDN9xW7A
L0MZxpu8E3vEBQ8gd4E/Zwh8M1SPSf/DyOPmjAgSE747yxIrd8O6I1rDfk2NlQG24Zwhdq+SdpCr
IbfVCnuOOixQhS+vcYKvwUnJ42qROhhQo8t1JKPu2ZtKOIuxTZDUttKto2bxWhtTsGujMnmMrYzb
pdQ6bUJedZOd0qrIBzxUPrONRENvk19dGC7XNgLZW5SxRCLqhT9s00r3bc30RdMBvHWh619uZ3Y3
kiDtpjfKl+WMXwPMU7tRe3In+5AKPjDYOJJNqxEk9Wp2yEY8cK+EwbP2Qse+TvmoNysA20x5jXyN
2OkXo/uuiFSsWx4JJxbR41dcdd4PJ6tTYvkNJ6AkbK/lBr/XhKinS5ysWRdH34o2QQvK+rmir4dV
pcy8nBmw0z4nBHk88t30lUzR+DNpQM01UdEJf+618JhDDF9gOE6kMUFixrQnoW3cBso6UWPWMeJN
4nHeFlxMsco2LYx4134tag9etdaFxkOQT8APzOZtALuK/aK745QEhqcxsMyNl6/1QTuPbfJEaC1k
PB6T3Zx6X/0cvBYBn2NdEfM2wjbfsNJ9Mx33FkaImyUs7FVe8hSdTeLdBmrvtiNatp/TuMVbnAzo
NHV6FUFCSsHV8m1NVcWpgBHxREL/3nrBTS7FAq0Njr/uZv3chW20VilFHvlUvHamAYCg7o5Z0F9t
zblUfP8BFmS7Csj9xtTsaT2z3z6Fc3krOIrXkeo0v+BlOYyaDaUZynAaLPy4PvkKVfQinTL0NaTN
qRmZXlIvOwZ6ADmt0bFXGcFA6UFllHvD0bapEcV+msac0yEjJjs27PfCzpBerYcoowEKK0T6wOrr
g0SjhnKbMlpVnOvlUD/PmDX8bggvAXPaPYVOczDb6A7BFymhq/ozZQ/622A12U0FGGqxB8pDk/Bc
Xz73Hi4QrFPqmC1wzXkmV5y7GMLdvG5gA+Eu9krsUvGkfwKnl29hLTP4jjir0fiiVV8G8jGvUEM8
0T1H9jCvpwr7qi4oashMFjGdxgaDNf9uosdl4zHa1YypdGG1nQ+hxDrEppavHJbqm6lDcB/oE9AK
GCgeFJNjnJguiw05nrLGuhtJgruhVMhQeGR9hd5JjNvLt6TPx33M67ieJsGDz3SLtUwBUZtyyH8O
YYupblD0cCRuuA3nGcYOPR8Tm40jwP+rBaMGLmUZ+7y8PNJCZ2dGICzLxRyczuMZZxhcSkROv4sn
rOY99Bw/mUVxttzYuJRm8Nvulq3C1mQ/aNcvaaZ/zDwUcymby9AP/Q/QXQKYU92KOzhmwhB8gfRP
oQXtxUs8+4qgohHWgiVPnU5EeBuvuudtip7xFHi/7QJjrtw68uPY8DFMgTF0vci6eqycSFbElgFN
Og6yK0EYw0Igm43HUdoWW7hAXztBb60s1P6eSdTejiXh8VgHJ93RlFHTvrWyp571QpXvTf71k8aK
4XVhVb7DXusfRyghzdbMXPujDsrKTxqrP8xqrtcQX16SsUcdxFc+sRVMCfvgnNh0gMCfi5kndxG5
D5oODd5DJ93kILj8pvZ+NVNd7jk5YmJB6u6GMKvrXsmN2aXwk9WDVi9pbuRQNqnv3VjsIpQSpCmb
Y0DGv8xKDreysLolqkKngj3bb5bNPS/MUmdNl0rg10P4GLXZayxm5Xs2W89aqBNMBzCLTYlb35Rz
64+985JNcEVHUx9WNrrzHuUMCd5CjG/gilpeKTfUsOC4scv1iDBfS/3LUPlP/PzPfea9EWafeCxh
emTvPO3cbLx4RXjtgwzEUGqBZ9e/FwAdCfnKZf+QG9uWp+13VhJAssF4VlA5j2FoGixeDIzxRUhE
LfRg1GqjVxzmvs/OqHDVr7hXNBQkorkGUdOdg0Rf+sdIJL1aRtLjjyq6ErOIvhDCU9eJLlwhqgOh
rQi9uhXnRNe7Q2HrmPi9SJyMPnniLhiwRUs8Z6WXnMuTUYtbaC+8oq6s5SGn3OYwgPe4syjPXt2p
hkuHv8qm0czoui/OrYyOqV5ttGLM3ohz0PukEcqROau+NMNVqIVkOiwv877bS/EEIh0X5a4cFaVU
c16/12Zn7pAM2aZ5QVkfHE6r80j53TXCLA1sNlT7NB3NkybC4BtVN9BMkkG74vzGS1jAZJuImu2s
AUofMN8ExlkecyuL4w2LuY5qGSWBJBEJ9aaxPjqV255KPZ5u7Nrj96hMjd1YBc57KMUEXyXRjp6K
jLc8TatLbIbjzmuJWGM+G4J5JYoe1UkQFPSDEnowlst0J0IE3VLkLG5dQKkDPiWMu6jdiPWgx+Gq
KL+yGqH8rrWba2+Y5h6Dd/2MvEztWGuE50Kx+VpbSdLuZqNI8aQ63ZlQjlg7E3T/uYsA4ijpjOwz
pPOZIpz7BmE36vACd53akzpjbpyf7ZgyD8/gtAXtaQ3rGP/CYZwFvsqoqJ/w15Z7RUh21WEneNW6
5FVGvfbSWOpVTxU+pcA2HJhco9Zkay2w65tVxo5v1f1bMNfTWdO15N7VngMl0G5Rc015DivsHj2O
tA21NgUg+HjYm0bT7TLVuz+GEpeeGKK3pnBSvzftlh2xq+8CnKI7LKMZ3wb12lGD8FD2TbPvrNb4
Mc/TR5sFqJOGO9JE48y4cVdBntGumPexvCdT0N3CFATOqPWZbxLtPKly/F7mPASwieL2sqDLFyF0
pKqm4Qt7plbsA62EIdia0CSatO++VAjzRuJV39fQTimZqqh1MC0x32qRtH4ewvqi6qJ0f7ZdXKyT
xfTmZemTbpAwWE25yN7GOTh52UDWl9GsfukD763mMCL1RrwUwK8Oz8RIk4E52MKzb8c1R2wdzO6u
JPp/n5Eg+Evg6zhELKJXjZT2zsrn9CbbHLKwwsH3IsqGdXJvMFCs7MZOuI5V4bOTmeFhgsDre1Bz
vse521+juiFlJ8EMYQ8u8ocsj1jxEB3LKj9rxukb5RByg1IbbWnjYWPNgforJNH5K6iBm6zyZZjc
WiNRLtMwiyMi9wQtsesZZIZAveJ7iC91q+OfcTK+613cGocwFY3Pl0Dq1wHJP9qqJuzJfwIA6yF8
bNsyYVLn2Z19Zy9e4XFIpvuMVec8JV3/YuI2/Q73rtH3ZuRQn1hJi89NaDn0p4im4GvlKZoZ+zEH
lulJFqjLIrHl4TRrXDc8w94aWuPSTMl9A+ZI9eC6sEr8uHerX6kFOXSkAKqAs6mZ351ZmhgKE1zX
Nly1icMSiOhCxEckJhQ0bBwXKua6gveMYER09eckM8mNnU9jnAzFT5CMOce07mbHqMeTJwjNxY+0
RIh4Ewa9t29Q/LnqpAnWVhZvzJ+2F651PrOnLMr0z4HeoZsxFcVDYDFv+zXL1IflK34eh7h4toI2
AFilL1tyb9IPTZ/XF+Fo9haLS35goUPYV3XqmtNAsw3zeOG3lCWJ4R7qb9Eo+2G0de66Vc6jQZTZ
ZVJaejaDbsN6KvML1tPndrmK1u403lOATGeKtaYdOQ7nHnWWSc+QJskcoVuAGeXGTHwMh01CdZ+j
LHeP7CV29EhKjuXA+gb8Gzd2iY3bbdp5X3S2epjcYd0OoX3g6dc/zDbCCSoNAbvGyfeeG8YnchDu
WjfoIyKBBapoefNMeHQHNXbmMx5K71B2Uh3mgdVJTxD00Gdm/jBTCLWpMWNtgFL3b5jEF/w2Zkca
xQKqe9RtrjxJbU3F9Q02FdNQLSNoaZgXzhNUOG2Dh7NKtpY1sBBKO14ZO2SpOpRV5cc5/5jKHJEg
TqJHs4qTW9jUCD5DMe3aOK7eEZwYRmeEjvXEifssXVppVuzg9cfa0o0TXzX1ZRH5eU1GrFirYDQN
zmZV2D5kUg+AtLJ/ZFG6iCUkN8HomZOHEpYpkkUYqai8LEb9gjlK+rx5RDu1pN12Bi0nXQzziHU3
4TPwROrUWqZW+mXNBcEIZL+hMc+C1Cpi9dwawfTEVTh6NvtlC0rcqvsMeoMLZupOxqMBmWQvYszP
VFQpAgIarLF4jutTo0xu28YSfoyUQSTtdyQSgk+zjZacJJdJbU+yg5FzCDWHjESVPouCyG2fxCxF
xZCuxyV5iWbIqGCVXvKo48t6S/phWjMmL3HNVnyUS4ITJ1xCByypzv53wHP6HfbU6t7+1iwJULVk
Qb0lFdqV9nhhm8f0t2RGSXI9kRElhmnJaxYSiSdpr93VkjUFlwFxb8IjRYTKdurX39Lnv+Rj/Z+V
dPzftH0sP87nn2pE/vHj/T8t8tBNC2rEn4Ti5af5T43Rf8f10Nfw7//SP5Yi1h+0FljsPnCeegt8
5z+WIjp90bpteg4ZCcM2bfTmfy5FcLKy8WAitAwgWIb8E7BH/IHObgjbXVYIBquRf2Ur8lc1HYaQ
g0/WcV3qPJDV/8Lt4JFGjQci1Vp7wD7EgpHJlMSG3f8fVHt+xL+q58sfZVq0mXhSl0Iu+6c/rwg8
r4kSb4wKWiCWkgaJgF6u9UZwOKfrQdR319aetb71e+hYlSJN2IbGL2pQMnLcclvUMKNTUT+FurdR
VU4dW/hk4XFw5PgxOrVOX+Im0LgVFe9Y3kkuu8aeWqZDW003zZwejbnlG6uTk+wpdJveq+nAOdpN
28EyPu3aYGDsLyV3fgICmEQybdub5CUDzxrXQ6td8cqQPg7dpyjiIRA2jY/utS69B97Txxzo7UaI
bOlfSA6ZZ65rd1F1x12S1zs2w8fUSgSIoGYza+GBDDIbaIksWW742XZGV++yiOijoI6sesojCHE1
K1NDBGt37vCwPORhddPSBXgdEJ5JbOcA9hBSWvTTHG2/0Pjn6t0UhFKAIXB+P9ZNdFem/enoDP/h
h2aUV0PGVzpX/HLCuQD4DxAAeWIyBx1kh8L88oS3qjG1wXJ55fJybWB0DjI8u3Z0Q7LhergwQgqd
vJ73MIfVa5V8GANFQ/zGty6VHPnJHafXoxcEgAkb91jaXI0n42STSzQ+zLn7yszXFlNdPVdfDbsB
6lMPWjjg3x9pQoZpN636uhfcu9mlm/b8GZTeYxaEM3WW8Vkh6q3iAGMZqcjVMKrriEeMltb5DZWG
QIRhb4RJ4yYNzqKfNhlIjYtyNLZ55UPbbBoqO1f1DPfT8YwPWRVrruY3rvPgQLXx0dDSX1br+N5o
Qw7tuHUZ3tVy5VFQ5Q7cU5h3wlnrtKr3QwEKNihiDNOa+c5Iqq0t8vpQ44L8ly23gItXc/4alDe2
U1QnfOhAEArk/KW2Smq0veYqQz2RA5SpgY5vMqf21YlbGOo9Fucq3nTp0J40RQTKzcJr1YQ3MizH
tpy7LfiJcq04ebAifGsibTMz9GLp9LPpPeLjVX22Q/facQFKTD+VW9N4huWaYjdK510acHA25yFR
j4P1KpBnViZ+DlNYaLOtXxevbflz6nzujSurfveI19gkeA/TiKocZNSluVz+B4qE++pLT2gEfHcs
bw2D5hrkx8LGxCzXwjXoT9w57REdvq5O1Yg38ArdasW3Z9fr7L1IrJoUylLw5bUbRZS5LE2cNpgO
na88QfFXNO72wVcxcjNTpHcKCcnIvUAkPzoDl3YsqMRrLNAt/XDANXv3Sm/TJsV7OpYXFiGooziq
m7hA4MoeCJi9ZZL+lthOXLYoQ01Ulh6vOKHhS/KrBZ1bgver8AnT1fcigYXceZ+NtZ1pOy93AO+5
Y7Ar26Hyp8nYpZriuWTGL8iHT0xTBKgR4fTe1/t3L7toAT7p567dsGFYHBj5oXDCrWfNQNWN6kwo
FzDGsWGtIe34uySDYjkvAVHRxPxhjse0/Krnj75iPMeAOgXZj2HCsW+mW0sR4VHFM7a312raj/qL
IIl64OWsV4IB3ExfUHE6H/aoinqC7S0D1a808C5tR3FeTggLG/0qwFTIshXLTUovZfkYATONE66u
7T0dk6eY5lkXeKHQ4iOT0UoM9c7ushXvilL0ZSTVIdfldkj1lSahjVfii5Q3j7D3ar4R8l32SxcX
nluYPeE2x25CQ+JSTYcdysg6el35ads7oMq1HOWxAeEj5adpQfIpKHQjMukFlLayeDD4dJLG2iw8
hWzqSCvr+0BdxpYFt5mwzXIZ5IJef0ynfFvNI2vgEDzuMwu5i0dbqttXv6yRouDZODHvHWUdHAnY
2b7lLPYfcUq0GvbK8CRbPohl+8pebtcx6LgY6zRqdhz6MXm6E9GMyd0V1ToMv3nx19DKcYMLlWhF
wWZFsQlhK4hUkvtzwm5heKU/ZY1j+rvbSHdrTi0Z3hp1beLZBlwX/5l+gRK3GQHgzubse9ywEcBF
Z+lXQpSHyQ4/RYxOFJifONw3Q1k+4ajcxRNvPGsPEnvxmubsS+u6K9UWJ8BfKygABCx6UtlA3mSs
P0RteZxs41aHjw2S26gR22tBlKKOlr334XhFTUkr+U4glSjVRx08BdEw0VyobNlMrEE3lKAe4kia
58kmcoisLUmirZt6JMhglofOLeSHsn8C0/2QSLdh+TD39DcuOF+HlSXtxrNRHcF7r8q884NR24FL
3Qxx+DXkoYVjWVnfZIX8lpDODIzHLvHI/osdBulStyhCYh6RmbYi9Yca1/YPbKbbo9m3ZBValgTQ
Odp21ZRV/5RD2HrMHOPDa71jzrY9IXUKgyl9HAOhHWVkm8CqynsjeWua/nEeyOP3yroydvldw8PO
bdYOZXzpPN+haiTOzGc/Es4T/AZrT/vvL+aB0J/GRREpgmHa1hN+rHGu86eMqeGx1hCUtJTOJx2Q
OuJ/d2zpazVKd0ukfdVZE+Ufzgc7CsLdrWrZmPWBm9+mRjgLtgh/nKxmvgYkfQ5J95ucwIewCCau
Rj+lc+3VRbr1Vo8ukueXre8Sm5zlfCQRcDcoQbznU42/G8pRjcE5zBg/8no9c2LS0OvXooR6Q2Ey
WR4RwiLE+S2r96ER6yDLDxbZ1Uh8jlO/qjAmg+V+8CommJHASJ0l1xzFdhNjV2eiO7sJ3Qn2/GPM
mmPdoSG0kinVfencfhvgBCUschlh6yQT5VLFxEBZeWtHeP1qtvMbgZeVhmALHukxUO29mVhDmNob
Mtw2m9OnyVhCjNPEFzn1Ww9ZrG7pdXBxwqwqNz5z6lYXAH0GrRiBPzh8B7A1GLX97CHhebI+1xjX
8CEYKFl07QZD/+RklGiZr/SZFSujDRrMyuWDaMSjiSeGv2d8NbxNRZacOmRfaOOIMuBrDryIzLeN
4kXOGTlWii1t7a0Gu/USG7O2nwAjfzrsVcmV5/Nbrr9RN3Qw2RzqlWU+dzSLnQAb5h+WJUHkDG+V
7N/7JnrrBhLHLBQLkgtsnHPvYIl7wTeeERcfgtkD2sDlH7irSf9J66MJrKh6bGpE/2TSSazTE03E
BoURVQDsmbnLl9vrCLINEPFbCPA3p9Y8dfddlD6mkC3ap6nfd9lRkX4ZMp65/XxESd0Qg6ZaesKs
54aQK8pxLydnZahwr0fOitzrnfTtbgmvOS1OG0HgQVPOW23ZR8EK/wAdRK1sYATltMPj+VS52jMy
nbca6+EWDF60IvdfXSBGhQUZMophUrNAi2xACwcOfvoEX2XI11+j40HE1BCjvO/1Rnuo3Opnk5lv
hp2tSGGttDp8kywCnHrZ13MRYK/uVs0PPZh9STKVKcOhqGvwjm2TL6WY+nMXGE/a4igeJC7gFgdz
aou3Ms6ICelpfwgd2gyApOJOcYrOz8a4voEubrH/2t5bmkl+h/3M6m+txxgneqs7BA5Xc5XknzJx
y3e9HymXLo4WWJcbrWacRzwgE/OFrCrVbrFxtqWzcfJlYfMwFWCMFQ9DDbuHk861P8DD91Wo/+Dz
/dqH85XG0k2dPuMHI2FS3Z1+8B5aIda6lHLVRkHGGilaEfMtmJL4tlgnc3is4SaMbXtoMKKUnXHH
wcIXrXenSzib/Y924iM1hIWvyDQl4MhVQQSQ1Hi+LdgUs/lI1l7qCWzLNIEPQVnSf1wAKWycepen
PPN6lZYnesKGbSvcT7CsapW19LUR9tk2lefjR823lpH325yy5qg/ufiFiNRcMMBk2ZWuuD2V2ye3
ZI0fJ3QKnY2+3NGaTFWDQVy3utp8o4i9XWLrNgjhl1L6AfOLyFKIsJvUCP0QeRkOxLfE7daZGF4V
6svcjJBDsGOXve1PymS/Jwz9lAx81Ic4OPfGe/v7w0y4h5fsEdeKpPp0IrSVc/SqnNEgCvXiNCmE
ztZMq71shIskNgO8i9aEbMib6PlaZFG0ISoFZ8Tsgp01YcoybFb+15jOd0iK9clTb95g/opZqxLg
uJLpyy74Aohsj5qx67x8M1AQtHLNaM9tsryCzXQxuFb4aAhorvQWloZdoS+Duy+AnugnEPh+0jU4
cLUU7pFLl8ZYOJsFOZaGxTeb5cugqnsRv7ULHJ9NxFFW2APZHIuo5U7evsy1gDlYO4fIMJ6nIV7Z
PJTN5U/qbeDd3NfrokyBl1WpXwb6K55IyuJL8hdhS5tUWVbBm7TM+HWEOM+QA+4dAkCxXP68NY52
54YRboeXTN+NUWAcMEE3hD/iYXiGk42T0aXTNs1IKLayv1hdTrwSf4EIvgm79vZaY+J2qkZK6MH6
7yoT9BOFUCb4swh0D9iYvVZRgRSl8ltlxuw/g8A82eBEIsJ8lIkaixbbyBgCOjB2FhotORaCk1AJ
Gv0zcu1iHZV2/DiADF+Zld58YDtNr4mmh/lq0rg9MUsyzGvs2qKqDjejIV+wwOXPwRB7F3ckxEGv
znwExmHvq6TBCG7WpAFCDlCqHbQbzk5zsaE4n+LfeDuz3UiW81q/y7l2CDkPwLEuah5ZRVZxvEmw
m82cx8jI6enPl20deW9bsCEYMCAI2titJqsqK+If1vqWKbwFVLFqHVtQWa2fMmiBeM2IfFmpt7Z2
eLAKkrpx8eC0hxK44F3FN2di20DCyr5YUqLntSdf8jk6iOAyGmhJSqfnpujJmBBmAJarHAJNIpNL
XXT4B6Xkx5YW5SPqKTQMLD8WFlaEFQP6dolvX91s3zZe9YytsObi6wg7I9vlMWGbaZa3e491zqbp
hffATg3ZOmgftSUoq92zwUVYllfRFo3hRAvJ+UL4fHjMa817VkWWfkjFSZ+22G/r2sPyCHh4m5uQ
OqwqeNFaBDUq5KoaNb+ZheYAkgACHrwuide9ihLyVVrmzFp1HotanXqBG2JhRXV5bIAobuOyy14h
NnjHsKIrUUNk801ym73u5cM73BPjmRM7X2FUGTf54KtjVmYpDgANtFmKvdCO9S+/JQOtLMtdXlve
XWaielWMbmaN6qcz2YSKNK6/VDJBC0NSxNlqw/5cBrOJaWqNtUENvNRc2RMPnhHErUfhInNyami4
OuTW5v06zceQR07r0TvwzkRXrRHxQ9hATB4LUrJ7IwEBw4CWjoR3xBU4fXhOxCvo9egpLZt+ZUNe
XlTcHQRedt4G0nR1ijLxkaQm4Tmwi3ZhV6WoJvWHsOcKWZYNeuU2ZWviw4W45hnG4wWNj7UODc/f
lRYfXQRUf0UdDtSuyXk9WprAS/G9rymGyl1lwbjHRjcePMXTU0fO8JOZ4VPkQQObHejn0TcJSoGb
xiSdxW/MAnWZO7UNmYPtChnxiyakaEZqelItqRNSb05GIX9kIBoXnFfErmhlsuOo6a5a5Z8VQW6f
ma5daKvsFfjR6aEAyaPZ0nrOCSk6ybHVMLj1z2Gfoe4wUqvfuhWOvdRrCYdkss8Q39EOZWiml1YL
OO+L/BEGMY9y62IcsKan0SwaHtDGv1WatJc1YWeP0EqJpIHGonVaRjRcmvJTkotfDNlKNxEnyim+
sEDkIfrteKj7cI/H+MNuzLudtvfejGCKJh7dfDrHc/nuu/SRz9LYHbQxStF2ipIfBa9nKNTKT8S9
lDFsymG8UXlU2zzrutds6h/aKCo2BBRUD7U8e1KRYzzYv4Tt6wTq8c3lhcdbIeB3djm4Npl3LA2G
cBdY2bvfGgFm3PLF0oyAvHANuU4VF2phhmh0G3ZaqxmUjSet1L78YvSOCe6jDAM99p+EJR+HV1gS
BJymz3llNfGccMK9qUhq87NtWQAO0nqMhGwg1mTLWvvOsJAtlJPcOBVuDLrlMwEf5O0qY58HHIZ8
34uLb3XvfMQ1CewG01lfJ4ZqeEa5ym0/3WndxHYgGxa97g1ylr1oOrNYQ6aawWb+68Rif+2WQAqd
GdjCqvcNVYvOPLLeEva3N/uJKXVRHJNSvyDLwB/ZcCcSx7aOjQI8nMGDHddfzpwQ4tGKYapdhnwP
uCsrboRIXyQ2w4BMgGJw+kkSt9NQtgzRKYi1PbGjLy3n1MopsyeH4nENOKBdjGV7jrywW0ZGceuc
GqkgJiChXNbFSSD3SV++knDCkM990K1ArLqUtzGLqLndGKlUKfaFqq454odFZ/f4hR12Z11g7qyc
qGwDKWjR57jz1K8iLtyHJCIKJeGoofLGjT7p6auTMwrvLQLpey8F+0qi7z5LWOVFoFLuakjOzhBZ
FBsBY2CsFStrEo+VbdyDhq4RoUC+BE/xzmn8xpXB50yNuQJIqFZNHxHfUxJwGPTEKOtNtEQFsQOA
ftUDOAnN4B9UL3ksrPjRMDq4iW16rJCYZPFY79C0k8ERS+8hKjp9w1xPbTkAb7Ghu+vSCG9DVu6E
iUg1lqzDyRkiLDlIX8sW+W7UnQ0myjFAgq51zl6L8880/N3YFeQrgbURMqMDIf2LHJD4qKLi6tf2
R6YNj7HqDypoPiZPyy+moCgvc/lUeGmKkIfgq9TQLnYcdrs+MZYWnLlA67LVUOmbPonZe2rBg/IK
wmCGDn0uhlxRxhv2itqKdJIe4/Dv/zVejLw8pa151PzkSev1n04+X+wCdkTaWeR35fawd5hx3GXC
QNn3COBIdLQIBnuGsS+OJKb9oj6gjasZo3UaDnpTkgSFqkaPoUASblPzFEkkFOCKgvAQFFg68U9N
m8Bn5Kr41MysJ2mGOiIchp63Ymb5+O4VkftW4I5zlIwW7eB5K3N0OIm/h95/owp9Mh1xFIH16bdT
TWJiXi1dhSPV9jYtgs7V0KBI9vOXwkq2GcumpaJDWg6WgoNnkseJzMG2X7U6lgTkxc5SeHBZ8VLu
+BYSb00zkeQ9euGsCdFCBl9NH88Pa/aoNJbVmY2auqrFchwq7KhOw5C1zn+ZsyYxGCoe4eqEmWUd
WvbNifxfnRguOqdn52qn2o72qcWZWVHWITo8wfPbE9i9Gfrps2C9tIz8bBWzjk/REEgebqnKdeAE
B8bB+QplxbBMJgcQAoGih9x0r2I0ok2VGFu+jDAvOTFbjPM3H2n+xkXEgAwQMbXLqj+jWAFWkbBJ
Kh7iqNUXbVa9dhUJPC7QgoWdgBdlMa+jczPeVYpU1G6Lm+Tqz8vLBLHqDg8PtMpECSTm3T9jCcb1
Ot4GJl82+26f6alBZjdEfgIO6vDDJTeLbzgs3VHSh2tnPSOOydRGf5c4qLAoZ/lxqra+TCB2OFT3
+US9lNek7E2AZCmFLq7LaEwpQCSBn4ZMcaAHhC5c56T8mcUuSZg6jcog1VekWBMUdcOoMXGf/V4/
TAaaRYbJEYcWDP02Nr7HVjKkCYJfBdGKsBDTmAG4tqsjjb1Lm33bNk7oeDT0TZ75d2U6ByciOhqJ
NjaVoqaFKV7y2SsZ9yGw0Nj91u0R20eJ5bC3fgibWEC8I9kCtfuzm+XpwY9+obqimWxbQL4NJ6Tu
eLj+iyzh1CwzRtyleUo0xCmLqpNymymKaI858ALgmmA41fTTq4PHJtGSVZZbhLMNtFjujuCDTQMt
WhfyUjvdm9vD4bfd9yLwj3GP/lpPfhi2f/bxf+mhvW/cHiIF1yCmldqiFZwlUhTtuYfJvdXKpcE2
p2ydS8W8e13kTXLNWAQm1ntgyqtRDsxTEmZdA0WZL/ZS9B+qkrcI7N4cKAaYjbBywr20jYfN1TWR
zKl92oYUrM0JVVv30BXlz7GKUkC1GMrdKxtkZll25z+7/ELDdI7b6l1ozWtWWgwvPfEgvBwveYHE
H/U5apMJVaWId2Smiee4K/T7P68G+J/s+f+45v/r9lf58Jn/kv/3T9v/v/75H+W//TN5J/8LYoCs
/EnCdDv+EU4FagpqlGEQujEHKjARxb/4d/PYf9IE7D7z2Tj53/4Nf0ddYWb3sc+xGcdDZ/9dIOD9
xZr3/IgG8LkhciLZ4v/rA8y/+A4+O/4dwtw5SfqPrklIVz7DAkwQrk6j9c/oA/7T1h76lj/jtnwm
Sw6/JC/8j1v7UOAtCDGOL2u7sVYRX/a8UPDUmpNnsoRQ5QUQ1mmKFVCGAAgrez4npVMH4OZkBBOk
ahuP0VYvvYOFQHjwzXeb3Oe+br8HO9hwX6ykaN+sjMHdH97zf2DY+61d+JMncf7M8Dg5jEUN05k9
p3/81XUyW4u84oYIiL2tSpri2jbZuYwlg4T+qXX9tRdVewc2FvWwgTPaX4xshGKWhuiIMCazBVxE
rFTiEJ8Y4yHhWrcJ/rX0puX8B2Ty7iY/vNDuENv/LSeLx58H+R/8/rOb8M+/vmei77AxJWFbJVPl
z7++QD44tINbLv0evJVkaTEs/+t3SP+HPwJ9K6JVNv0843/+ETYE2kZLAqroMNIWQ1ctEiP8jBiy
frlDQCj4qEOVJsmohUpfk97YVJTNk84yz3rMvOa/+cSc3z/wT69Z53XygnUTmYg/a1v+9JHJroPr
VuPrLK3xhxBVPa+POEGJK0hjdhqR9cXtcaLEqk7C4rLIBT6zccTD4zgbXb1G5ILQGW6ENxwCpuZG
Ru4CHgsjYwQSoYtgis/Uk3CcQYdpkT3mQwPTJ2iebSSgy9RLH20F9SGs0k2MXc4VDUr+mHGhV9pP
goFwJMJb2rG8jQxvl5njnm/jo43LEvTukmS7Ta9OXTcubKNbNFOxa5X8IGvjqyjij3o0f8ZjeK06
SDDt1hb5ClFptdDsiXLOwcxgvUd6tEnqYNsFZyPZj32yTx1yDjaaVu0Gn/hnnmfdWxGtWY3WNi3j
U18+2aW+wKNDrGflwT8wh6e67Z4zTR7w78OYxnywCGHOLcLWxWTRrm2FhjffWM0XyLR1BpMj9LmW
0o6tEwAsszsiKHgftW8+9q3ZhGx1AJ7xkADJWuvdNkKoLhzBmCNcOjoKApx/z7Q756TPDm1IXZLl
DAns8hXOCns2eWHqsnN6ECqJ8ZBn6cqs7pmW7BCEsaChEA5LEhQkluGuOITwruANb+HDXETcXMcE
CIyxj4iwXXRo7SeUFhwe/CckuQL93t0wgmXPH2rG9MAKbWv44YM7ID6cuf2oLNpjTsWGI9n1W4wQ
7WPXU2OygmanZa41Zx5clUegeztk+jklgo3PUNZwvPN3jFtPsGof0o5s69HnRAjYthWU6/a6Dm9O
v3e0S4nksAxvuVlRwhvXWBu8hSyGw5BnL1Bdwihes95ZTMCUAR4VRrQdLUK/y/pgG9pX44pjq7c7
C0avnxTHDuo0M1uGgAtjWHkSIIj7XFu/XIkMJa1v0u9WtolBVss3qqsOIYQT3u2NrMTW5PjVi7uC
KSibn4LR4BhzAAdA4ZI+4Sv0UkbDxc1sMqkBamWsBrWS30ze9GQzxQihigqg3yTeQJXjaG6tI3wV
ra5AppF+wDRDMzbtaK+HKjm6iYvuKLhgT10q3cw2qRgexpHtrSqxLLWzKgaVS9PIpR5NL43Oqrll
+x0pSiWwXYpRttz1VvOQke6sFVhjYxI0CktdAm+69j6R1d7MPm0G69KmMFynYHzqLEl5FbxYTval
bDksrSK72WQn97nGtKs/lRxlbpVjg7FBo2ZnIO0sr5SI7yIVx6HqV2rcS48mSEdmUKewuNyGhBk7
emnsKF27QUQ0Wv+aJ2n71MyCW3TLS70aL01jvWa5tyJ57DIofFKe+gU0BUdp1e5Mo30SU370suEg
AY/ATNyMfGytXt1HmHBT0BzTOes0bNadD9gL3YSl1C11Yaxa5RHC4Qlj3rKekz/8hNdoP0qjvwh2
sm09LFKyJYoJiTHBCYJNah3gKWlksOrj/CWMvQtMGuRtMU+gttHRL7VWdqxjeO4tF5bML1My7OvY
fcz6jj1HyKbT6J8ZCDxnurm3/BABiL9t4WUtcUo/pyWIZJv1EsvaZ32eW5S4iMb0Aihu03sBQULH
CvY8wvpVw2HgRfHJDUhFm9o1HstbRJr22u0x5xsJbz99GOwnh4bLeckSxgJCDg+qpY/0RcZ6x7ub
LAYKbTi5VtUe7QLvaGmlL57mfyCCWDuc7X5N9TwIVuaVOSt7DRp6ZzBQ5kymvTSMgs17Vj2A4fnK
RnlGk/gQ5YRCa+meSPgDNt13MYMuYxOyrYpWPHD2DytJw27tD01xMHL/ogDzrBhZIAOyGuPaN365
thHEDFZI0C+Dq7CNtoMSXxwb4bb3tNs4CjqO6CWySm/FUJzTzIHTQv7x9wRn9piOiMViIgQ0csP3
9dSCHRuRXOM1MBhu31Cl5QjeQcI1+hSsg0CQ9kp9kWOHSUf+XF9e+TsimNlOtyrKHISbyceaFEO3
cRke2gIbLkYFYdMLz1OZEVFRV/IVVxPsJs1hxdJvqil89qMd38o1M++06R5F0i3Lun83+RJOqbnO
R7muu+HBKd9Sr39wW7976ywiYBvGSxsECyO1ACKndLyMxdUiiBVP1UKHkFRFxXpist1BsFDBWyTP
Y6JzI5O93kVrTeKXKuUq8aePFhrhzlDjzh38lWyJzq7t8JTRn/UhlDSxcstb6PRrpgZAyc+oTdYT
4xbXUW9DMOeL1R+DjxvLQ6QqZ3Bv4W9RdWDExlxs+M9jiA4RIwQm3ehaTva96XR+vyIdVmRCM/Wc
Q22AEiiTYWCgdpXHLqzVrDUujB0pzTCkq+yWJqhQWkrFIuhfEjEzn/wdoIZv3nKmzCB1ouCRYQdD
+YkN2NUb1NLTwxVa8lMuCKgfkKaKRn+RzM1WVfEj0evHvs0PNYbRKQN8ZPAUGCO5Ciic+tKbhaGz
Os4W6Jvk3rc3+shdUhdsP4EN4RRlVAdTqkncn5iaCfap7RcKBpLqjb2FIk0viZrWXwpGjmnm85eY
1S6uU1YE5mXKc7Wc2gFNQl+89So8jnz3cpp1NaG/UqN6bgT5RiWlj6wiBkS1LLfJUN/0MnvLXfPZ
E3yVM2Zzo16/4nSP10jW92bIe5fn8W70og82xlRSXs+Cs2O3PYnb73L1bzrvv1XE9Hp/bBD/wz/+
9X/SeP6pxfxf7Sk/v/KYkYgE7/az/WNbSFvnueZ/KTBfQN35+jcSzz/8f/4dveM6BnJUB5+44erW
35tInYBXtOKkObumbvNf/Jt/7yJtgDQWtFobII0+N38MiNvoX/+Prf+FLhdLssluB17PP8neoV/9
j92Mh/d9VpgT1Wg4QHD+XNnXDvM7NoPt0rIZsDELIdCsYmcY+3OF4plGcgnmjWb1e7nZqxTVjyK3
LW2R0HqJ8Q04IVnq8ypUQWbcZvN6VM6LUhZt5JgJ632oKSdcwXKSLHHOHiuP3pjRl0twWct5iqPN
O1gL+eZSC0K5VcVXwnwHxAdArrZECoPJ6jJLJRBv9/gwM//G1rInM2AM9zm2yse0AdvgZRrQVF36
51AT+R21hbdL8CextmSRrBxEjqDa2TFrkGs/O1tiGK+SYFrFdQEmWMw7K3+c7G0amdPOb21ygKqC
rC0s3jYGo6b51TF45Ob0Gah7v1UZZA9ZRf5JPpyC6+y396owXHtVtnV7z/ANLg3W5bdu3s4b856+
ixNGep5LcU+WBXVyoox1DFzmOVdDc88FJkqKXncdmW4stn3YAEYBRLnV8DViRjXkI3NbdAqaSW0T
h2V+JByCLiijJELv0WT7LAq8dwKakFtqLdNRNTrVR1V0hJyUQfhBeJB4qVm401SOI79BMLLbUVnz
XfMEA+AYgCwAOExMm96qAHQRYyTGeYtgJ3HTpZFqV+Dy4xZdB31YH2Dh9uhHzaS+6igHMbSnKGs0
Bn1603zKZri6zJvX9FkcvpX6KNA/logqynTNbJWowiKcIaXOVRfGR5mB0F5EDqnlrsqLTa3cV1TW
0V4GKCex9XTYBd1sDdklPAGeH/ZCaV+ui1jKZVnFy96LTJzjST+MbEcQDBbtMqlRNvmRBy2gG47s
4st1w9/WIuM8TypgAGkuBR68RY/R91QOMjpitK0+0hrpaSVffaYSCYsDPVDWjkiao2hKNiW4mdMR
qasrk3VO67lI0aMlaIHp6i5F4FxNgLqLqiwPfIDFhnn+J8/1R2iY9bYV9XF06ZRnDSu76RiDkmY6
6XKwnf5aTX70Mw0zrgWjL7eZ23yTWMod0wfRJnPCT9UhfDEKlv6G9KgWNMWoZyYT6vG+8gzKvjD/
DuaVs2bRNrXNhPv5PXcHbJ/ltUkHbxs2EfksXuA/9BSfMSaIKTZ2VpzfMDFTGFiLkRtxyNQ2a+IP
5pzHPuxuKC7WZDC1exFX21iVT3lCTHIIv45lwcmo0F+KGN+BXT0yuDpryEtXlqK09MUTS9F1aUdH
x2NfQbEy+e9VRPRynnDzmj/QB9RLZPfXwb100SxKdrUvUoJgYZqDg/RVnmJkk90EGtc3H43WlwuJ
i7+KknUniEmRYbHTcx9pPr7/kLK8oqwgpqtnG6D/iqkVBs/cGKP6NpR18Zws33q292lQzVzRsznI
viyGY9qq0FGE+qACvLH8xB1/V76JExGoDKJKTa2HwUJX0nuUufpZb6uv3pXbaNJWtR7dSpO5BgtY
zNkoxtOo2mrjbESwtir8xtxxItzpS1VkcioBMpDSGu2NyHGqacFZjUwQQIl1WXTrEu0yZaC7YjFd
q955hLpsbqKoPg65fwDhs2eShn4XQVBVnbxoPIZd/SYDbWHk01o5NpvSuJrHKunSH7JDxZ42ztqT
qMd+V/oDmvrxEjfGk2Z5NTLS3P+2HIvExqGUoGi7Y+LGGgd9Wfnot2L14CLpZeaSxzBNVLVrc/fo
dZN9Lsv6tR0Q+tRWBQ4CeouW1M1sF8JT5EMX1+ESBklxSLPykW3jG27pgJ0CAI3qFPbIx/LEWqeh
+RyQzFO4wdVQPphJsyEYzFJ3J/O3jsc4xurD4a0PmbxY7CwsBw0WFRualQaxFAsHtYxadR1h0Cwy
2wFVngYFH2bqMcFnZhQquPfIpvYY8jCKzBSLmTmiVP6MAZ8CS2prDaL7u86PCIpc/1KsOOc4qeSh
G8Av4gH89GOKMdwNAHm4g5jclK6bwGqG1ZVZ3d038SAFfUJqhjA4JEfXnj2PcgL3k9nBVmBWeRFZ
HNwGJ9I3tE/4Nn8Dg8TMDuJeUDylTfAVaLbHDAjGUDPRVbFYQLM0E4hMtjOn8jeWSHgpiCK3zYkd
wVh98kjRYB7VtIsw1h9Bh5PQReopFAbsQ4m+o8yN18lvGhJHwZfl5uammVFJwQxNimZ80jCDlHSD
mfiiY+2xMuEslSHAJRGSSE6gWPCRm7+DwFkl9hgobvoMaypnbBPhBLR+oAacSzNjnZoZ8BS2Magn
K/IfdQ2zsUmE4itbQRhsKYnDzKWxGYc1wuTug93qFvjAdMx5DawkOQo3leGiCY3ZvzI6oDSxND5k
6Yk1S1xvHff5uPdnMpWDaGc1CzTAUS0mxgSnkXOcxbIkpFbp8tANdX0h/WDcFL5mrkeHUSDwBmTS
9QyzwQdVtMzP3LiX20ZVr+M8xeOqKTYoT8NFGuZoi6DXAGzwNzgOMDRLpjPe2AwLqdFzJU7waRuB
s0S5wSjaL7ur4WEhQB+9nPzy6I1MALlG5TK163rd9vlCyHRax7EQG0dl3d4KEZWa07b+TfeaUVVD
1n8TR4qF20cwGcU0XzJ/rQy4FEVuG8s28VbpVNwHUBwb8kcfUtt9a1LjKI0mIdRKgFruMNXQLIBX
zYK3wpWrzh6TY+EJ8hA6y2Ivpl9EUs1okiFaqth58dL8S9PrPQqZTZ1oa1sH2BZNNvKCujFXINdR
uAbhmaoMjX05MQ1IOEvrRoI7Hl0MZY04aoQVHXWi+S6T0bMIRLBKTzPDAwKkKrXlaNtyJqTpUf4d
Mh7gXIaMzTO24ykXKPY8ZzmM3W2Uvb2Z0Asv7ZrRFGMGd5fmiLJLmZcbE+kWmc2MBRTuHdr1eDOJ
4JS12i3wYd5pzMI1wGerFLDBNhf2cNbAi0AWIuEhdAELjegw+HNR9kgErb0K4rK4cfcboHsrPI9+
M56CxriA/MY7BfCB7g8PYdMaIFjC5tHLsO0FKlvbdQda7jdlLrQpdX0liufWde+qjkj3mLF06WAe
SQ1AqBfyDva27Wy9GWMXzEA7bUbb5TPkjnGMxHAH+E7jKlhYv2l4JGEWwPztw+iP6S5P+hua9Dlp
CYwepxwfEOuiBw32MLI2kmtn7J4+ufW6LBAQYLtYhXqgn/JcvgYzrq+fwX30sMZrActPzlA/Jupc
pE7uX3OIf6D8Qf/NEEAd9tc2ntD1Z75zQqjZ4EwqfhpMh1fWPHoOhPUcjnyfUj2T674Zs3UOdVB5
TNxS0R8HZrYZtJCrDaHQSSU0DAnSKNHb2T0ykwwBJPWLAbohVaZxtCuAh8I2H4RlwIPSPc08K70w
F60GtIr5pTMjE50Znsh3g1hLAEjQsZMZr+jNoEWBheNgzfBFFrf6Snmg2cK4PFVprY7JvGoXEzcV
EDP0thP1KYXdGlh9vWiE+sW05DuG+ugxVaAXUoLXxXzb4YF7HWOMK7pC4hXpNcwqeVQzSjJoxg/M
S8Alf3MmB+BOG1D9BF5QF84f6LDnBmCWOnvA21pRIRS/reFQfY942/MdlSyyYb793Vnjchyx399C
pHF3L4Q23IQ9dtg57jhHFl4vHbu2mfpHb3YnraU159CMv7OSNTPfq8COV4DGtE0ced2F4LC7aUNV
NUPi1qc8xQqG5573AGk/T+HkHzTIJg9h5H67g8mdOMpm2SMbh98/aaSfB+Ejdb3YqSmPdag+Pn6l
uE4Wvmp1RJiNW+zqkBEfxkAvAO8WhsfS9JrXKqx12EhYTCrQjmj33WWcVtlXLf0rccy0YA6ztnGO
XU9SEe97oORLvynqjd8P3bPXpR7vc2vuU2AcNFwKQPdQ1khYlJUe9Ahx4IjAr4PrsxsLjpam80iN
Ke1uPyE1+XBhPUA8CR9IGl7GOl/DwNbTg8iKcANny14C6IALOC8cMnfMViJik1QhMvIDS24YTeYL
aQftYxukjDB9xZFfkp0XCNfej4b7ZDFKempo1ZEiuO9iiPt3HQL33p4KlEAWjthspJNWMBQXihMH
bnowZpvetJsHiOgU52HphneR2y3ViHzoLL9+tV0ZP4VoP79TTDJLiYCQ+W3nAQf0u3OcEjfaW7W9
Dms54AYZtU1tNNF7kvLSwYDa584zssfIG+/goKxtr3qko3xcQF7sZM2SLGbWS7p8DQt+q80aUJKI
Qfi0VvlUohR8mVwMFLHuowyZFR3EFQpinaNwQ2DBu1ZqzbGcEHBoRqjfHE7vDRL6HGNdVdkrW4OO
6XhdvS+14EecUIN7WXc1Q+wSYK8LxEP4FgwQ7NtiEIjK9FTDKZzLDbGS5iFJOZpjBECI+61sm+E/
3TYmdmOGmWfbQ4BsOWiVUK6NrxUpAYfEnUPVWUNA0PVz2T91YxFES6Q6+s1w+mQ1hopGz/D0ca0V
/pXVRXiwESpuWDAvCiTXG1bV9pGJgvetJ2Z+xghuEqw3hBAAW3wrRau0XdiwdXTtBoJ+myAEVUQb
ElCKv2sEJ5TZUfmZwca9w1SZJf4AR/j8nqSR0kJQvFMEkVO5Jd6i30IEbveJVgw/LBgeUNCgeDtd
qJZWVkafPdYWcLTIZc2UAJjAQZ3bUPo+2ORqU/XyHWuDxj4jM6wXrZ2+Ng5DkzBWbBV8ctnJ8DUp
nFropX0/PicOInEvVCb+LARhTt7o2Kqop1wj2kkKnIOgMzzIOrjXTf4YeLHaSCg35BZ9cgey6gJ+
vGILjlBUJhKdpgGgP8Frak76N6J/9L0+jYzm6sifM1wUXSE20QCWbhpgNpvE+KDIndQ2qv1+WwmD
2kIx4nX6cW2GQzvhwp+l2c6s0i5mvbafdtBKQkxJPIc7E0jpOm2S+zTru2d4HkItNN+lQIAEouGV
sADwf42vPnNkxctuVoqDnjc2QZQSCDJrybMaVTlas3SjWYgQuci/xtFIyIuaReisGPiCauoIPXDk
EcciOuiB2KsoZM0TxFDU8O3ZUHR0P/50S5bulkygE6B0h3KrLz2rIxrZjOt2I0ZvB6imPPaNg0x+
ihjN+4n8WdXpsIHlw7iAfOQ19l7JXAKFfeDhUUkjg7iQcTK3wyzCRwcOXwvB69LSwtdslup3HNpr
vl8PjufFy6LKyR/vGNhgNTA/9Vnvz+nSrlPhjzuZ9cBr6qx5Hly3WRBLghya9R043N/eAUZhD+5s
KKBia/dqkOxlFHYDrTaAvMwWBGs2I2gk29zbFlUB7nMyI2bTwr/wejm/FFfy5Hf+FnY1obt5eCLc
I1yNXY3FHzE2PkZmCZHRVPfKg8nM+ktcInJcfmYhvy48mmekwKSrc60feWghBXWlI350Le5ggL8Y
+t0Wi65rILDjea7fuJmh8yUhW0GD5jIWOqyakvYw5AoymxdhxgPGrNIl974a1gox7IbIArhWom3P
sQQpvkqi8kcCHWjRDMgqMGJwcbVuvWzdFNsu99M6itpDFASfZHGgxvYFGIskWQoKzxEjqmaSl5L6
OpYTMzoD2ZxNV4BuqqhBKuC90uuMu85BguiTksswPlZ3zZvqrXQFRhmI0Al2j6eqwtAaw4te6YA3
13pgWQdXY8eR4i9ARp1M6b6xtXhZiaogJUOX9sYlUQCnWhk/oS0ad5MJqc+uXC7TsR4XDXTceWNK
AaPD78p5kWhr0zmMqdfJsQsN60rEhk6V5gH1cmok4H7c7HO0Tyj1zOFiVHIPwpS3NAM7Gdehdp7V
hlWs3FWmozm1SGFfZ5Ze/iKre213UfhO7XtviJR8NypCgvMJPmExwyLckuRsZKgskr1sAz4aqOBo
bPzYY/jIdaahJmCeBDVdRB4zi/mtyv12FZp82KadU+C3dXQ0ehOEUfMy0csvHYo2y8UK1div3mD1
11o3jEXndSc6bG/rlrA7fK+VM5H6MSzwATmNZT6Sspz8any9flAoh5dRhZeSSv5XDL30WukyPkdh
8epC53uB9nHihYqTNJ3k2mdduUSeSZ3RpOC8c1tiGHTADJIBkvMVtVPvHMTGRZtG9zgfvves02La
3XnbnAcmLQ5FVhsU1VbXoFeY6RhfHTN/sCONIiW2P5262RdaIhDYszG0Jhgdw0eiFME7PQkf6sBB
MczNDSExUjtWpvc+oGOKqcKJdOCzBpu2H5kS1zLOt3nVebDLoU3Q+3yZ+D5O0VjLpZQQXQnYAmKu
VwHZ9HxduRNzic7r/7F3HjuSI2m2fpWLWV8mSJrRSC5mMa5FeHhotSEiQ1Brzaefj1nVXZlZ6vZm
cAfoXjTQqK6IcHe62S/O+U5mdE//s1ug77dL/x/KD/90VYRKy0K/9eeqwxuGux8JyyLt6jV5hc73
2nx8vzH69Qf8si9yviD3QtVnSTXHEajf9kWK0AXH5T8WB6MjUCT+ti/Sv5A+InXdFPwzwjSRZ/26
L5IOgkRXgHoXwiXO4V9THarfyw4lmyJGT8pmaURWw0/aPV2bfOA7EFBJShmPuZt6nxzbuHQmMeNI
GC+EPQNZ1CNS3/WF4+zrkuQvR3faUxeipS0ZUSBPahPmCuwxHppA9y+U2bOLzojB8tPSvKiERaTe
IEi8XBRkMR2sdiY2Uh2uXKhwmwZw9KYil8HNES9R1KG9ElmIU2novX1C8bWohO7tkdyKNyexUOmP
RI/RGmgF6LI+umB++ZAxA9vIELNp0bWCO97QblBgBw+s6qLH3M39z2oMARf658GJi6vAp1aeskMG
VpIVvzVHyxCR4V01tuTfZM5VLc1skAt7sBBZl3ZqXuN3l4sgjMKPck6uQZQiDlVEmo0Lh5emrc4B
XbChw1lB6LaYU3C8OQ+H5RspMpZrXoZGkZ9zYw7OgYFN3JA2kNlniwI5saWrJ8Ns2kfD1f3nwQWw
ABQHyC8o4AM+UOReTecZGuj6GgKk7D1kCMac6WNglNjQ13hIGQj7GYnsgc6dOZ/EixmrzIzs28Ih
H0jyxrTk8Cxhs1hLhj6HUS9vqUU+ay+/afRyX0TBM1XRsCyoRJZeo9dH4fYFU8JeXRSMhReqCvVL
a2yztTfn2JnlqO29OeJID4fyTfnYnjrHrxaqVvd2oIwXz5zerKDJiM2IQe368CaMoXZXfaw+WhdJ
4Yjl884SeIg48PYWhuHXiMDWq3SC2YHC7BqAl8+GImHsOY3rsEP4oVdzkkDkNRcmyc/HbA550gPo
HwazSsKvQxY/1Fl4pp32IZwKYhiYHB88FCsvbk6EVJDa/dFXRvJo2Lk653PUlE6W5aKCHgTZlACy
VsznPrlki1iU9PRzYFVN+uylMSZkYQ4oDhZ+3DhbvhI9UFMyr0akSIvCJV8OFYC8KDv0P0Uyst0I
y+eqMHekgFLv9h5KL53avtG05EFEgX/Tz6lbGfFbcs7hsudErjoR9QWVa3+q3fEDTDCTvbj7SmJm
ecG7G1+ykQ0vVEMxNxZV3ePMtd6aNGFFJrFAcYsHN8QWuPfAYeWHD/UUwkFbq+vMNJpNRxjfweyj
iEm5l9jkUqjhPTZoMXRTMbsqqvytnrx6neSsEmq/zd97XO2vuadN564vx5VvCdKIEpfkoEyYaD2C
LP8QJLZtuz6AlopJaB+HmbHwpa9WRtNftM6OzBYNFZNZ3iqBrGLhR6laR3peHr2Y0aDj+/oNxSCp
7NJzHJgfhvfI1gCLgZytoHrRp9zIFobGXtW45JOpOY9osD6w1OrLnnHgg7BQOxdAQSDalOwm2Vrh
/e+xgW6b0VP7gJTNvW5p+GRZyt7o5IEEs72fXqMCXqiiXL7XucnQGL4LH/44h+QFwJPyGE6uVYnp
AzFcMC5mg+VW8gwfTNNMb83eSM9V3wFN7FztkPeluGDDB4vIoY+uYBqttEz5Szn2yTbEIrMdetRH
WVQlK580B74IvnbTxiMRFNXIy/RF6b+TbSmfTK1mW63G6LLU8mLptG19Y7GkJl6wcpaDHVfr3iYN
rjX69DT1Fjm5et1TiJG1eu75iqi1kQ76HUGI5anUqHRVhbG0NTN/7ZgT3dqo8lNS93R+ok4u0gnj
hz+RXb40KxvbXgtVF42k3Ty2XThdA/2qLvhUtedWiBo9JfuTUer1ZWpMxfNU8sxyuhjLSoGvDq04
fUR+UK8ENsCVTW4tJ1Yvz/rYPQTEJrwirHjTYps1gDFFK0U0w7KTfb6KbIb5ZtcDyvfSaIVxMAMN
HDRwDAimWMYNGKncgzCGMuzNDpxP4joGuua2OE2yy1YdazW08TnerJipfxRU+WWlYeFkXw7EC7oL
m2fjCjJyulamHFBoGsiM3AoyXqC/ahEXnqm5h2BAzRSFyALrHioq43VU0wMI6KlntptiiApanWya
kq46rlnVNWPorYPOc29CJ3n1aF+WqZgYn9SQzBzCWlZW60CytKj3pBl5G+g4DkQevIh6SSTywjBp
Cx0nGe9aYwB2xAhy2Yh24D7Oxiv0CXPGGnX5POVgjaLiowfSc9Vkmewp26PhMA1oAfXWqQ/sJ9yX
Ii2Sra+6iv9jpHaUqwO9cduCspRw0I9h4UFmZkZkHLpqKDYiDLIztQDwOp+KWeLi2SYuiCvDY7i3
EEE0UA7TwUehTaCdpXXWIRVqvIjKBtxJEfbo6IStI1Uu2Fi2qdmum0qzrxFuuo8G5QYWURZRpIkz
u9WUKE7eHPNY1ZLunB53bvq0aBUC3Xmu3Cy5kYhXjnoCuz2LhnGHwWBYpHbL8zJBd1+YbCkXANaa
N0iPTHr5UgygrcZx7fClZ5MUjf57U2Oih67PxKc03GRpDwU4WZnpO/Rq1UeKFXiltYwUvO4A/hTs
lI/wjqHwAHCr9J+AXb94cfZhByVQJh/NZwZaINY4+/LKmkl6Vn7P1YJ82Mlc+rMspk0oq4tEsTVv
g/qGvhZOS6PjPvMkYr44t6nhs94+p9rkIrse6uWoIn/l6vAENNes4OIT1oFFV+U0S4o5vk9U6I5Z
8de2MrQTXzZWyPG0MxWiuqBxrgKwvCAt6mIdjPnRc8t7GRAgw6Au3pZKskoaWQh+SxQFOwi8zjAg
7iJWPcCxdY7jZDdL0RKDGvgT63egfbjLUExnMBSGkLOmJAR3pZeifyQ2Tl/H7CAXlo1pUgTVU546
APU7Rq4JakFZWFsrRDjT057XoX0VNtBYQgKTFtjxDmElb/LWX0YcRDKpjm3XvxulMtaNNJNz2vNP
7cBeVaM2HRhVGau8YoKvpcARmyEEAe31cqf7XczN0bfbtOSXpEAFgLGUqL8JACLftqqaawrAF+Tt
zj1guBFfGqOsQFb6BdyvWXZp79tmuuzcEcF1pvtnbncfIZHEklhgzw7lyPBAs9SFXg9kzjNm2DCl
VFy8qj1Ec5iTgO3uMhTHMi+y51gDKMXy1JOryMREJpty73MrRpg5fWPbRS7DmI6oWAo7DJCUWOHj
CMVxbVSK1G0daccwfxftHs9h4OUwLVlm8FRjseBByGrMGYNxESc13gMUF9vAr8OrahxhQcaz+KT1
MZGq+Fp58MYz/KrQoJE/t0GJNyONM/e2oubhjS/SYVWZccX+VCAD6AAolKCbFz0uu3VpN1+VT+Q7
WDC5/XeH+V0s4J8Y3GDTIhtUCNnB6cm56/vzVnMBbynMvm8ubYxrv/sBv0oTxRcbS4DtYpqQFk0s
vdyvqYDii+4aYCiQo+NmUjaiwX9IE80vCrMdrR90E360+q3VtMwv9JjYg5SONvFfcrfNdNsf7EZI
G10sRygShU2MwE92ozQN2tIPmw5ouASrYu0M99KOMIYam+/enj/yclmzleqHX+XobIEdBWsXFSZ9
7Y/6R74zE+xxZppjMMElnS5dYd0VcfUORHAWLyyswGb//JQQ2cz2aaEV2H0ma6WDvk7JKh+QT5i4
I2q8ZnL4FhxkHSfHBZFD0WJMG6LAFGZwif8/4fJL72D5A3CSaltEzqG3G1Qv40XbefeQ1I9BntzZ
vYK3Rz6Lr5PxxZfdLunhlCpu0NbcucYAF1HbJUZ+Av+wjFMoTeQs1+zENfA6iZoInW769w6N4cyR
M2S8j5SxCDt3WZgPRahdV85sbNU37OtuxZBhu58uIQ2uounBsM6yrHeWD1nSh3KvY94p62LD8QYM
jeXH6LCQCuNP4k1fiB0go3G6LFS47fVT4ooDtI3NIGd+hEfaLV5ovbvuCg2WqwWPycsOzVC9aBbI
AZ31io2xJ83CUxHbJ/REhyi0iIbTzLUm/AenIfvDhtLkh/Eae1+/6NpPt+xWEVh6V5XxpilIT2bw
mMFa6y+rqX1zDYlJ0EV1RCrHO+R62OBp9CFDL950IRter1Q+2px8S593R1N4aRRgIzN1KYS2rfzm
xDYKFqCPpsXViAwu4utOgTuuUOFbZHmjEnIkiD/gm0Ef3Eeuqd9aZoY2sczuNDdBsSaDLcMIDdTr
AOPSdcAj44ef03J2JNNBkcvvfZUc0K3ma9rBasenJa+jAPj/gAbuMK+4px6pYa7pG1/XISaWM+eG
tDOrJGiipCN0h+Dg+Zjkcc91twEyGSz8k7vC81Vv7MLcErL8EQTduXMyfdM5bGMKj+C71NMKGLge
j8IoF7BmXlBHxOtKC16wtROr5nKthigCtO6tUtarpWt3eK4e0ScSE5Xa705n+Gu7/kwj8PW9uCjL
58h94ple1URnYZxYiillQws1Jlzk5kMv1BGKn0eEAvfiC/qf1wJCCXNzNPnCPGHBOeQtUrnANuaA
oefGNOnU8l0TO4fEat8MWt/SlcXGhhm1rBgJlZX7ZpseZDsm9X5pY+GxZpQ+KKRHR/cAYLCzWSXN
sOpb573WH5wyTnedyxDckUjKuoIOqAinta7VH4Gnrwc/3wLC2xEnUy00ejwG5U74bKN82OnGgK2i
ICI8Jy0j7N4LP38AeoV7nakX5Q+1WHB2wQSyHU4wtFBx1zohQsm7ENWOKhppnfZZ2KyVoS+z/Gzs
JQo74k4NE9MjMrSVCgDuRr2DL0oT5NOFz9J9D6rkOhIlQQAISXMMDxqrUARrBq/Zt26i4GmqpsdJ
114KdHwMoJdEe8DUkSvaSOa72wBYJoiLWzFat8loF1sSskHilONN2hOVoUOSqdLopWtIVIDshSbG
J6EO1yY6tVM3yHrfGn6DtzMjkmkw9Nsq84GQRU9x+9kxivPT6Crja+DY2jnjUdZt7VrGI218tpPM
I+AAWjfKfRkKOs6yz3hT42RpNePaFaQneQZCX0MVd3kGHD9sPqqp8AjUic5jjGTAIpdoumlkw5te
A2+jRMyTDaCmZ98czuPYH1mEXFeAUji7YBpzZ10B5ljkrgmhCu5h6UPdlQ1kApZGN0g7bzQWrlXY
XxajvRyNV5Vo6zJIT06xm6Aa84mDwxi0qxKBC9lEhElYK3MuRB3GaEJl2xr7a7RRpdpMogA+qzuv
Qeo92z7Kgtr3FugNkjVUgLOn6VtwNqDjVIJsT+auu0+mxDvaST4QKRbvNcQN5IsO3SrvYhqb3izP
oMMPsICnTTQgiDZyBmRI5raU7MXBSKajL4x2Pfo6++3SFeAKcjx2XrNB0P1CmTHrRTO2TIA1g44n
ESpLsdRE86SxiCRbN7Y3aNQ4BIeYIcpQvFuVX9yMRXrtMwhEPuxoBxQenCM6PmKv7I4DqSYLGrzr
mgiiG1EP5kPn2ophSm4SGWg+F9jIgKwtRzg8aKnkOWPZh6tRK5clrQkWgQfhw6os0/2UVjeV+T4I
+0CyyFc8RydCFp8jkX+1Mg8ygoSG6oE0WYSy3cST+1Yr5DeaY6/+XUR+V0T+6ZoCtbWgjPrz2vEP
4Ai//ju/lov6F1aCUpKXAFEQf8w/qkXni7DhGQCHmzOhJUvo36rFv8EhUHc5Fm5zHOWG+ldwCD9n
GHyjIbAYkXT//AlyNtS/vd6EWAf+8z+M/9sIMYZ4adJlmFa3TpSfcldByzdO370jf1Au/uGvsS2S
tHkz2c389GviqvcJoTTTpT0Zb37j4oqW6IBL8beMhPkn/VCWfsM7ECQBQkJIx5ptO9+9oNgH4MjL
ZPlciXUzW9glDH+A3uNFNcOS8tnyxzL/NSBUjXlpj6W03TtZdsr66KCRJsRxel1Fllr3kKAXyRy9
QkTApZMnLBUDcWcW5VWukLNozPn+Bhjwu6J6/uup3h2DmpotxE9Z0CQWNSOMArK/rObcdt0lkZhL
Ckdv0UXigb99+JtfaMzQhR/fL4Q6kn6GeF5LJ+T8x/eLGVHvGwKmBKIdVCk+VOEyb+ing8Mk0O2X
njauU5PYKs8PBDUjjp9i6rpfWtQ/ZUMY8ncvHQIOqyLJlsxhfW7+9Ie0hS2zLKflN/rEYBmA7j9L
u2xbjGiYC2mizU6Ga0NAT6LiJCOHuS7K+YCcq6myD4ERrQcxaCyENGM5Rp5GKuV08hnGkwHiZ/26
trAMRnFVz+JLDP6t1QJ0MizrojdBlwed/pQzhzwM+myT92N/XxnWsMlH+ZFNw8WUG8l2ikrgc/pI
dmaNBOCxLhzkfFbg3WITnpAXdgRKEZSJAFMeDK/ZlbUZHAutPtnBwHiLcgzyhbFLwU37vk8VG0MO
j8urMDKQljQsCtCCOpvQYues1015zjuW474Kg10yckOZwPRu06Job/W86QikNACbUR9M8dLh8rpy
i1ZfagD53hxnDrvzvelJoTj9FDUGW9ZsZnIgj1lYuFExdxahE+8McvAaBtrBcETzBMSyCdWVNSJZ
Un5EOnIKTpKZkg9dIOU70+sFRcs4AnfT5rUm+mhRfbMwLJOk+1Sxc7b02Z5kKQAb3sy/a5DXq07o
N1MIZVDUtbuN+nDGPPI0VY5dXlt1WjBxooMwR6rMoKii3dgyYkcJrN+RJgFPcML7zV1NAGHb0jf0
I+VIkBfRlSmw5U9d2OIlR5PvRRid09TvHhAvv3R8Zo91yeU/GsluTPPpM0IU9hoFSlFdYfxaMsbX
2Ay2N06R0+0UTEjHMkeCYsyQsB7QO6VWgpwIfPlQFS3GDOHthJZ166YYHnRzFpqPxGRrUh8IXDPQ
JRlGdVsFWrfNpZ6u/n0V/79cxQQRoTHhRP/zy/j2jTQ3VgOoapnCNx8/DnX++QN+vZnxhAJmQZMF
eYia0ObM+WWQY39xmGuYFGXKkZaNSOm3q5n4I8sh/ciWgj9GzFfmPzym4otQEgXuzJ01uOXkv3I1
z7/9p6NZzIQmG8UCpzO31o9Hs48MHEIdgqTYyG7baRB3XGXLMOjVxkXCDmX0zSvl1TiL6TQ8HmyK
yPOJAnDfPl7ztiEzNgn9dF3qVf9p4+V6tcv2ySHOi8Y9GU9NHlnzQ17dVbXDopMoI+ZePPJSncLU
tjfhhDsUOVP1lMGIXk1FINfBkIeHRlYp7jrHvUyaySRygtN3DBBGNWX2kjTzMlYbLOza5ujvHOpy
9ieJXyJDTeklGgeOia20pWd3m9LFmiqNjlWwUuMmL7RZGDbzGLDuS0elOzEgamAZ6e/IDSFj3krf
GNiWjKXtl4pl9j5rouw6jkjNYC1p2di/oZZ8Rb9tn4KgF3c63H24RwK1KOVYfeO0pgQGnQzZmoWs
ti40uIrfPXV/UPB8u65+vFex6zB9RFPCpMK2fsqhSrWKlDjkZEvWT/oDilwMI657AkbTr5geJIsA
hfLKyHKxN3rT3VijdJ41zQPyrWfkxLnKXCXWUK3qxD3plfmqJ95JtGQn0GdQpZTCQyfudY/jKL27
foiObFlG/++u5blc+ullCClQYwjd5NWouXz4rpxiISjY5JOFqaEmWNpGrd9P/mBhkR/aVdPW7b4v
mmlB6iE1QzczWyq8blZFhiKew2n11+/q/LX76c/5Ntt0MYQzScXo8eOfU3lx7pY6MVs1DSJKMMd4
QaCYX5Q1q8ZKQJDn7tspEn8hpeJACw1acKWpcR9HzYK4uugBpLV86IAuLYyu6nYpSQ/LLAST6RYZ
K57ICk9R3vYPRlmjwfMBTCY5kES7WBWmMTtS5rpRy3i9rT30a8MoYzJchyZ6++vXasyKoB/fes4d
aSqOGjIUdGeuqb976xOV2xqWByIZkXhDMY7I3JXwmlIyJBGztrzhgWXiVCuM23C+lejijaUw/fBg
mMMugifx8Nd/0jw9/vkv4nnWGSzT0ei/exhCkKlaGhTLKiMLzNHyaavbyUFU6BJGKwHslTtAe2da
DrPh+O9K1T/69YTHYbBh6MxR/pPjvi37zqjmos/SI4XPpSNAMsowacEmIaSQzc0Q2zVUXLjwj32X
feZa9koQuzx3kjEtuOibftDtFfojUsDQ/T3Veq9u4ETUy8Sd/g53ZszF+s9vF20fNDuqWkGH9eMH
SCnVFuA7eVu8F4glCOitEP4XzBtIQ+kFThN0P4VFoFL21kyonP760/pdQY16nKEJNxyLBxO58Y+/
fhoVdswgLJZlYqS7TNnPHCHazm89qOyYnbZ2p9Txr3/nHyHqDCKWbEX/wmnh/HRexBbQjtjloWWD
B82jKqHZZLB4WWOGr70mpgcG+JBLqw4FVTJQH3vBe+So7ZiNxXbAlZL02keKOfpRmGOG80ytuyJ/
AI1rL3RkvktK0Rgx0LRLurJkllaeZFjeA9KMLv76tSh9Pk2++wAh7VETKCwT3Hp8E+VP72AzmBNq
nJqhDI8kyhtLXyu9Ko+kQYfLtkI+t0DZrBZeItAbtS6ytV/iOWu9ecsHQeeYaMp7cHXzvcVVAumq
m+78mYhSh1G86oXRH1PuRDL53HYNKD650ALYYKhl3eK2QhW+4euIptZnxc/knIAykxCBFm/7oquD
/Ezcl1jJKqKfxqIP+gtGW848fAlLxr0wOOu2tm9Zu660k2sjcAmo9nIcqqTOr3uY8IvczsSj0hvr
VGeqPsCjGudzsgn34HnN2dDdLGxZBTucLCShutPANCzMPYAEzn0ahfm2DMkiUEmbgwEPImR4cVle
NMPU3CmS2FhEVcNbHWftumS4iKpWYC/O/QHiaT5i/hvCmoRk4uqQV+iraA5vJX8kXWEWiJ4yvldX
WNQg+eJDuKC9msMC4FlrorDXKbuCkx/5zjHQYqJUSPcRCLsyvuIjCJwd7lKaFi+0u32kifzsNxOc
xk40oKPH7igQXiE8HMGpWaUP3QxgEyQIODFM/EkD2OBcHvaGxeZYdL7x3I99cWnOiwjFtBmkbWGG
t2QeW/CIgtw6uFZEUA0eMp0f3U2vrerycJk2vpGup7pGVwyHHZJPNY37xo7Kh8Hp7PuqG7RzUWb+
VQmT9ZBwpdEzTJNTbg0yt3bdMAAoLk3FyL4PrPKUV4NdIGARzbZLp2rVR0P2attdcD8YubZhlyOO
4ITK7RTWXHJ6rtXYh0aHlAdh9keWDaOO4iuWtJZW8t77jX2lV6P+asffokqsMYSmHkfVasoG/yDh
N110Tjye4lQGay1V3UWTaeOTr1vyqvBEdA0GvJWs9012SkltVzywauwfvIRUdCdL8CijvWXfYdjZ
qij7aidCQEbh4JhndDjhStMZwmrE3GE0T6wDXu3+0rNbHVmeqi+r5BWBWbUPG/Jaajx096z4JYao
oD+XeGfID+nUtiNy/Qbmv7hJ9VTHMxUMDxpKr2kRaexEV+GEGulSV8JddXVhP+HiSN/5PryV7uRf
D/MjkrS0wyJ6phUNkz3PLTEfZLzbT+yfyAnDTnzjSqde4BQghcYo0/Ihn8abwW87Kubg00YtlZAr
d5mjLljJzvQfelwWO2sge8vi+oZKPIzMuSuPQbsuvTWBKIT3BgV0+tgzPkht9raR1RAUxChtzUNB
mJNJC9pDtQD8G0AaDfwPF33vqq17oH4ZWOYMhdWy4mXgSCepBEYxcqFMWpu0odQuu5E5/pwpV/PG
g7cOVjxJt2mdnC1ToWCbPQxN76zRca6yjKyG0fuW5zixcuiQMN5ko1UizUJZg0YJML/XZeoVCNe5
Rr20CObUObyaxU6lfrnV3FjbU5qMq7k9OsdFJba2K57N3nIuEisl9LKbLptx4PTXnHFZWy3hanwl
oLJxcQd98tVnqRMsOtN6xQ364Hfi3GjDtVvm6WXYqfCOiVj86EyG2tduTG5duA4ceNRet9a6JxRU
OgEN5Ve6ly2P+xa5xw1laOyQNDB/EUPiuTY5Sky3eCgHOhcxbsAhLoXITzbvY8w/7dkOZllZP5Bn
fA5sd1dghuAI9Qg9wa4JvTAwjhjyXpN+ugsA3Tex9RQhwIPVwM/whIx3CI/PNeGp0nEA90FwW8Sx
ccwKbE5svFkZrwFh9qtmIOpUQ/F1lBi3sZYSHO4so2hM13lAcKBNIuQaf/rS7GxM/9TpkH5YTg3h
m1+hsfoUql16BLynHL2XVu1xtrPxw1FSnnWlyVsjaJM7t9flgzvYzqlHubQDspcty5yov25KwCYk
pWkfKhIEFkRIb/QhWlbhDGlsLeeyLxUatASP2FoafnFJ6Lg60M6l8xoFSmdOaKC0qvs0DOxTXRXV
V48MsyuPIdzJtDNnm4Z6toK8428cQjzeILcQDma4Hg72Okvbh6ySQ7l0CLekxcCTpzlskURY7DOB
Nb4mIJ5MGK+7n6L+qxhZKYLTx/kzPBq++1oW/m1BCtZj4wbyFpdHeHRTblgeg5s8jIqDq6GvIb4O
yQ1QDQBJstnT0Y8HMtZ7uI9VcU/DuaoGNd3aRnc/AhWAtlGG1xl56vhvTac9OpiWgEEYmLtlGe7D
Sus4loPirJmEt1dl96LVbnoNKTx4M8cuuTPIUpmTvUxjNxLZsoJW452MSTfWHa8fLjm8uoD0t4t2
PsBDaT27hjGedM1Ln6vJRtZPdOADWn0fhG9aXYC6Q8/e9cmxN5oUIqEYr/sWCHpEEETVdmYHJ9Ic
P5GW1vNhiRrC1G24FJN5wP2qrdqoapc4AApkFKrOwNh70VbDHHCuCOTZA4/CWuBBdljrg/Ru4aV7
NMgdfN6g4gfxobuHotcPfmM2ZzPqxEUnsA3bo45NUtj1Puzk8NKlyj1pQrMOVu2q15GAIrJFYy3d
DyK2L2dp1Ac9Cg6wnBAFDPmAxiMCN+NJ8wEPBdXB9nV3o0FiWfmKXLsFDwirxcqSO9saP8jSrTem
U7fPtuzjB0drYrJYTYz0BopDHHeVZewxHgeXoYZMDZmY3CNxFKzKKx3lLE5RzppOOyKJ0F/cNIOk
YFjebUQPBiMmL8/wedASUs2R+VIQ2fIRjUTULKQdsgmIKMMwTw7yOrTsyTu6ID+rjZwHQaesjeyz
b9ndXYaCnfh3bzhr+MQvM5jHz/6Yw/xFWk8Ma9gGyTZONHSRflZPW5X2+Js9leEQr6kYXi2ZxSlr
aJvO1Wb0Orp5tSbos2em2Kgre57Qun1mHp3IwDXS6FGyCyeOgXRsA2dlOgV5U9lgroKgGIjgQ7b8
FaqB/jR2PlIcPyVFBEvMCEVPxkeRKxhlLiFm5qoJfO/Ra+Lq1siYAjWGZqzioLs3otp8NoogXUs/
9I7BPKoemVknndsde5AwG7+uMj4EzMqiFN0Os4A8ZHVN1qTMZqe7mAgA7LCGBWClmaCLrE22KUN1
1fXxhe/DNernqXs2z987Y3KPHfmUF6mLhVp8G9aLEv0vXlEuTZJ3cOryCzvHRdTRcBFv0sAly2io
NF6KP6wMPST4UwPsW1ORLxpAdv5KVUyO1gEGtmi2R6rzt3bhfwzm97/VxkUjDtqa5vMvhrKvQ56N
2n9lwWvSfC+y++e/+09hHbR4qHqOUKBy1Nyy/iqs079YaObQHyHKs+ax6G/zWDR3NGq2Y2HRkbOG
7rd5LPYuzMzcijNQHkvWNxTjb7DyX1iMv/3v/5O16VUeZg27T6qSH7tBnWaWMTH4QNxbkp/40+yJ
VUidaybjh8Tu57RRdkYY6JEz59RZOHTGI1dfvcxgEVAzO4ugciwKCuvSnLJ30H3uvFh7xdwIrSUJ
zF2oo+eKxggUnEV052gu/R7RfgVk3sNIsOo9eSVTWjJfIC0BKWaEUYrXhBg/6ghCjlI3uCfDKtp3
4FkgGUUQHuJvwUjenJFkTkJ/97vIIpqQxAWGWtOhDJmTmd5ExKVLXoWSZXoJpfDB+5bAlOXPwL4Y
2NakM3GjUF1h2PK7OtyOPd4XH9Y5MXHmh1vjxC7NUzfnPRV9lm2CdryEwdU99nMqlELbJQWhVh6B
Uf2cHBU6iJOaqFjqI3lwM33Cqbjt88Z6LubkqWnOoGKOQ60QN3fuCOTUaV5GCKr7Vhty+h3IILXw
SXwn1YpcmWSFXe5cz4lXMcr/XS1JwULf8w7kr74udRKyvEm4t0r1FRTR4QY+Xr1JY0izNtFaA4E/
FOFBciaszTjUcwJX3E/eyplTubxKgzhAcwEatx3v60LXma717UXMov8+J9qrmDO+0rqxVimxX6Ze
DK+OXWHkCILbMunBgFf4wpXfcZbWX6GtHEtuWQjjBB51Mf9VCvJXkzlzTMWcctGcQzbqeGhKs2aM
7g7urSOsmzApRlZ5kOKzOdDMoGLYC51ArI60M72S/ZksTw7EziOv3dXicUVqSXikWPF2yOolpdSA
5GjeknauB8CFxWr36KXESsI42Bm9emSANbFqJYkti2jxDTN4HeeUNjuECQsl7FxMLXMIp2PCOuVk
9szZbn7WmhvMAhqh6tgncPys7RbvPXlMNpqnutpokuuAK9Eh4JXQOB5b4LU8FFiAGWJjE4Fn4BbW
QzgTDrKZdSBn6sE4oLjjC0g08DcmAh8C7gc4CTbABHeefNuN/BxmlkJscSnmM18BySLdEFSoVdG0
jEFa7zX+FvIDl6EC0ODA+/ZbiA3NzG7wuyk8lMROY4GY4358OA/xTHzw8/5etZr31R+hZZi/gCEs
PnvsE93SijPw2R2E2ZkkUWOZWzCL8vb1zJmAoRHtZNyWuzHkERtmHgUTUd7KkFhPoSdg0WduRTwT
LOATghCYqRYwYUAEwfMllahFw1+Cv5AzByOdiRjpzMZIZ0pGPPMyygFyxthSOTiMq8jAqjps6oRl
RlOq7xqnMFY2fwvmd6TnGyCHuCRGoFvtDOlwZlwHK2xeDASPwibNOm0q/+CAXFE23o3JbyF+iBn+
ARzCuO2/EUHI2uxvEF3CCYm/MUPKGR8iXUAissFWp5wZLgKB6FSIPtrabfNkAI/YljEjnnjGksSe
LQ59XBK11nX6mTkbU7Qqj2YZX7o0GRY5HciqDuVpNpNO5Mw8ceLhChVrTWB5+xmGstyrb4SU/2bv
TJbjRrIu/S69RxlGB7DoTQRiDgaDwZkbGCWRcMwzHMDT94fMqmx1WpfZX/vaVZZMEhWDw++553zH
6RcDsQ82BZocBBW/XXglUQasI5cnW8kPXQCp6XVW+zb72SV3Zq2Y6ucN+QttXS2gljBLq5u5wFtS
qhTYZMtx1xZkOMoB8F7kQXMSfQX4ZTHxtQsMxo+Np7mM84dY5M5duiBjJuFH7+2CkSkgY6MD5hZt
EnTW6AtuBunJ2zULgib14WupyvC/yfjGtyZtmlfs/5eoBMUUKqoJzdGGaMNV1z53Cs/ygrrp9YkE
J3onLFKXvt1kgeLYCx6n8oVxSJLM2TpFMd3RnUXgcuHpxHH8qAsgfdnC2rEW6s5okN3tSNc/WAaL
AypG221Uw+mJYueWL+Qe5XLuiYXmI7KOnGrOi4ecnR6z2P5AodkyF+PKk9UGzoz4yBdEUDvwz6dz
u8dGA0Bo0WzhNGV864ALEeAnZCRkom4paYZd2cFh9xcgEb12w3O4QIqwHWNQX8BFMKfilVpgRmnN
dnJq3SvSR4rbDRdSlwt6LtrEvVULFGla8EjVAkpq/mAmaQs+idov7peDBJ/HSxw9QPzgHv3HejhZ
8EvGAmKKxtRfZ/j0cdhOMiD2+c3KLbrkc0YTIbaXXTc7rDD0BfFkRwvsSdTTnS29p2QBQc2KI6CB
6LUVNibtFijILHOx6kj7ZatZW0J6zdFudXtLIV52syZFp6RdiI0ARoGcSinCfRna3auRulO79bv2
Qjio208JVMtUoMGs5jwsPtxZDftUk+DZ5BSR2mltBk1NbK1+0O5IeXK/hiVKXUQmPkIjtvFEwI5Q
5giiU5R2BPFSlIFs/PbR7mLAa3NPKrBglH52S5xMa3ZfJbmgUVDtQGDYjHlmeW41HcImIYA5lNKc
6GsgoK1yFmZFThuFIQRYDb2j8r4Fq0NDab61yko+wOiKN3zGh2AcRxJyvjH1v+Z5IQtBotEg2Axp
DmEQMfPGxBftcVaoDsmIwosmLuqdnTasrQkCZhsaScJHyCo+h5tWTsN6sNBT0tzyDk1XjN9a2oHn
bGf91a9sTJqybyE2GZN81Rt9+UKQ6s7nZWZMQsgjIeGuDeHgcO/5IDFZ9bEmMkA4DeMCeRzrI3ZX
aEGZE793qtGuDEPy4Cx3syX4TWLa5E6i2cTS4Cw2fevuu3bC3T220Ad7jX2ijegMSaSJ6B8goj3U
GTlH082pcnTaG2eEDwW66ulhtlwv36J5zTBV/eIApuQ7KZyEfuMRg4wns0s2KENfAuoUuiQuRn3A
M/QaVFMaBU3RhSQl0Zk3eqXf7LgYn1urUc/TEBbkWmfFiVj2l5QBnddOivt0wsAqOrPZaSFvrS3l
eB9lmmTdroevg9bA82VChVCVcw4NnnvDK0+jZNq3LHcl4acxanw49RqMGy467HIm/MtefVfxNr+U
QtY73HPVd1Kq4WFuR4MXN9Odi6x6cUajA7HUFgS6q2Q8OdM8OICLsvmzrhXyUgbgxeto04bkHm3Q
DIZL66TOvpHS2Usx53duCv/ayzzxyruOWjRhYHvTlU+PsJFVTyHBvENSJKemdPKXmt6+mzQgj/R6
0pP0wyJnzjD1Zp7XAYFqtpX4HPAv+whoZup0N1VL/52mMkob9Nx+CCdNAw+XPTfKAj+4KHyawJ4e
irk4jNBX1mnUuxe9Lx87zbVeZZdDH6Ykyn6rzRD9BhBawP5bJ4eqiSf8RkWQ290jFmI67aNxuO+z
bDzVLZbiwR2AcipF442D5uH72oas223ZAkIwXOIYdh3uezm7lFaOUFULH4BvTgL0j72E6xUP5Cjv
pji6TEZDu6h1bnSLAmzxVOjEMqRebXU3eplqfV86jNusDNJrGfkfUTY73C01Fkfcx9bDZKgPnVZG
OMtzV20mrJjs86MefDXNvSZVOZrpBa1S76GOAz2aivtGyPKuamNIyvqialquOlSj/+GOU7VtuXht
mQtwRcJKzTIKLzlO9Q3uKydwJ5oRLLq9N21EZbvei27T9q5zjWyBxuXJnpLzOQFhy0pvckjUaQNZ
RFOa2OQcc+/M7rrC5lLYrKz4obU9MQtQaFoariVlVXuEY59lUrywpTqK5KhjZC57EFTSZZGoPsOm
/6FsemS4al1Km1Y5nfgzqxBQ4BVMjHpp0qm9NNsSbic5pexdXidILnmGeTCmeYmvZlcZceBqtbaB
0dRTSZsSgKCnZcrql7zQ5k3V+hQvjmF46Mv07FOmASnVfO1DHmR+VPV7qk7gUJFhpaEYjLMjMJrr
8TtFL32gCo1oMMnaEOEqqGf9V0LqF73GaO5jlx3bNKF8SZV771gS+UrV2i9bU9069Cj0Gmz3xaAz
Y+i0lgCOlSzMALZHsrZW+tIjCASBhYo9QyywxzueJ/xfQk4BvcGpiXWilTDT42lN/rP4MckEC10x
SLJLDEmACtIMfN7s1+9u2dagpPGtG/FDO4Z3MjYwCrqqXOu+Nlw0HkMvem1nGzlX0X81lq//ifGN
wOBiBf73CsuKxPTX/5Nf/Odv+VNYgWUD5wYdhEW24Zp/uKL/FFZo5MOdRDoSPxHOW3Ph0vwrsWj9
AwUGD9yS8lsM6mg8/9fopiOFUPVg/tME959IK4ud/vc9++K8I16GuIOhDle79TdlJRyjGQ0Yk1Gc
a/l9DoB2HdpDf65dHh0aD9Z1+QfF2lRqGyvxFGYLxH15nJeZSTguz9OglRTATzzloKBPEXvdxLsa
7JBPdUj2rAYqummUGPYQQF36dVGoA8/49qQW5DnJt8kUV22EBK7rP7BzxFwYRWE/Ak97Ye6ndoYl
K2LID8LVkGAwD57gY4SsSAnO//bGXf+0F/wuNBFR/fvLgXcCwR/NysF5hRLGr/9m/JknjzJRpCVq
HkaKjbm4PUadLp+igSl7aiDoxjGYdOGO7a7u7HBnK7896vUsVngTi0Ns+Ge7LSbGm3pYmxFnSjtz
0QpLUv+6y45+lHX0bEgT5kS5gDXCqbrjnIF3q0raZD2IcaLvrfu4zJe+pEVbp4l7O7ig9LkgYP8S
7WvuLslGfT5mdsvjAEzEhQ7mL2Wy5NYjTlHQRUykYQ7nLInEPs+HZlV0wqIcusGunFTeLuEavNa5
5STeQEUpDLNpO7sVz0GAB4GZ8m+NeiqI26XEFoNhhBWOK41elvIpt1qWpI4cvrIKX2QU2fMJjhEF
XZJba0alwgF1kCe/Y7Qy6FrF07ywj1qRN4E20tokQJehvJvGQTRQCEElnyHyems6ZhhhLOpQ69HK
t3HCjdsdM/4MZ4j5XSyYhvhehjNUcks+2splsDCa1UB6bYoICVmVeFZ5dLVte+PIIgmSOv+umo45
ab5NGrsW3h5CgCn1SL3aja52m4vZDeaRv5il9ca2wSm6NdBCPeEPDkGwUZMDoq+JOLKnEPBO6LFN
cBbC9gi9Z1cAItiOQwQ1daQ2ty0lifnRqddGnu1JMa8QDyihzaL8LgF5UAE1XsKc9b0/sMcz42p+
iNvIDLiSAgfMvHZvdhOKXP8dWpXLW2wOwHRLHwUxqW6p4hk/Org48VNt+84yV30TzhvTgPxs8sUo
/vQy/Vdcf5qqr//9v/5t+Iis+JLh/vcH/+PnJwaI4tfvqvo/f9OfR7/7j8U6CHWS04RzBRH8n5K6
wKuMiw9B3bRM16Nz7K+T3/b/ISzL8F0XCzNoNLpy/nXy80sGbjZ0eDTwxYtp/kcnv1gsVL9ZrHRy
IHTyLM8YolCOZf3NYhWqfNYwTjg0u1QNrHSGG+j28b5mi4xrBU+f70X1onpzH1H9rcjQO/yo27GY
pE4RLCgrud5smZYtuw363NXXg1L1NqUq2heTd6D20QhiyyouUTKF+7o0z61RvWcKHa0ypuFaNtqx
GBjUuhme5DBl5Q3WBlbhqfkM2wwkRlYHVi8OTdNebLHMUU7/2E7o57YP1AQ+KWCnJqT+nUuQ3S+X
tgGhHBXiI7TM15BDdG2H8LbtrvkAyrpqFBnoxNknC8lQpEwnhTTPHTSNAqoGdpN+12fdwj4el/6H
6qBYvLEvo6i5HpJthM9zb0MDW+kGPQp6Ks6uK1mURe+RgYCT03m3/PR7jxK40tV3ueFdNVM94yDx
iID4JhMSOCRdoDii/Z2Kst1bIEEg97AZk1jMnaMy8lUBNmQsqp+4hbZxlVLbEfvXnBswYSH64Wax
G8f8Oa3dc498tbTIfYzCpRzU497bvXEphP/vxAgBeXyP3oXyMLzwEDN3VVTom5isZEBPRLNJJfkQ
DR09XNjKuXdXwldGXRXtPtT7C7xxlicTGSVFI5irqsBNiA/P2U0votd+tF/piWlWFNET1uc+iz0Q
SGzKDWanLKgr9sQUiD1PoX9Ex3hC4MuB6+zCBmik9I553j3H8FsKCso2HU0Wqxi2i7VAXjIiyWup
hcTCgL/o7gBxlBiSCMsjxNg3ARqmTbV1qQ8ghxI1EuJcDKrwY5ARWF3nJz/Rb0uiC5zCW7iQZmZR
ojy6hHgjOewLRYVl6xfLcN+BYVLRptDsvak8PDFvkPWTDduk9A4jS3/I60I72D0Xoqn33JWlV3dj
x3HPhwrhCETOGq8CDXtcyyPR0EW18HF0CTZLzxLKup1xZnGV0fQg0N/0hV1CEEpL2a8PCEWsOKZN
yKXkEHrVV68NmPpRyq4Qhn4pg0852KUTAqLa1KA2qUSR67YHG01sd9wzizinlhTU3ltQPxPmsnVL
P1YF/gbHXs9OaOX6mXUZ81rg0weg7Uk/fgsXcFCYpMMiO7cfnVD9noVDsysTUFdhG/FI7LziUHvk
bE23YmyLeLET1JE92x8uDUNv7GxNaze8jNmtTo30AXX1J54GpqACxS4t+DiQdbCf6ECfaJIn4MNd
2d/TlmEF9VBA614ISYxMgT8Z8rFKi2nNaKveRev+wCLBM7j2wpPjjWKNMczeMh3SgYUFed3iursz
PbbobVzaJ1617KjpNCwOVFkdZUw1ETv5q4vt67GN75FLu6MXTek5SdNmC6hZrsRIs4Of5jLwSCrc
p+0EC1EzDrZDScPUZ1/O7HzC9M53OD+PUi+R61pOmcazSJCFza5ih0cvzFisXT2HboYP6NKbyDKT
C1vQo0UABdORY/0Q65AS08bvqHoPy02bAKCV8QwCfRi4Bc+2hvUC88o8lUSiqgLDTlQFoGsfI5V/
tzEmOxN9b9kKcDBbhwhizsqwuIvANpxgwfkvdT09hbraa6WV7eepr5/xnKrPSk3Ohe2Hvu6T7Ns0
HQZqMRqBVmZI3cgnU2BFOfB0kv2E7vjGWXSwnKOeu7bnp2RJQhUIf5OonrsaC4mzpnms6vpiBjWZ
XCeRviLx4QTnNfwj/9xhjb6PjFmjRsXq4IrU0ckwWApE82RAwa61fT46X3VBWYRbDCJIe5Uepzxv
9rPPmd2ZSu7dxv/EoMadWXT1f281/6Nx1jPZyi9u6n9/r1l9Dp9N/Pn7teav3/WXWcD742pjY6ey
BXuOf91smHZxCYglbs0UJcDx/HWzcfARcLUhYEqP+vIr+NP/BXx1/0HBnEt74V83pf/ALvD3GY7c
JaGNJSNGkpV42WIm+G2GwyLfOJXt0U7VNwc9ex7Yhnk/Nbyxv70q/59p0dT/iGj/foUyjSWq5lF3
aOt4bq2/jYvJ2DcdOp7HZMLykmKytDAuGjC9pRy7sq+dVZqvs9eapEcXNt9QGPFm1pOKx01nXVOD
nVHVp/6JpFEfhNjFz4hr/oVFWsU63jKMTVFQmIVTz2S0kV9ebeHDE672q49t5hTdDG9zms81uD4s
k+vFvfwhwmrcu2E4N5RV6ay8IpqgjdTsmPmwfGsmxFC8xRSpUd94p1U04jhj17zpTQrStCMQdu0Y
dTdFSb14QsMqgU87ae+atOtXRczCecVucoINQkeWV1mM5XrHt78Wun6rQc2ch9Yv9SPtqjrzMpW9
lVeKZgehDrBnrerAHXot4+zS6fOLzfnoppYbFL4ML2KO3RNcWlZceuG023CWLEmHEb+q306vEPuL
ezkUS6S00I60WuhbVbET1kTmbSojN3debvo/RDeY2As0vVmeKvmmZ376NRhq6RKlfmUn5QRH13XI
6mXSijesL72d1vDPj1kZsRiaWnGypQqn9ehheeaTS7tySygxSLiOUeNY2dEmFIl1Meii3BH3KO4Q
dGDL6qH57sSOee/Viv/lEcOY9Shbg1wZuTW6/iqcsXC04IPICU7Jg8FuhsnfLcC+ji2FaYFnxfmX
0/b5Vqr5Q89nIJFO1j6E+lTdattNH01T5l82VhBWP8jTLuOl09LZgOy/k0k5AQKNlLMxMh5zOknY
Nk2w0emkf7+bymhKWO2a8za3qr/wBce5qmz9oIUD/B5j9iLWtiOyr8+2x/YlCB8ChJSuN1+iwG1P
2Qv1s+pl0O3ibNHltLeF7M+A38pDzrcf2Eti7X3BBYFlNfJ0jLdC6+z0q47K8lS1yvqkTsE5E2hn
FUdvF0SbCUPOsnnreuW/oVNlWw8dDMj6kv41Z20TllV/X4yIo5kyrPdUcjN2qnBPom+G8hS+OAX3
JTZSIOdm85dp+ONGQU2kOGnW0EnZbNGjFXF6MNRr9d2Ui4RinSzeaIzYWzFbLGfCaO6/yPsTRtCc
5jvL4KjYGeBbBQaYeEfTwJg3LeCfk+2vy3QAtlzKAQO6eIyT1mN+H+XeIfG6bXAt05RoxtPDgE4A
UmWGp7KaJtHtuQ9jmMhxogdN11m0E+rdo5nYiNa6MwasXgyaDeVXo1iuJOQvN+AyceuQk3azqttk
qc8eCFT1varY1aG3lAtn69aTEN2ZZgViljxjuObE5XFrOiF15D1NTjC4xKbVtO44CBbVTrrz5gbL
p2bqUN5jbSls56P8VEHa19b6AG8qSNlySIBBcbszMY0km7mbsteWIgyulykdbCyuo8NY4lllPaef
xqzsoRovOJkRXE8NOfaczljDezEe00QTrKjZ7fv6pTR10oPyoLn1FpDQNg4bKoeM+w7Bu+6pDdTn
F2gQLyhV5MtCsXV191P5/t5ZVtL8m5TNpFq74ytO3b3m1QT8tTzdZnVvOJt0yKNTDA1oN1hEdvPG
839qcxy+Fjw1JhBkQu3BT1HjmGKXn2U0kWEjp0+J3Sf0ZcBdskZyiu/RTuUmM7aDHdkPspbi2ZPe
YouKALg68rlwFu+r3j3rluZfqSsd16YLC9irfSoIxv4cTVl7gAOCkajHXCNyaD+N86kJatXm7Ic7
2/GhdzSxlyNZkGSeH2iyJoMAETaMqSqozaoDkcwQWPTOfddPNUisWluPs5muc8JGRfLo6/ZdMqru
hP6vvVIQe5/H5fOYvWXUro8F1X5Ir50H3m3+pbXqwM5o7UX+LzMS4zptxiOPulVpZtup9X7KHDfJ
sHG7dkfZ4M1ZNsWy/AJfVmxoQwrs5IdhdTS5Uukal3fwfTlbcEIDUd8WFkORweWZLbAmPtgHrsPi
ac7hGpk7xzz0+lvRYBON3/l2ay5gz6Mf/aA0pl1ZExd543s0eDQY79QQHKl6paqbdQ1u2o4xM68s
4qc0UJZfsIn3esvK2L7kzg83bO9SXdsMwmwANXjnkUyan6Q/w8R54vOJUg0qFYyFthtkdrZyPKzM
e+c2Gj8RbsGfFo59bksbiJl181v7jBZIljYKobpRz12RzJ5MLXCqqmCpmZobr78KGsyafHGGFUuB
LKxTeRwtwBN+WxwHPz8VmsYDbrbzlapplxBxgPcW/00UgAy/b2rjMLjzym8zE6psme5N+kP2M9ow
pPqxWRN/K3bxiOdOEbnX+PlHms4rn/h1Df5AZJ8zqVPNyJ414we4d8rs9fEapug10J/3+B/pGgnv
xzDamr2LUT0CDZY4W5sESi7yCcOyskjzYCGMsh9Z4X4QZ6iopQfgifNFQSKp3FVWYX8qIQeyGX2o
swuRiKBzn5l45g2273ozJgA2G8zjER88TE5Wzk88kJNK0THc/LscSehN+tqnPnCt4B+TaNrhBvWh
8+6k/9hmdhA1/NCpP0S7RIf8xEnaaJvEcH5B8fYeKjitWyF4rTSiKj25rHWiR3mQ2YglHIP7zoHQ
ZVBuuE5D+s2trkQ27wkR9xMOBMf2nmGxPuDu3iaxzY65zIptUbsHovuMfAb2vRwhgV+O20S7s7Wm
Y1ICutGRWyKuNhmQAGTvnxKBREDT5cIdW3WNXOtOuyvcFISXru/IG1CCwTXQsx4h1K2T3A9MlQUW
NP6MYFOQWuV3abHaHyhLb8NbDOGwjYwN5om9aT35/oMWP0tKiM2Bze2SxZFwLniD+aq5r5IlgWb3
Gx5FQZY39WrU2g+WAC+OM1rB6BQicHjeXcz6otUszFsE8ME8xxTIbUuX7W3ucXHx++mAHfGu0CXQ
at8n+KJ5R0q2t4PULiVNcyvfskbsGepBFnx0B4dxWyjvV0Y2jDbUVzfi6pjrbrtx492A2cASJ3Kw
J9BpX7qMLl0UXmv1OkpX35Oax8PvDLxq4i2vnS3Rf5CT8QPierKHneXhbmh+mgQQfHSZozPYB48f
umrFsTJnPABcd5WtbWJZiU8xxpLlxcC3byrJrg5udV/TMxTiUF7R/oojwsrXjRTySaYP5AAiYNy4
Whx6AuMjZSOrFiWrhGk94gOw6oeuUCvp8+7lq7unuARpzYiqUYe7jXqdvpaKzXI9ZgfdI5PReSvO
5Zc2f2UbSxVUsod4tKXXZWcwbRs6uLus2ifWOSnUAc/xrlrg0/yBpjUhcF6l8zkUH6q/B4awoVJ7
eZt/5M1zXQ6HNBMr4oBLE5y9sWlKBMfiH3Q+pb5zP8d86NlCc319ZEkGX6XedH11K9oxeavH6VYa
/m3IzzlRK5xU88V06KQj4mdW3s9KsKLWW/Ft+Rgz6HOypH3Ux3jfzk8W65rVPDTmEYXuHFP7EM4l
hMXMRW6sN4W9bhy1M+pmo/eUBDFIjdQSyS6+zFpCersebrrD1son9xZaWC97dSc5Kawa60jl7uv5
jY2925xM8R6Ox0S/2uEXodF9Yb+UUOBcB3uDo52KaZ/SaQs4ABeIVPphsL2thr0KVe9UdEc8rSsz
4kSUnti4FWm08jFDn4VfsZ7nx942mAlmvlLWW9XF14h/TNTv0PGoZvrKzeKH5J31rO9ImzH5VtPZ
JpCHE3vtSo9OjuI8mD0foJ7Eh0DL1PRvM9fhKruas/E794NrH7Od1x1jq2DzQ5QzLVt8XLlp0pWu
zl4bUYBaFnhttOI0jPop7eNNg5m0285LrUZnf1EwsLbzDvLe0AYpr/BA0ZzVtfGhA6kEuJ4OXluv
jZNKpUNIXOVojAInbFE8+13+U/hQAcMxdF+EId1Tl4pr5iSnyjC5kBEx7MsDrpHvFIkPYqAiskq+
50Xq6oATaqWEDW6y99+5kzmw+IqNUBookdoH/h26a25pAzeo+eiFNy8Wge6fyTudqtS/z911VL+Z
YXGmiO8MbhpdHNzgbiyydd3p7zXfS/enU9Tfhqsa3LMgsENVnU1n/mipPDbQXBHDSP5Ny5bxF/iw
nUMFRcqyrWQxqPzursT3UgfN3GlBHf6am2mfu+UZguZZC2krggDox5vI+slmedWqp9i7quqrcbqT
LaaTXUe3VuRB6QoWrboPKjqtCYmCRcWRZzSHzKgOZpvcNVF2TYdx3STiWMgrVLiBS8B7md9IOGK5
2AlJZzWVz+Zbq1nhCqjJyk61p7L6MChuqU35SICYevE5KNxT22pBNoRnDDXrubV/aFb2UIg7zoJN
wvnpYjGW4cl0snuj5d5fLn3ts3gsJYUB44DYn97187CrxVTvlNYFnnQfhDPfyqZ7ZEbbu/N7CLOw
5iKxxm4c+B54qb7r7lnA0vAG6Ko5puWXYrhZ5eH8aWYSHlQOmKnn73RY1Kzs+nlcPn5jetPx3GtG
sc7y9AB2hlYHPVDqlRsfLWjVJpHnUQ2Byl+kvyf2sx7SjwRbi0fD8N6lkwTopcHzlgnMkw/EgX/1
2p4CuMAtxw9UCNbSxmMXWpshq39lU/pjXELhOg3rzb2Gzl2x+Oh4PHryl6YmZlZA/8QCyVH02gE7
IIFE46Mp/U0Ro1X7rcPhYEa/vJxQAbPf5BfnRhg79uw7ouY7TWXJlu5PpegoNuTKIfPgv6Sg5FZz
rf90DTTdiLSFf67ncT278nn2PllU0P7cr03YsrW4i2awpfpwDJW/qoDWzRG1ViUmZAC3Au/uRPTb
HVaz+Fz8UG5bbMPycwL6SivwWgqKcMoo6DgudWpy565pV8IENNk62jZKJxb23nUazTM2Vqyg6kcV
YtOX2cY1rk7nILXa/CcFwf1RTd0pZ3Qkdn+2810krl0rtkmyF+F8wPd16mst0E1yi/Lma9Pzspsm
WUA+sXggvgqkTnifcYINd4gNVi94UbvJx8yabcxoOqe0A7MHaK9t339O7CagRjuSEASPnLCgtzU0
yktcqZNj/8R/HPSYrs5+Knl6LJmAPHL3ocZNruaGY4U/vDl7ykmTt6W6lN1Pl9GilMwSttzPc7ZW
gOpY1/tY6bwU3XeL42mpJ+kwpvn8I+e82uXuNpze+pFtC1EI7pcry3gc62hd+9WPMOcb1qiZa0ZI
pNr3Rj7evQA+MLTtLtWhTayo67XOyimzfVJQqmgKr9umDaqW01SSjFA2cxX/iqQXHrrW+iPRiGdM
YVLoc52Idjnrj37UYpG20/iUWlaz1cPiQRppvBvN+JIKB/++Z1FJmvUvnZh7aEEGOv30hWDPiFiM
MWCC+BybTRg0KXgY1B2mMtkZCCJxhZ4mttPijGyy3Nxnjfmsq4Hor5aq6ZtTfDiHoTGhuIRw6g0S
yHZyjafl5PTld2pExrnX2FL1WdofxMCdUvdyghNxX56ZCHGgcbt9SMcspctaRqdoNstnb7LCe0a0
eKuS3A3sNJ9OGbur75qqpTOWOhLuaZcRcV4CN2VWXVh+oBxNlb9CPAK5DwE6g84MLXiFPkBOojSj
tZtXxsaIIraDNtHOHrvmGcdt+R0JIoFe/tFxZz6FhOr3hRzKoGlNI6BiZKnWAoo11Ux4c8kmroZV
s418745eclpToj5tryrHD21bFZ8Gv9r2pnOIdUkTa8EQ3TFbodpAqTZZyI442ow0jcBm+BedAR6B
542dkA/2KGSzlk7EsgriUuFQ/jTcwVtm9/wWI1kETA57iJKbWlC1ZGLs5053ExppJpZkGCwTN6c7
2vyaO5MjKRseZOVcC29K1wNNWivpEvSImultJnDuO/OjmKFTqKTggbwwO2ptKRHXCnyEHAVlLrh9
em9jzt71mDAJF679UNue8cMkp4++2p7x236wEb+0nb7X6fwmj86zzWALjMHUcTXgIrW+hEnuffEV
D9UXq+2PgdJvX03zxhjy8k4MYXhtwzhlhqVUfB6Ka4GsuiqXLWTWy5uGDrPybC/5aUfkZVgwdkuj
OaELYiArXdn2dmqKHvnGYuva1ml36PDwH0bZ3Fsdle+la17bjEmlnDImkIJcqrLFozTcrW8OJ/Zo
O6b7cNNW0MKKKFT4YAveToQefEauSS+rZwJPko+4GanAjJIQh6VKH+WIC9YXzltE0fGKRMfKKqPX
YgA9EVlXT5LpKAmopWFXPNhhXXFFUYzK8ZMmH3x/EttRX55usjPLE/1AJMon2gVTgv0irrKnyTcy
JGQaQHpA94FDJoiCO5xQ4zQcWCo2N3gxaF5+JrdOM2SBZzACDx3T4yhzZnU6pkEdxN4JjpW6qLRz
zFWEQxMt22qDrCEuqPDifFDzlu/EmHynQxOzyvN4EMGboAyNeQeTw04vu9e+8x36uQAkYuaEeB8N
YRCWg/sTdM50KKWdvfea8e6g3H74Gh+arGfgWmF0FjtnDnN4lr0qVwripY0jGm2Ju3dQAG4MDLp3
3nHGZSQYk+/eqaNrbiJ/5jxib/jSFl5blJM2oRTaJKC8msTU7fAx2M/APOK3qSrPUTlp72VmWEdV
RNSapnqrnvu5q4nOz/hZ6XhN6GE3ZUn4JDcvlH3S1Sqs+kTdm4M5sBBXON0xd2DT2plWVF+rWchg
1HA5qKbm65saobf1oS9c2rivH91G028NfzepaevU6KFzNg1lMHL4JD8whPcr6eDLADsEq8ev862T
e9fWjqlDnzskpHqEuSKrXyU1Y+tF9n6fDQiWcCHJ3VtT85BadbMfjbw/WIP1E4Sdd5d7y3OpphNb
xpEMNAvwHXWk8toLZBXABZKExUTPtt1UmxHl+hfCwbirLT3X9kUxelWgVdb8lg8a4T695FxLWmtp
DSqvHiSsoC1SkjRD1yGL1QV3Vzxn9wm25z1qsgecKK0/q7Laakm2tMOrdEPMHHONj2ykURb7jSSQ
3ivT9fYDBHcvrJafIx+/CU2rl9j1QrQtd75nLxyubRHmO1Wqn1X45tSQ03vupN9e8n/YO5PttpG1
yz4RagGBJoApe1KkWkqWPMGSZRl93+PZalYvVjtoZ6abvHbdVdN/kisnMiUQCHzNOftwNkCXco6C
lQ2iBr8jNXVwDrUBJVwaRFNU7FpXTY/yfGLnvNICKrQ6CvUP7EtmlHRKFN0I9yrqGweSCadZzST0
PZcA6jORAjKo42JX9io6T47nIUweuozMZQgRyd4uWCS45H5tLuec1fIcp1WjH/05QjcYJQNR3MFr
UfaE6RiZeXRnP9/nodUtiRwLborO45XTSyaBWd7hKcfhMInyjaH0O0fYDIu9G1K6a8H4SCNhysRp
b5cm74wp7t7CCk9blUV3pTWANuwG60sOQ+q60ZLkDbPJDCW8JU2HLswvl73Kt8i6oN05ehTdFlnh
3DYOuqXS5k4s0mxfNATHotFkQc6x9lK4k/7Aem3p5W5yY+a5e1PnxkiPLoEE+pxXpu9+zGo9vx3z
rKQPourB1lFeZ7r/JApnVxS+vsl63kfujMdxGrr+0LhBDCHJM2+1WT9YgTS2pVMKeO6VtS6nKj76
FnofgUyUPmV+m5nNAX/P5RJ2uXsfIAs/Z3rxpHthfZSzvpaW4NjvmIyhsNJ4FgYiJ1jKEiAltOQ0
8DqDNKPkPK1PQmyFqcjyfAVpImM9EtxlNhDBYFK+YD8itSPgBVly43EmtM8zwlmKDXP8SAZbew/F
oNgAemYI3zGcsoLe5N8c5LbVk5ETeVj1Ix2g6SKrdNyjZhlfIj++NkWsL8XIWg2OGbMszY2ugBcp
bYb/SggneBliok74ssp1pHeANXsO+LkqblFXMRz3cCpZhJIvC+4l6hzciEliYfltCf4q2XttiBik
Ch+IBa91fVT+LI+oPcNL1JImX9pOg4otkWevoqaMfevKrANnG2u+fvDiMf5UgO2k5GrH57JjekYG
ebjB1yGWyC2esRNkuxD2IYAp6X0iYIWoSTzd6JjQWbNtsZKjOteReTTT3svB4iRaga+UE3bdQ+/Y
Aa11jmbHgcsViAyISqNwz5iXnI9F1hj5whdENjZYhm6aiUgXhjL50Y7Q2uDfj1eFQQhe3hr4YYOi
bZgCT5yXTY95rZGctVjta2AuLWzProivKw6tU9KaDIcweWmHwM6a26Rk0GQizjnkeRQdgtglQoyY
QeiGpTgldiP3SdCTamxzKpYxviITHM3LpKCIocGflDmVcxBQvtbYynVEUazYPOIJNlVQOnfpoNub
mgCTVTopEXIZMAZsbKJncOt8tAPhs7SIipXXjtRXOTkdtCv2KnLaeMOpeeS9HJNXOlsu3SH/R/6I
8RxZNV3qxAo3xHTHSc+gY8LnSbQZ8y6yLta2hU23FtVbAOeFuDrSWfzM8T/549xz88T04YnscZ7E
4bgTxiR3o8iMpxpm6Sm00OX2Lao+Qr37K9PWpmXeJ9WWgrZ+nsH5HTqJSKut0uw66KAi+yTRnxIt
Y4lHSibuGGLItzJtQkzPfBeWxndh049CX/KaHVpDsvBGL1zGNnaruTHMFaauec2G87pNR7kTcQO1
aDK6lwCzNq0DFy0pmDI3GokIda4/Wwb2MgIlxV3GVNhj8troZFW01i5zzAEP6chxo/L5OB246qIt
DqFRaeekbaqd7seM5QjNzBcovMMbPKLBBhFavdQt7DKNSe1GgecAZLQHFv2IemZcfxtnqvuDl8M+
anSMYCPozWDZFwMePD+ioLUMjQNZpsSB8UyCQ6mYLYbayYh4VeUuwUGllhP52BXafiSp6Bm/vXse
9KdOx58by2DFE1QDwebgqRqmwPw+SXrO85KBUQ4r+i51yQwym6zY1REd78JozHhLWCD8PZIN15Nj
v1l2Fq/YGOtvgyvzrVHq4gMiEe95roFBe0Vzm7pUVFNX8vfhcngz84Z0urHpSfr1GcB/mosm3Zm9
bZGxPWGpdOgN+nVXjaTjOlnDyhIQ3iY2Enfl1u3kL4sa7eZo8ve1XRUcoQcZZxnk5s6ag4y9j8Tb
ha1/H0gKE/asA9+mQEAQNRqxcTPLrhFZ1LLOZLbJM6LH0bgXEM2d85B73pIscAcY9zhRwQbusxES
aIMD4aatxYcsI7hV4g0QdJzbaYr1G/rf6aBpBmuGbCxq8hdBawZR1u8Qhlvxwq0ykpAsLQK+xA/t
OZmrtW8W/XWks1SBE5OAbsCXrDtl85rNdBCImyFYSk4cly58GUlNexvgHPI7h8JpFnzvRAuRsbB0
PCffWhMtZeghPG3wtNQs7MNkmViRtWhKLSAUoHIWPG7iI5ZLLkVYf/b8QF/5s2XCUJiT12jGLpII
pltWIdep6b+lgkVF48kbzbAb2uv4rmGOsqj6aWRKlEQWSBHanK3LShlhqDk/cXLR3OgkswcRI5mI
kMizDYJn30E7hO3OaICLPm6F4a8Bjmj3iC/5S8p8ekzhHN4EoxNuSpBwz4lntlea8GlrRxqAuUDx
ZwiAuyam2Nu+yKubaLA/9Im0DhWA4+exZByMYVTsWoLktq6M+M8su51fi+KhmsxxoEHVyufWTast
6UfZNXEiX/zBje4kU7/7wI5cdJW1AaiQFqL1me86ZTBtKe/dOykKDYegu4rZTfQrrddvdUMUR9Ao
MSMSWrt9J6PuqyXmf9T/f1L/2+ZvuTqL18/vufbh//xv9Bnv2af3OvheLycuP/1NLIfuDUoOen1S
5tiiu4jE/iKd24YwDSLQXR1qqzT+Ecuh9ZcuSENUbFB1TIlg7x+tnG2i29D5t0zsy8jo/gutHESw
n10A5E6gsIE04joAs9yfYi9kOJlTk/YmMR04lNvZqjvmR53/lA2jfZj1Ol+SguatuHNZLPh0TjdV
GUoOlDTT7wqWdTde4Nqfp9aUVzYITijJ2VBuBCaBxzSDop0LG/dMYyPt7GswUbi3gU+MZfnMvNZf
spIrr9xcGx46W6Yf6sgeWQJ3DMWjyN8LdNELoblngscYcdI4J69WWRoP7mRlu8ruG7idRXhEupSi
je+SY5aS59ODPbiDvMJmeQzDm9os/HufZpV8H8hkIc50AkZHL6IqVsBcbDwPtXr7llUX4gDv3A96
S7U9SIAWfqRE5CHO//oq9pgh5AHb7BQz23XDhHhTGQ4Ze32btpvSa9+8liCE3pyuXBGfKyv7IpsW
E2oykoASoRVaFJHtrgFyTR+t0S/P3lgLRmBBfgg0Ysom4ZrPHcPVap7l1VAXxk4EmVXihK6btdto
9a5LRMWYqguPnW9Opy4pXzsTVuUUjbwRYnhk7IIdpmFxqR0jM5UfMr8PsWGbJiKEfO/M7Ytv5W9l
1kSbGo3BhMJjDS50Oo3Q/VkbcGG63oqXg7DwqhroVeLa9khtqrO9qNoGXXP/luHSWw0efl1kP2yq
LDRgMX/C3kMD06wGSns9L+ItSqqKHPgCLNrA1597g0vx62z4ZuNzCIX7ioDqJ1bV6Tqp+nJekRYC
/SbXUIRIMtqm2TskIaZdyIjrwE+acoWgLt+i5ZIFpsIEMbnkyuUpURWwVFRGeNSZb5g/2hs7kuYD
OApBqlzFytEpi+JRm3jDLGRQW6tcy08+4WGLNu1m/M9z93r5x9ypshajRcLacsyQjDAVQnx+AkAI
TBSLF5Znk41jIUzM/DSy3KPASK5DAHrt2ndt51X4SghpIePbJbnDGqWJCV+VWje82/ncfxa5TTlK
Pmm07inm33k/YXHTUdCrgC5QdXcY1Ru2iIV7k/AeTHgfepcXI29IG2QTrTJLwjTuyWGbJAGwWfCW
qFdrGxriI1hg8sHUi7cJNHw76mWMvsWq15F6RVtuX6r4xGLbzJq5DE3BS1grJOK5yxt+ivrgs1Sv
/UqCBEhUz+yDH7gHfNS8lqpQELHG76qKB6voxVNcUqcHVBaWENQYru9Qb4hL7THYbb/DiA4EA1Dc
VRAIJYaI24mUyU6/MVQRI9KkWXQxqk3qG1rg9kZQ8UA2dZ+xiQNBUOXQ0KC686mQSo1tOycMOAxG
NBtPI12XDElY6D6PIfAosXI1ybUIVfHF9Hlvirlc25fKrIeEvNOSQpzRSwTHVBrFqggHSnS3mMEm
qxJPL22xIVaxV3taKkCqIKrB6FIZWqpI1Jw53WmqcJwuNaR1qSeVgfaNOsJZZqrcRAbb3DJ4fZiR
2T2zdjE/WL665nZivNmqZJ2pXenhKFdCOlhdFbZmYlLjwgSiKVKFb6ZK4JjZXbqAzZOeHQzkcim6
AbeBKpw1Ea660MRdDpGDlfh5UEW28AbE96rwxs4AmMSvOWrtWjvpqkBPMnRMWVW8FEQHb0UVM6y7
VPTTpbpvmNZA+qLkn0pWZLpqA+Y0/5BcOoNeNQncGg7KSto3Bqm0mzPNBGON8MZUDUZS6vQaSaRX
O6M0tXOqWpG+QfyRqvYkcLPyOlUtS9umFmxcqX/EIpt5y0Q1N4WGaSgA9vLsNsNzqlqgvgSMwiUi
jE81SF00KjEVTZMkHwq+J5Mv1VAlqrUCVol7s2rFKVONl6NaMIsl5gZsd7FxVYOWpSnfzqVr07lF
V5lv1vh2dO5Q1d5lHpgsXbV8jWr+gKlATFENIZ013EXVJEaqXWxU4zipFtI3K7nLjX6XXvpL/dJr
ZsLvb8E2+5/SqicnSTWleVi84bw1tr5qWF3uMN6ANLHzAATGV41tS9TDIura49wL47liFrVIVCPs
XHpiM4qPU5vHm/TSMKvW2VdNdKHaaXDd/nG6tNiq2c5SJslaxFVvVCueqaZ8mnXnjmdT2/hjjoTS
9dCkIqUHl9GWx0i19s6Ej8pS7X6lGv8LPj1VwwCGrXJfqAEBu6YW7jl5lIUaH1hqkFDXrnNI/dhb
UQ13V2JsTi1K9UXgaMZDrYYQthpH8HUOq0KNKOQYJ0cIwh7EG76xpDQIGbVl8+o6dX6ghxjXvmD3
VWjasHI9jiFHzUB0NQ1x3RwpoFf6N56alSDH4K5z09r5iCTffKASno9IRsqH1i4kF6GU/hWu5Xxj
F1V6Iib+2av002xP9SrN2Yew7MhWbBy7HTw5lPG28jVCR1oUpmCv4A3Jo6kGPbka+ehBF94NI9/a
RNrUstemO+wNFYlIoQ9NIz0M5JcPgaXfBTriebudt4mv7/iBpwtl3bbtT7TOLKgzkG1d7AYrSw2g
Gsu+8itGUiJ3zxw7QMocBpZJV0YP8jLDatQ4K1SDrdm0tE0R9DDF5uRTYtAMR8jsN93kNCtieOs1
+rftnOrOrZ96e5PqSK/dfo1GNUH6ZJXI8Iz5VANs2xPW/ZFGOzvYsMcZ/gbayi859FipdkvWlteM
0N+DyT9Wo7FmYF/DUAEmhV0NoTHCYYbotIfxIJadGgZaaizIZMq+y9ypfNV0GMutGh+mCs3q4pfS
1WgxVEPGQY0bB4s1UqJGkEhzffg+jCVlWo97livttWTAvkrVHLNSE81ezTbzEaYig9kYtEnsHLsq
ewqsyN10RdMh5s8NlqORSsxkXGoNw5upBqieGqUWaqhaqvFqoQatZD0yMYrmAzJP85aM4Xjvy4mE
jQzCWqfBPMvV2NZgfpsyx43VQNeXWg5nliGvWYXTLayi216HegYjzDuZfjPu58olUVMNim3yucas
tR5GPZ5eWuZsrJKqCiejl+5hz8hFk2ZvuRo/T4YZ3kKwbnaYL8NF4anum1duvMwu0+tGM2L672Te
+sjW95Ue9xxmeFuZLu7GxMnf+9B7bTHWrbU4+lTnqfYQpZN5z6TAOARF9uTFrXlI+s5atkmTVEuE
afJYeBGzVla368qPR/SvXr0x0grdeR0hwp+qPYCL6pB6XnXjTDYHgqNJpR3l7GhTBprGu1Pyq1JD
e/eyKapmkeQhpkoHHzzMv/YOr+0nh/nEooSensqA6ceYmleeNY8LkPes9utoUHQ0qtqqn59rypKH
qUafVdjQuHMwiyjYTH3j1shFkxJ0Ewc5ZzApSISL2Lb2wsjTWQMgQ6+VmvdViDGlrbVHoxqabU+I
xTKqXOOAjaF5iUF9oojzZLyjYcP5rPOqXBmzC5hbQ3leErG3cJoyPGFzAAXKJvw2HAk8LXlTwQL/
REEdriKhlqipVVz7oUWGUjq9W0ZrPVLU+qvSyvqVkRqYQu2Y+VA/aMU7ipsRWWAP3ciyt7pPA7+k
LAWyrUP3xhqKr7MzkL/HAQ/nGHb5hv3ooi1sb+FOXXBX1lP4ZDFtuy/6zryHLpnts0yOmyrJn2w9
i49j7LCnGiPQczK1WXhpIG4WxthY1wTFMuUfLevYYfXEEltU1q5C1dTAut642MA3uFn7VdqBP/UY
Sh/SeTZg48kC5egwBOKY+LN95QR1CMiXeZdXt/FT2aWYiXnUNDTafoW9e+pOek9s9iBnd1+0g76L
6imIOUZEsyp7uO9dJUFr0C5/CftqurKd6YOZjwk4ILuuP/i1R9lRw6OtV6J4jorCrZAzGxgLas1C
Cmi0qz7tu7dhSBskbZV8DIxufHFCFLIuupfBNcXVVBL3UiZRY56yPOehw+CzYuWtPebwO051LusD
0eUfQLDURzfR8gcztutD5jvFvZZNKG/LIDP3jmSxscKUo33A7u1fD1AeVmbe56tWH6cTbIh0DZjC
x54wZMU+gigAKXWOLfCiOeccJrloQz5M8m5J3aMDkSV78yp7xk/jPou2H1cC4d99Bo5tCV3dZ0vs
tdoG3nWOv5MmiWgEsgTrIZhZus/+Y1i1yReTyN2lhJYE/U7qa8NiekjcWI04MUoTvGWRsF90OdaI
FIbxhZOq2ZdA2c+inGxrkdeIQQja0Nz7SMncAYpRhNTQtlrA0Vtk7biUG2o7VI8Qs1ZRF8q94aIg
szktN0DS5NbzsvhczOUD8r6RVd3AS8/330Lerre/t9ldmCvfm+wg50C7IYnJkTBxXEUm/t7P18l4
BoCoDv3a0G4Hlo8E1ZA11Ea+ds0byl9quXUd2N5wHXKI8IeV7J8Nlt6abW8vv8z/jMO+jsPeii5v
6+n+nRP2B6SRClD6z47R7XudvebT9xMw9QPf5l+E9pnc3ZClsZE68KX/mn/Z/8t1bId0PaZZOqsL
nZ/5C4DEDzkGqnGdIb0hjO/I0tb/l1n0l/GXjjrMsPgQR9ouvtEfb64ZRk5ptkrTNUHiV6PrnO4Y
sg+lRWSNdn1yPHt8IzS92X93if7FPqois364rSE+6cTN6lR7jgN79cdPljjAYi2g7m2aLCOIOwR/
VCGpkghdy6lbeYOj9uFum7w3WYft7fcf/y8RWSolD+4HiW6Ih82fBn/IkMqmdGIisqSE9THHqWWS
XdQU2wLt+WNLZOe7RQ4UdolkprwDwVZs20a3vj5SMNX/ne6tHt8fr4MpmTvCIOCX4fb4KVoMck9a
AdQApRvzftHNJHy28Hsc8LIRf/H7P/pnazBhjkw7YajgaYSeBUHlh6OkHMph7uGa4v6CcnUmptVd
2Qmk7BMcHa55X9jjH46vX28w/jx2vh7HPIGXl6TJ79zIzTiMLXhEAuTmlKqkbEY72RPTiC+lhfi9
rcdIL6/JsNc//f5v/bfrSiPOyovxrPcL3oVMKYl6wkg4Hf3aQesX+/GBlN60xkWDSP/3n/br3awc
0KbwAJbhNfvlWwS9DP1IhWCmKSyKrPkcW13bbeYxX5i9kWy0iQSEGPhl/ofn6F8uMCcITy5kav5Q
+6f7p+zYbE8Jvo9kdGxCasdkHfQkf6RB/JnFvUf8IPfV7/9adSr8dM8qeI/hkHItLd7dP95H46x3
TmpW2bIkwPuTDYYC7ioAoD98zK9foaWDctRt6fDDNFE/fkwOZQtX54iq1uZ4wLkcNkh2u/kz5Tp0
sN//Tb++Z3UuHx9j2xZnr/vzgcCYiEhgQeBNH1vxkwQPGqDq1rstRUzXkJvnWMmqTcMwWcSdCTd5
QO3kLpkYARQtlMwhC/PhG6jhvzgekI9zSgpiYnmBGD8d0Imr00n6DCQ6eIrTlY7ikibcS4ZTFOGx
+f01+PWC88Jh7aes/qxefv6wedKtcAxUmmIJUQURHJyjwAxDJAZD+fL7z/r1HlIvN8ABOKJ5YGzv
xy/X4QSKeUYYFESdtzXjgXsoK8ug/AOm4Ncn80J3Ulg7vlUoBT9+TusbpMYiNVnWA+rSeNKYCgyD
vUpntBwL4h6DNx3dIXwWoDN/+Oxfz1tJJCH+OsXA4mWjrvd3h1+bN0E7lkoyIgVvty7CPiEAcTKs
FbHAAFEKXj3/9XWVECYEmRXYvn55aCrDDZzcd7IlPsoRWVWaPnHyuqvff8ovp87XopQ3CceeoD79
8S/7qSh1iQ87gamxDpd6dMSX/GDw8H5lcP7HZ+GCrvjh3OFsldJ11DZRfaq63t9dT3BZvWb2I3L7
1Au9K9/ES8WOjYSrJpzdHQGsxNCy+koH4A0dN9SUOsHnKM/yXaP3s7ePdVAL5CXGxvyHr/rybPzw
u/FFgwJxTPorBKA/1zP4V712YhS2nO2y2LqC8QS8CTsgckpZwyWRm1eYRhlxZIGHfBLCbxP3kHij
OXmPpAcv0YaaV6xds4v+9Fz/8hAokiacVSHUGUc48I8Xrh+j2Y3NbCZZJ3Y/1MTlfpzJOQUTPqXR
HdhgTT9FqcaNSZ1IGWjMNZ3qNAsJiLs0P9hyyHcCE61ceUEvDlL6gMbZlaJeaZhUgd+ZS45kchFI
XgforbIKWI1BSONijaupzJPPRc3NtOxBl8+bCawEOct5JsplqSFJXFjIqBuMX6N+GpzRfe8zIx93
DYwJ4hBpq4ZNCeqIRdNE07omCzE9BJPXRTCVeLZqPcaNXYYjv4TXtfcjos9b3fRzxJgRqbn6MKb4
YtJJ9WqQdd2R1ImlxTXx8f33420BBhTl7WiSXhJYFRE/Jaq7VTvjGn2JnXhEJ2KO7fr3j9HP3wun
uuToUww8QoX574/fCwYGJNdoKZYaIG6k6EvcU9aqcLo/HArqbcE/9d39qRJFQc9Iyn3PZAt/Ybl8
9+zEf7NahBU54etXSosxTkWDIyhCeTPXTN1+IrTgv8fwo/toRJq2No/OGNjf6CyB44W3CKQ2aRIe
kaKyNxWOkzAriS1YUH+DWUwePEYmGdq6Oc9SbImZIGlA0VmGNvo4i17T4KezXyNb3VkX5ZAyUSn1
16GZdsVYxd+4LMBlhofI6sHIUPC4uIxd1hVhKVAmTQZIZaeq7tSRGOEJ8a2d78vytpqF2x+/Y7DE
sLJZMYB9JpCL9fFX9ApGXwIFfQmDhMTTZNDXqFLk3YWskkClExDLnM1XnorvaVW5/ZmiYjC6+oBz
aF+S+jW/8qX/xUupCChooHWaFkIg3jzEk6RZf9b/QEIx2D84O2+GPPbfAlD8LrjpvLIyt3Xq4v/9
GXvi9zk8me9AJ63ZmCAZ5NjdXtgmht2ne4f75JiTPHjQWpTetYdV1IShwcXXr/PJqpelpcXbyO1Q
aKJPauv1f+SZ1DB/7tmDQ8zougqWYISk/4IxafXK+E8IEyOG2o0PwWWbOv+NMPHq1IOmYUnxFWGS
ZbZ9T0ziUC/mLnDIuPkbXzJOsnCXBV5dsWXpaSTXqV++/c0qYdM6TNvv4SSuaTyVA6SiLRtzsSnj
Ur/7B0uiBaWpRPhvtcKSYFNgt9xH8+InLomPnD5hIwmKxCqIx3W4EdsVpxa5QMmPFBJEKS0DXj+B
VRJFtTwr+Ego/DY40LSQBPr/xB7BfwRG+CfuSGdY8wkryjfmyFxHL70Z4oSL6wffxAH1r5QRriq4
Vy3f/8MXGTi40NlBPvwOLjL3nv1ZxN7MerZojXTVMMK8KbGt+ARU/IUSCexhXkcpXtw5Gev1BSDS
j4Z2I+rwtkjJBPwRIiK94KEExHsH4iP6HPZOts8LFO9tc/Yimxi1b+SQcpxfE1ljfcN20H+k2vns
WbzcRq3/VI+V9YwTQHI/W9b+wgjp++x+9IIblub5P4AQiBgDqhJAHPPnOo8eFQ4kHAz8ku50mPTg
xCEVLP4CgVSzUTEYxjnMOPklCLweCYy4MbQmWrZ2uYnz+dGU7bjEYXcVOOMJR1DK25SVnmaYW2TE
X7rJXpWueGGx8UkPo0eWyTYC6IJleUcuRfM3iyMheIn67n4057OrJ+TmoP2EOq0liwuAo8jBicRN
cCy5x9IQuU1t3AObdoE09NWxyMxFbZQt/nqYgX/zNlJr4huaMQCHcXCk/CQnMi0Y85QOAVn4YK7Z
00D+JJZ+YeD+4xN0+4AeUP8KysgyzJ5hri0rbOrXP1EyhhZJQZ4gbzHjczA42x/5GF2UQp4nMlOY
PENuXpAU8Y2I4Yjo3Q1Da0/1ZruruhJWg3fb/syO3kRGmmnj5za122e7NfKDD//naDF4XSqahQGM
aDWMmrf7m2TRa2J8uBAsWD88KnrFLOt6XZPFseV8xv6KGmcs5z3VxGluetwvFXK12SjZsXnWOhXZ
VW80zwQCHRpYfwBIcNUq7gSOKkDzpvSWF+BEgHFkXRK7do3h8lEyUcTgbuh8MZk8I15i1d10j3Fr
bDQ7uEupv/4BSySx+xY4RI1wxgZHrbLbdamFb40IiHMQnIh5LqeFrEldQQZkrzyMYqe4LC+giAp3
3cEDrYYTO//iavBh+OzoC+1huLRSX19f6BAoMfMrvJIZ6ade+mDZbfo4+xXQEoGvtVdoB73MAWti
s1spksOc6Fuq5m05CJY9jngXmUcUlcFQo2NFf4LxSSJKORF5YZHe1T9keXls/+IwjIrwSLjPUgsl
5kTIC8aUEjcXpuYe3RuIBdLFMaj5xHwBVPBTpuv/TlJwnGlpFePpQlGAZPdYJDQXLvoHF4dXnISH
SrOP89jfiRCbVtf118JKrhNJPsfcU3EytSAzvP9SzG2B83c6hmxIFn9zDoYgLBAC618c9ud4sZH+
XP0JbECVIfdsNu9MFP/mBixqtfiBaCBHZGAcONVCA/t5/R/4BVbdDBoS36JbYSwiWteeLeC1crqu
munQ1h5q+O4bpKCM5o9+HwGsMwJe4qYTy5UiEBiR0E/WSKyvSJUBbe7uhoybktEFLs4khdYTAcbM
e78nNE3ZACBaElIcXyAClZ5sQxdir4WAiHyA+0R4vMkJD1rWZfY6aJ4EypR/1iOtXTAN8DZA8nA1
4fUkg7vGZWHe5NTRy2Hwz05eHR2yffBrOAVe9vIVo+IVO6LxJvGTbmcHloFkl9QGbdI+9KUTnb4a
9EufpOoMBTIDBuXI19OzL4lJHiCM48a3wEDggz3JMF7rbs3bOM+75QDrdQEfHb35N6N91Idvjoz2
gWJDkN9ytpFrLiCJyv1gw3lvsCMtqowxXC1SFShaop3+3kJv1+LW/eqfr2zL34xVs3VM7cmna1NW
eUNY5IRIwr7YiVqQn5hofBYpvqWouJp1bVsrTIYGwXDxve+dqfKjnvmf45xYpm9mdwsiRlHIh8HO
bubGBnOaJS+ynleVOTySMcDRzRu2KYy11WNNbUWtfEvpLfPTdDN2fbEWGXqhf2zrRsfXoQzrJNg3
13E8gFRElA5lDzWbP+y8kbsgys1taBNJEwz1Q1UhpwPJtHGZp2HVRH5H4NGT3rrOQo7YNDAmikBe
WxnjJmfUroyijQk9TdqDM5l4EXqLtXwaXGkkAW0Le+YCtTDtF5rjfYyY9qx9XMiMxUx7NXrTLbr8
K9bK0ATH/rrPSWCebI29XRwfCxcqInTCD25W3YKKyPFXOYDjICGYOhEpkkylmoD2nTn52mNEV3IO
XLCGXcm4SO57vbp3He1sI2hoGwaEo2N9iaTb04aatG5SfsSqgUjJYQk5SGhynTmfCILM2fkH7MZl
/8J4/bVrXQJwa6KMyTM/O4MhFmgHN0WezttxHuMDMohzErgPYQieZLSqO/Y3dzIYi2uYDzXGpPmj
BUikbksBEwHtbGrK+zEF3SIb319nQXmrJRE0Yn9MmZBKEtK67RQDdkT2arP0sMEj2fIm8nu8sYVT
bVi33BVV/Cmp0S9OWnhTsGVdgzhJoTw31RdW7Xd4pDj8mSMtMCs8Nboy/k0YQs3hziBmbl8iT3rU
DJxrYiBaLfUDlFtGMx76Yb5ppd2imUM5Ywcx6GDg1nLhhtVrnHVHkZYnoj7loZo1f2XS9awAIUU6
+GU9OYFLmK/GqH9p89RZktDFOYeObuYIPUqPDTtefiff+Ui8CEgeD20Lc1qG0U3V+jd40w9DT7Jw
mcWwgYqWt84EDUuzhgTBfzksDDcUMAWhc+hirqGIoKCN68RYeDFhS3OzQ4/JccbJstAruZ4yLcda
RKo5c4/V3OWPRaa9z3bl3upBE550t5oOhazEJov4msfC0NapMwQns682pN7vw0EQ62hqL/A0ybSA
jeZlCECx7JDvk2q3sZtv3GZ6Cvr2CZVIsxymYC8l2VYTQIqWkK1mNI+oF++KDnqAKKujOftrz8bW
k0w5/LSSIge28n3nyTNODGtpz/VtpdvPU+7deKgw4TEYe8h8LX41d0R9MKzjoHnEevxoRJV+VbnF
3eAG95VR3GfdRIjjHL3ofbXFgJktZphtfcr+uWjEAYHyYZ7HtVtB5kYEQ4C42PCq3oQtDCmkrRur
q7cD4hHmGHusbgYvlia/du1CwHZw8+koakhVVe/to8y/M6wcm5McEyYm/t4rkZpmw1OWZu4qSI01
QZtbbUxcOmXjSwtwlWe3NBYhSv+1TCVMhdRgsbaofaED7Sx6UyV1iaRYsXwfnI021ASDJ/bgPSLP
bwH4+SFAHV1LMiQcJD4vtDgmfWKBgWC+tlMK6HvnsuKfWi9tdnbSh6cKc+vdGBTVl6bA0brQ6oaS
sTIj81qkdcE0K2otDUc6Mx/AJrb4zCTHftL6bIR9Eg7XrekASDTwdD2V0O5vysjV/aVuRFqKWaYT
t6AyfV7WRu87e6DS6RozPPJYHim3Qq46dOuyM85Fj0Lj2NmtPDtlG94KpsqrLphuZuGfPXe6M5jw
fyKqjnwn95XzDhfb9Mms55tB1oREViI+OAqTuDBC8BQbXdfbl5ELxB3WIF5GeUzHG/Z3tsi6DSFl
hBMC7ovDk68F59GClol4YjmCdfCN/8vdefW2kaxp+K8M9r6BzgHYHWCZxKAsW5J906BkTudU1fnX
70NKliVbluccD4zjvRnAI7LJYldX1Rfe55WTdGzO9cC7IBEMrl10GHSD0epD+s9omY1P9H7vXhX4
0r+zwjg5C2MMKGMnmcaFinVt7M7o/r6rhOvMaeHsVtgilKztRWfyptGaqgpzd2oJdhk6M9ZI5Ok+
RwRwVuRi0zbtDY0nGIFU2IIJR/+Qu+W140Qk4XBCJGMTOndxbynEHDBFKVONm8iD1R474U2YoOKf
aEJt8WyhwTaV1nWKKc0VCspbPeOBZW4UFn65zdSE8j3DRJJe4TauQJ4UOYiydtRQ8gYokmZhS6dl
BvTPke1KMapLuuLPasw0Z2GvQ1Q3LNxx4+II76n+KiyVrD1u+ibfEpcFd1Uu3PO0TKpFH7npZVDi
TjhGPbZ7NSY0ousgjmmzIXDXIZTV874Fn6CIYDjCTJX1LNaIpPBtPMYmwLriAd9K0Z9HnObP8r2I
fOJ6RTIHgqa8JxAm4+pT2LnCW3xcsS2KiWBjfYdAgfZs3MnOHacZ1s7o3Ywq2F9Xc84DI74xuQ8b
ukGLeeh447ViZ0wEDm3g6KWrvoelBkQjTMJ5h3Hce28EXgoTxLqCZsIQ4GiNCC/cVV9XHvw8uwNd
4IX3ruvY91ZrtdfNoYmqNq8rTXU3YZSlNGcp++7QPj5JXSCHrI84SEaxChS/7yfeoG9c0TbTvrTQ
wiNHUPG1XzWyv48decJtoYLWiS2V7XQmrPKig+i/LUOyTzwxi6z3aMrD3nBDeSSfi6rMVmgDmpVL
E/Ayav1yWZRWSycqPgpT4dm3uganueIQPeUopS1MD3OFiaM3c0xRkzlNNfOI1BCKjkFfGrntTiEp
2y0sSzrcB0AmLUA9NAwJQh/ZLngAE7qwPLBYNMZOhCtvu6H7KzbyxeAa+L9zVoQtouvg+AxjlhaD
jI8GYErFVSAgJcwy3RYnNU6h3cQwWvW9acF+0qHWl5PAiz+QJBnKSWerPQgDS9voUa8eAaojf6YM
zTSsm/PB4CSdWna6anGkndUWeJRJJfp20aqlXA6l5cz6rMOZp9RTZVUMdnwqMrtcRwEuCGBKh2IB
agu5oRsEV46aWCd53BwrGe29tmGlH9I6Cj/kMqY9GrLCQMnNUbdIDcTCI3G8cz1Vo0hg9O2kQUG4
9bw4NI9j6Ztz6uh7j0shtftyn2kmtV8hxvYbDio8O4E57fUwZkIOlgdrg7Mgx8V+KG1jUY5NSwLJ
dep9L3ZvKs5FoUZ5jmWQyYRcDkKQqVDIWvN840g3DerY245qO4BrKsfQO5ACSn+tYbZRrFq/psFy
VMntrrUaM9JdXXctT2+NFRBdy2MuwMsI0d0aHqqfUw31d3Dn6bheHqtjbUerLmtwgFQpK1zLrD5U
JWxWuwbzXAXejluqUzYJapEDp35sVBsV+Fblw1pgr7ALQiA7iK7UzLTvgPnY5xUBf7B0DuUEgbtk
vOJ4OuDem+Vy2ah0Jl+k9Mm12Be3jrHwa+AAywLIyU2BTCSc5onN/+jb3ohrzJOo8pMIwURiHer9
APdvaAxAV1LvzX7diYEWfVqY+/N0aGII141qLMO2hQUkrBCaXUPekXw2/CD1LqsydYpe1i12ta5I
82xobTObx1ZGF2abWGowq4JO6ReiLxBGkJbPWjgwNjBZipcZen4XL+CJgwAhWRuRX7vzmKzqTCg6
0tX2CI+Di8FEjsqGeJc5zpGhd0dQly57PKZui5j0s6fdKx1dvIU8E0m5aIW0aTEqWW48rVoiS7Iu
RtKtM1eGGja74YeQU20Ia8it0TXAxhg/yBRluOuW+EugWk5GcndEXOQb5gMtfrO67+zZEJNwYVJ2
4cIsSodQ86NAcRVMVVuhbBRIbUEU70P0ROsLz+hT5AEbUbqPMJLt08Ju4RR4PRbBsL55i3kl6B55
h5uxda1qZbxsrP4OFjpbd4hHZsVpe04IFTZIOnRnXfBdJ3HiuNxi0pRzKYycfF3Seh4QcRWxw0UH
TtuZxV7LatALe6DfvYWZg8675xGxK5AgtDPmd4HZBdUUH5kWZa3sMoNcw74HcKF1etwt0ekR0JtW
IlzUFCjnad439vTE1mxo/tZT74im0cE8jqp4KOZV6VreNBS45eL7VQEqBWEPGrbI9TxbMGFcuTDa
PbQRuY9infnoquylXkSKMzcVWgz8HD/TE60NVHvTlapRrLi90bjUWoROM7+v+d6OU9E2Rs8IVVi6
OYJuUVR4FF9wYu6Dd3U6pMZx0qssBah3+O/AKuSiUy68emaUEqrcmPvHgu73etHnngwXoWWW6t76
NXAnhUhwG820cTCuEAcJbePVFmp17HLGbgkkLykrvET3y0Trxk32sbXtKjo3URNlJ3gEgWtTOzrX
44lRBriXeAgblBOan/UILAEd68SAYbrRajCqoGOqs8AURFi6g6TcKjK2RDORZ8zhEfuP1qiVuUGj
QnfdeDkgVNHjSuIpoVxmCmFgmjalf56opVjSR9btaz7XSAZxRPEx6ZyJjuplwLnzdAzyaEUt7i/P
GW/YUgmyOIBvKmEMZyze9SYy7U3euukSmKp9RLvCvvOjI5djWPVRphcjPpdQOJBEmiAtPc5Gudmt
QqmgddwX34eeuhawj8b41LixsqBm7t/6uU7vKGm18Bb5I+ZHsqMpiShfiHhJCpqzZYu8/zgHJceh
DvvPpSWNaoP5FYmgMLW9U0BS0CMiVxJ0ebFFGJL7qN1xNJ0xlzm5Z1iav9sz3xcNLea3vUg8prnh
5veVkgzzRljH6BiBJAbacKFonn7RyqiLjjqXNmBHGYPVqKpXjY7btWKp0YL2DCjvVepE5LykD1PN
k+CWG32Nw71arXsCsiMds5o0gA2VeH51pQudqIaEnMlIhhF+WiE+ety0qxB0+8ckyvEuhsg3q3MT
KqRjIdZTC4XfdID/Ns8H0lujUE04FQaMEM3vzx0i1XOHeTfF1uzGzEcdE0i70e9SsggUzpxan5mB
ObxPMMW4DoEdXySac2t0JHawtHLnWd/6F0hsMNNL3OEcbpvKygBLydHz8sQVwiFZX6N29JrOJ5XH
fUJnmMzCXCZY4Hk1eno78e46HLqOyrYrjrUul6cGPlUThwwl0TdCfRvLqIlehdea6hsbp2zuRIK0
lFa/lRP5/fHQV/aMHaM+Be1qrGkvKmcZd3vrRAlkZa1C+pUIZFoTquMtRvFNYMxR+/rRzHIM865R
wqCZKl5eaSBuMmZY0tnDlqb2uMMBW9EJ++Po3KNwdxuaQ33bpS7bhKFeIFI0TgxttM8ag8oQB4x8
BMWLXchsoGR22nEUWUglbz+ZViUv8jGU54po1rHmkDcC+uIsSSiQtbIEoqSJFltmOE2K0fgQVqM7
qQe3mhsFejhpBupSOPQBIIlia55qTZwcZbGazm0adVA/IJH7GPo2lN2wUBG/UteeNHVZsq66DY1c
ZY8qJ9Rres70zRiSM9y7vZAmyXDy6kpLJbvfofxshevOdPTqV4aKb/NAR+URBUmPol7o60dhqhOz
O0qK1KHLx8VoqtVJoLTizhmwzsB5atfgswy5txpXxDTQBuECRzMjU9QVohiMuKGPTJD4WhstIpfl
j6p1ZFZdBA9+9M2LXne6D6UsdQ/kOPgw3VOtyzxAk+yJMp2PY+6eksBx4aj4y9Yal8Rv0UKqWM6X
an9JT4jybrDz+kKAzef4GhUL5j/tEcDJF1UaGTdSs/aRG1qnVYChpJz0feFc+hH+LG4RpytPtN6y
RDC/bGKkYXbkYaipFmse2RU6mPED3XRktQNyj2psiwvF9OUMYH5HRCtj+FlGp912lh6cWkmE2tTQ
Q/I4tn6m9xBN7X1+Vcuy+KixcEBWC3oLaMcLpx4HfGI7CVo9Go0jP0ya8xE1BseM1Gf+h97O6Hz5
KUvyHf5jSKIr8J9trDunVWFWclLuvdkd2fA5exqwbtLFT0l86nbISYmB0/XgyIWLlyfcWJjxODb1
kE9X1p5674AG0PUOKIsTlVNMPj5IPY7nNJK8xxD23qppMykUvN+H0pxYuXqMiAXFVTvSL+jrCmei
CkMLGoOyeqFk+/ONoqSzfMjLKXmV/hhWDomosQ8vSYXnm15NL1tOzi0QTHtWSMIJpaEcadB2uy6A
3pNqGgiZg0wZwo0UVbTw2hb3BzusuRGsiR6a2OMkI4eVtuPVqCLKSVhE5y2TGOdVSSuV6s2Dxnzn
IFbK6BdbWK4G3xUbes5e2vtaS5ak2uM1jmQfS6khxee32SkF+1FkdJE5tY0BymzZaZMS0zbKBXIc
sknUu+FaGTPvxs8wV5yozhDxDg2ontlmErQKrORZ07GTTSoLH+pUIawuUAy9O9iV6U2HMy7b80SE
TbI8OJWRv5JnElO2iYZKDpRZFm7cxMkBM0XNKZIwcuiknQfTVY/IKRKEEHZB4gFKMnqojrBELd89
cyNLM2tRsAsuzFHHdk4BHlqSezkJNJtcsJqREow0OdWk423qXLALWoF1qaKTO/7iMZaRqbxVbGU1
DMq6GBpVn7VxAZ5kbySC+WLUWNl5s3cUs2NQpoAytGUlFPkemby2EZXqHhdBVX0ieaxuvviF+UaE
r3kA4IYOLwXeaFpRdQA4TtEnQF5Vx9myfPKqZDGMeECNZD6kubfQdcWCgpxY9Tn8dAURFGULAHka
+vHSPffpOMXYg1yYHoz9iDE7/pOqXm5dhKLHMmU7XMihLZZOiVQ3Mod4WvdDfefVVPlxQSM/Xdos
z5m+sXtCrxPM3/rLAB8c6IWgPrVpS6p3rbSkGvdHRipARTv3Kw1tNeqcI3Im2trpUmWCk5uKvIUG
rLgjs7lIUinXdg8TFcLV4K6LBAdZitzFx4GVpl/yVHtXoANSnBfKrJ+FjkRHVjcIAYceQ17MBur5
QLsaHO2hhvP1qrwK9A2aezJ3j9qqgJwKNP+9pMoMdPWvg5yqFpzJ2iE01felZcuLzvxGRBVXbnbS
E2JdvCGiollgxP6B4tjrAqqWNH6xepBN2W2gkb8ORGvOlBpHaduu1b1zNKZ4g5GHzfw1LVTvulQa
6loFuS+9NmbKR4UK3PmL8omuON2dHURPnq3JzTO9U2qN9IARN3a0/KJykvXokE8YHxVOydAU5woK
fvfdAYxiD3TGQQB7wqGYoya0a5OeCg5PsR2sD3ATInLbWB4gJmqZRRgPhAUlD7NvLUw62lIbphrw
rZ1axy11UQerrDJM1rqRa3eG7Kp17Y2sD5bRU8UwxuPSowYYpG1+glrfv9HH8S7sc5eKPLVv2Ecb
H2rKcZI4/anRq8nCKZWupDS4j5LN4pPpdqtaLX3I+fFJ4TQfoCcpZBNfskmq3kwIbMoyg0+dyvzM
omMqmH8BkGi+UkHjiMgsHcAjqM6LI/z/9n45Q1YwJiSik1BxTTjCzhfOiLSsbo6wUZ5ArRAAzhKV
8hUSBVqyMdB+hTNi9O6952COfOCMZJVW38RfECNpDeiTdBQCQZ9GiANeZKj6AOTCZ7RI0sew2POu
aBcjQpzFASSijNwkJawBiVDFUDY4Xmfv2oLYc2ZnnYvpGlSQEYu0c9crQQ5UA84Ba9ZVarRYBiBv
hwphUx/FyaKdZAjx3Hkf1fFKBjlndP6mziWLNAXkDAs0SC3+hIAkWLa2YYiZpXbw32ksWZD+U5pp
3pmXHWXGBRIK6kOOSRNWb31sDZStbP7UN+CGOUsiLAiMedQtNaNMOTi4uFeA5SlvjcaioArRz7kV
lhIIOieG7OTAj+rUnu/Boc+n5kW8/MiOkhehQUpTpgM50CYvxlVEAvaHTZfftFzSpWOrGAwbkIzo
Aefvz1oui6KpzVbgnXJopx9dMfTTLrPteEJinqYekyMCa9Y+6qwdfzUgKN5SrHcoBNdSIJDxiIKX
6ApTZmyf0+DKatife1QkOY3FfZ5Mxtpo9FmJH6qyywBbujhJFln30D/8/0b29ziQ2bbezmlaqIeL
ZreX8UkiIfkZDwXaNv10+HO0k//KC75/gT92h09bffqf/0Lw9+J1e0Hhw0c/vGb/7z9fmG3/9/5b
P/vj4d9oxg7f8/HtjwP79qu/+KzPg/r8P5fRTmzFfTgc/jA8fsvTbYbf998Cdx1Gtf8K3/iDP4kg
3/qM5Ta7a14SwWB1GSg8vgz337vycdHtxB9X2754KbfUuTzqoJ+9/GUYEQ7gaa6cb9MtVOxtvft8
1f1NRim414/87Me85Zz+kz/9ROyy3QvpKrowm17wn/3Ok51AdP35OvsfA8c2xF8oCX720u/CRqDA
+cpyVcOpVdV//upX92G6kzie4xGWynr31SA0U8O18h/4mMOcVP43D7dp/flyh59JQ/fjoY/52Z/p
21mPcJdLoyn42UufglcM/zjMfuVmJ+uSQXx9O2xoof/AI3ayu0/SXb5fHw4f9QdsaVar/OuPcyxH
/wduy3In5YtHGOGNa7n/wKyd8KVhIH690KFm22/3P39P3rQhfnOVeG3T+PPF7jLfv//lLvjDFzzt
o+dbwXx75RI/fsXnDeqVSzzO4f0Tg2LXZKY9bTWHj3q5i5EjLsqn+/qwU91T32f5znn6nt767IM+
X2D/CQYyMtZEXvb4Wz173dc/y6M67XuD/ttDQvKyRzc8fbVXRnVVbz/Vf7xcaV/ZhXksnq7y7Is/
H+DT2vyLh+jtl9KnL/fdIX51QPj3xvh4pPiFI3w4w7w1vB8P7NnP851798ia+EUz8/Hk9NagTqPd
p52Q2/tQfjlavHLP/uOGdqDQvjWy7x+Gf4fhPRxG3xrfZchx5+E8+9c2Hf/epvSfMS1dWEHPJtRr
S8l2K/Zj+41G9WXfedhVXhnVy9GUDHD3sKH9ovXgMVx4a1a9jDF+gyfFAQLicJw0HNNDOm6YjvH2
1Hp1GU+Le07F9fDsrd95VDjAgLZ53Ap/0X1jjI5nObjV24RNEH3UHxyhXjtm/ItD/Hyg+UVDfH6o
+e7z89qwXqRdfnz7fu0GTBD3EIG+9ch9P4j9DR6/hzCVCPjNET4cL74KoH+b0RHw/Y3RvVzc/8On
5WPA/9awyBt8EvszxiGU54jxW50PaZN+SDK8NcTn+YrrQpRFRrriKQ/2O8zPzwmPt0Z5SJP8XqN6
TLO8NapXUjS/xQ2zgKL8IFUw2Q6/1zR83FS/u2/Pdk0tSdV+c6D/isn4dL+/f/Z6TB79+FTyo1eQ
0Nq/5D7dbcWf/wcAAP//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5544000" cy="3311999"/>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101600</xdr:colOff>
      <xdr:row>68</xdr:row>
      <xdr:rowOff>152400</xdr:rowOff>
    </xdr:from>
    <xdr:ext cx="5544000" cy="3311999"/>
    <mc:AlternateContent xmlns:mc="http://schemas.openxmlformats.org/markup-compatibility/2006">
      <mc:Choice xmlns:cx6="http://schemas.microsoft.com/office/drawing/2016/5/12/chartex" Requires="cx6">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1600" y="13423900"/>
              <a:ext cx="5544000" cy="3311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randenburg" TargetMode="External"/><Relationship Id="rId13" Type="http://schemas.openxmlformats.org/officeDocument/2006/relationships/hyperlink" Target="https://www.bing.com/th?id=OSK.q8ipaaou0irzylzuJT_2cGwkLTGGlN1nzAjCv0mMLWk&amp;qlt=95" TargetMode="External"/><Relationship Id="rId18" Type="http://schemas.openxmlformats.org/officeDocument/2006/relationships/hyperlink" Target="https://www.bing.com/images/search?form=xlimg&amp;q=Mecklenburg-Vorpommern" TargetMode="External"/><Relationship Id="rId26" Type="http://schemas.openxmlformats.org/officeDocument/2006/relationships/hyperlink" Target="https://www.bing.com/images/search?form=xlimg&amp;q=Saxony" TargetMode="External"/><Relationship Id="rId3" Type="http://schemas.openxmlformats.org/officeDocument/2006/relationships/hyperlink" Target="https://www.bing.com/th?id=OSK.PHTa9QO2wrse0j37sSjvu3QQf3b0bH7oQsKyun6LgpY&amp;qlt=95" TargetMode="External"/><Relationship Id="rId21" Type="http://schemas.openxmlformats.org/officeDocument/2006/relationships/hyperlink" Target="https://www.bing.com/th?id=OSK.ed95facaf16ea143c8d9a37cdbb1199a&amp;qlt=95" TargetMode="External"/><Relationship Id="rId7" Type="http://schemas.openxmlformats.org/officeDocument/2006/relationships/hyperlink" Target="https://www.bing.com/th?id=OSK.1f47d46b724ec8a58a758b1f19c59ef1&amp;qlt=95" TargetMode="External"/><Relationship Id="rId12" Type="http://schemas.openxmlformats.org/officeDocument/2006/relationships/hyperlink" Target="https://www.bing.com/images/search?form=xlimg&amp;q=Hamburg" TargetMode="External"/><Relationship Id="rId17" Type="http://schemas.openxmlformats.org/officeDocument/2006/relationships/hyperlink" Target="https://www.bing.com/th?id=OSK.FWEdXFuIlLFpeioS__UVUYuCTdr0Tvr5mZf4oSaW2FU&amp;qlt=95" TargetMode="External"/><Relationship Id="rId25" Type="http://schemas.openxmlformats.org/officeDocument/2006/relationships/hyperlink" Target="https://www.bing.com/th?id=OSK.Jnaf_afSF_ekVDzEGuFzyWcr0ui8vZBSY0ejwxUaJqk&amp;qlt=95" TargetMode="External"/><Relationship Id="rId2" Type="http://schemas.openxmlformats.org/officeDocument/2006/relationships/hyperlink" Target="https://www.bing.com/images/search?form=xlimg&amp;q=Baden-W%c3%bcrttemberg" TargetMode="External"/><Relationship Id="rId16" Type="http://schemas.openxmlformats.org/officeDocument/2006/relationships/hyperlink" Target="https://www.bing.com/images/search?form=xlimg&amp;q=Lower%20Saxony" TargetMode="External"/><Relationship Id="rId20" Type="http://schemas.openxmlformats.org/officeDocument/2006/relationships/hyperlink" Target="https://www.bing.com/images/search?form=xlimg&amp;q=North%20Rhine-Westphalia" TargetMode="External"/><Relationship Id="rId29" Type="http://schemas.openxmlformats.org/officeDocument/2006/relationships/hyperlink" Target="https://www.bing.com/th?id=OSK.Cr1SrwUTk0Nqf2ZCy45b4mmKEMYqw8XzmuzATnPCv8I&amp;qlt=95" TargetMode="External"/><Relationship Id="rId1" Type="http://schemas.openxmlformats.org/officeDocument/2006/relationships/hyperlink" Target="https://www.bing.com/th?id=OSK.OOt7ElPSyoLhi8xNfAzKW-l1cloY-9mntVwdkOeXzd0&amp;qlt=95" TargetMode="External"/><Relationship Id="rId6" Type="http://schemas.openxmlformats.org/officeDocument/2006/relationships/hyperlink" Target="https://www.bing.com/images/search?form=xlimg&amp;q=Berlin" TargetMode="External"/><Relationship Id="rId11" Type="http://schemas.openxmlformats.org/officeDocument/2006/relationships/hyperlink" Target="https://www.bing.com/th?id=OSK.4d3d6a309dd136998adb581c307a1d3a&amp;qlt=95" TargetMode="External"/><Relationship Id="rId24" Type="http://schemas.openxmlformats.org/officeDocument/2006/relationships/hyperlink" Target="https://www.bing.com/images/search?form=xlimg&amp;q=Saarland" TargetMode="External"/><Relationship Id="rId5" Type="http://schemas.openxmlformats.org/officeDocument/2006/relationships/hyperlink" Target="https://www.bing.com/th?id=OSK.a1512a61cf778ac466208259f8dc24f5&amp;qlt=95" TargetMode="External"/><Relationship Id="rId15" Type="http://schemas.openxmlformats.org/officeDocument/2006/relationships/hyperlink" Target="https://www.bing.com/th?id=OSK.b375baab95e32e36601a20a4ed323a73&amp;qlt=95" TargetMode="External"/><Relationship Id="rId23" Type="http://schemas.openxmlformats.org/officeDocument/2006/relationships/hyperlink" Target="https://www.bing.com/th?id=OSK.94a4884b2c73fcd347a80d6b3c036a97&amp;qlt=95" TargetMode="External"/><Relationship Id="rId28" Type="http://schemas.openxmlformats.org/officeDocument/2006/relationships/hyperlink" Target="https://www.bing.com/images/search?form=xlimg&amp;q=Saxony-Anhalt" TargetMode="External"/><Relationship Id="rId10" Type="http://schemas.openxmlformats.org/officeDocument/2006/relationships/hyperlink" Target="https://www.bing.com/images/search?form=xlimg&amp;q=Bremen%20(state)" TargetMode="External"/><Relationship Id="rId19" Type="http://schemas.openxmlformats.org/officeDocument/2006/relationships/hyperlink" Target="https://www.bing.com/th?id=OSK.SI-ZdQ7XngmKYXCKFOu2J7j6W7yy3st0Uu3vT9_8tdw&amp;qlt=95" TargetMode="External"/><Relationship Id="rId4" Type="http://schemas.openxmlformats.org/officeDocument/2006/relationships/hyperlink" Target="https://www.bing.com/images/search?form=xlimg&amp;q=Bavaria" TargetMode="External"/><Relationship Id="rId9" Type="http://schemas.openxmlformats.org/officeDocument/2006/relationships/hyperlink" Target="https://www.bing.com/th?id=OSK.e13870ca9e6e823ba1e274e02ccefa0f&amp;qlt=95" TargetMode="External"/><Relationship Id="rId14" Type="http://schemas.openxmlformats.org/officeDocument/2006/relationships/hyperlink" Target="https://www.bing.com/images/search?form=xlimg&amp;q=Hesse" TargetMode="External"/><Relationship Id="rId22" Type="http://schemas.openxmlformats.org/officeDocument/2006/relationships/hyperlink" Target="https://www.bing.com/images/search?form=xlimg&amp;q=Rhineland-Palatinate" TargetMode="External"/><Relationship Id="rId27" Type="http://schemas.openxmlformats.org/officeDocument/2006/relationships/hyperlink" Target="https://www.bing.com/th?id=OSK.a59d47b961ae27322366e72c541c772c&amp;qlt=95" TargetMode="External"/><Relationship Id="rId30" Type="http://schemas.openxmlformats.org/officeDocument/2006/relationships/hyperlink" Target="https://www.bing.com/images/search?form=xlimg&amp;q=Schleswig-Holste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7">
  <a r="2">
    <v t="s">Standard German</v>
    <v t="s">Bavarian language</v>
  </a>
  <a r="1">
    <v t="s">Central European Time</v>
  </a>
  <a r="1">
    <v t="r">30</v>
  </a>
  <a r="1">
    <v t="s">German language</v>
  </a>
  <a r="2">
    <v t="s">UTC+02:00</v>
    <v t="s">UTC+01:00</v>
  </a>
  <a r="2">
    <v t="r">64</v>
    <v t="r">65</v>
  </a>
  <a r="1">
    <v t="r">121</v>
  </a>
</arrayData>
</file>

<file path=xl/richData/rdrichvalue.xml><?xml version="1.0" encoding="utf-8"?>
<rvData xmlns="http://schemas.microsoft.com/office/spreadsheetml/2017/richdata" count="168">
  <rv s="0">
    <v>536870912</v>
    <v>Baden-Württemberg</v>
    <v>e4767d1d-15fd-a8bd-1fcd-f8214d3c189f</v>
    <v>en-GB</v>
    <v>Map</v>
  </rv>
  <rv s="1">
    <fb>35751.65</fb>
    <v>10</v>
  </rv>
  <rv s="0">
    <v>536870912</v>
    <v>Stuttgart</v>
    <v>6323a450-61f6-0308-0285-94efb41bdd40</v>
    <v>en-GB</v>
    <v>Map</v>
  </rv>
  <rv s="0">
    <v>536870912</v>
    <v>Germany</v>
    <v>75c62d8e-1449-4e4d-b188-d9e88f878dd9</v>
    <v>en-GB</v>
    <v>Map</v>
  </rv>
  <rv s="1">
    <fb>4709228</fb>
    <v>10</v>
  </rv>
  <rv s="1">
    <fb>5049037</fb>
    <v>10</v>
  </rv>
  <rv s="2">
    <v>0</v>
    <v>8</v>
    <v>0</v>
    <v>7</v>
    <v>0</v>
    <v>Image of Baden-Württemberg</v>
  </rv>
  <rv s="3">
    <v>https://www.bing.com/search?q=baden-w%c3%bcrttemberg&amp;form=skydnc</v>
    <v>Learn more on Bing</v>
  </rv>
  <rv s="1">
    <fb>2.23</fb>
    <v>11</v>
  </rv>
  <rv s="1">
    <fb>11069533</fb>
    <v>10</v>
  </rv>
  <rv s="4">
    <v>#VALUE!</v>
    <v>3</v>
    <v>4</v>
    <v>Baden-Württemberg</v>
    <v>6</v>
    <v>7</v>
    <v>Map</v>
    <v>8</v>
    <v>9</v>
    <v>en-GB</v>
    <v>e4767d1d-15fd-a8bd-1fcd-f8214d3c189f</v>
    <v>536870912</v>
    <v>1</v>
    <v>DE-BW</v>
    <v>1</v>
    <v>2</v>
    <v>3</v>
    <v>Baden-Württemberg, commonly shortened to BW or BaWü, is a German state in Southwest Germany, east of the Rhine, which forms the southern part of Germany's western border with France. With more than 11.07 million inhabitants as of 2019 across a ...</v>
    <v>4</v>
    <v>5</v>
    <v>6</v>
    <v>2</v>
    <v>7</v>
    <v>Baden-Württemberg</v>
    <v>8</v>
    <v>9</v>
    <v>Baden-Württemberg</v>
    <v>mdp/vdpid/2537</v>
  </rv>
  <rv s="0">
    <v>536870912</v>
    <v>Bavaria</v>
    <v>e4f7e69f-e1bc-189a-d23d-b2ecee6a88d5</v>
    <v>en-GB</v>
    <v>Map</v>
  </rv>
  <rv s="1">
    <fb>70551</fb>
    <v>10</v>
  </rv>
  <rv s="0">
    <v>536870912</v>
    <v>Munich</v>
    <v>7f38f401-452d-d25b-059c-487e14b70a85</v>
    <v>en-GB</v>
    <v>Map</v>
  </rv>
  <rv s="0">
    <v>536870912</v>
    <v>Weimar Republic</v>
    <v>1b97a3af-5813-4734-bd56-920f4af2449c</v>
    <v>en-GB</v>
    <v>Map</v>
  </rv>
  <rv s="1">
    <fb>5679508</fb>
    <v>10</v>
  </rv>
  <rv s="1">
    <fb>6058211</fb>
    <v>10</v>
  </rv>
  <rv s="2">
    <v>1</v>
    <v>8</v>
    <v>12</v>
    <v>7</v>
    <v>0</v>
    <v>Image of Bavaria</v>
  </rv>
  <rv s="3">
    <v>https://www.bing.com/search?q=bavaria+germany&amp;form=skydnc</v>
    <v>Learn more on Bing</v>
  </rv>
  <rv s="5">
    <v>0</v>
  </rv>
  <rv s="1">
    <fb>2.1800000000000002</fb>
    <v>11</v>
  </rv>
  <rv s="1">
    <fb>13124737</fb>
    <v>10</v>
  </rv>
  <rv s="5">
    <v>1</v>
  </rv>
  <rv s="6">
    <v>#VALUE!</v>
    <v>14</v>
    <v>15</v>
    <v>Bavaria</v>
    <v>6</v>
    <v>7</v>
    <v>Map</v>
    <v>8</v>
    <v>16</v>
    <v>en-GB</v>
    <v>e4f7e69f-e1bc-189a-d23d-b2ecee6a88d5</v>
    <v>536870912</v>
    <v>1</v>
    <v>DE-BY</v>
    <v>12</v>
    <v>13</v>
    <v>14</v>
    <v>Bavaria, officially the Free State of Bavaria, is a state in the south-east of Germany. With an area of 70,550.19 km², Bavaria is the largest German state by land area, comprising roughly a fifth of the total land area of Germany. With over 13 ...</v>
    <v>15</v>
    <v>16</v>
    <v>17</v>
    <v>13</v>
    <v>18</v>
    <v>Bavaria</v>
    <v>19</v>
    <v>20</v>
    <v>21</v>
    <v>22</v>
    <v>Bavaria</v>
    <v>mdp/vdpid/8255245</v>
  </rv>
  <rv s="0">
    <v>536870912</v>
    <v>Berlin</v>
    <v>42784943-7c23-7672-5527-06f89b965cdf</v>
    <v>en-GB</v>
    <v>Map</v>
  </rv>
  <rv s="1">
    <fb>891.12</fb>
    <v>10</v>
  </rv>
  <rv s="0">
    <v>536870912</v>
    <v>North German Confederation</v>
    <v>0fdff00d-df45-056a-304e-eca9fa962669</v>
    <v>en-GB</v>
    <v>Map</v>
  </rv>
  <rv s="1">
    <fb>1794936</fb>
    <v>10</v>
  </rv>
  <rv s="1">
    <fb>1868905</fb>
    <v>10</v>
  </rv>
  <rv s="2">
    <v>2</v>
    <v>8</v>
    <v>17</v>
    <v>7</v>
    <v>0</v>
    <v>Image of Berlin</v>
  </rv>
  <rv s="0">
    <v>805306368</v>
    <v>Franziska Giffey (Mayor)</v>
    <v>0f36a115-cd69-74b0-1ad8-5ee6074d7916</v>
    <v>en-GB</v>
    <v>Generic</v>
  </rv>
  <rv s="5">
    <v>2</v>
  </rv>
  <rv s="3">
    <v>https://www.bing.com/search?q=berlin+germany&amp;form=skydnc</v>
    <v>Learn more on Bing</v>
  </rv>
  <rv s="5">
    <v>3</v>
  </rv>
  <rv s="1">
    <fb>1.83</fb>
    <v>11</v>
  </rv>
  <rv s="1">
    <fb>3755251</fb>
    <v>10</v>
  </rv>
  <rv s="7">
    <v>#VALUE!</v>
    <v>19</v>
    <v>20</v>
    <v>Berlin</v>
    <v>6</v>
    <v>7</v>
    <v>Map</v>
    <v>8</v>
    <v>21</v>
    <v>en-GB</v>
    <v>42784943-7c23-7672-5527-06f89b965cdf</v>
    <v>536870912</v>
    <v>1</v>
    <v>DE-BE</v>
    <v>25</v>
    <v>26</v>
    <v>Berlin is the capital and largest city of Germany by both area and population. Its more than 3.85 million inhabitants make it the European Union's most populous city, according to population within city limits. One of Germany's sixteen ...</v>
    <v>27</v>
    <v>28</v>
    <v>29</v>
    <v>31</v>
    <v>32</v>
    <v>Berlin</v>
    <v>33</v>
    <v>34</v>
    <v>35</v>
    <v>Berlin</v>
    <v>mdp/vdpid/7017957146650214401</v>
  </rv>
  <rv s="0">
    <v>536870912</v>
    <v>Brandenburg</v>
    <v>c841173c-24ae-1249-8be1-c2ff2ec02111</v>
    <v>en-GB</v>
    <v>Map</v>
  </rv>
  <rv s="1">
    <fb>29478.63</fb>
    <v>10</v>
  </rv>
  <rv s="0">
    <v>536870912</v>
    <v>Potsdam</v>
    <v>8f8e6665-06cf-c444-7bab-197052cf61c8</v>
    <v>en-GB</v>
    <v>Map</v>
  </rv>
  <rv s="0">
    <v>536870912</v>
    <v>Germany</v>
    <v>2909b0d8-c6de-425d-2303-256336ada04f</v>
    <v>en-GB</v>
    <v>Map</v>
  </rv>
  <rv s="1">
    <fb>1182470</fb>
    <v>10</v>
  </rv>
  <rv s="1">
    <fb>1275510</fb>
    <v>10</v>
  </rv>
  <rv s="2">
    <v>3</v>
    <v>8</v>
    <v>22</v>
    <v>7</v>
    <v>0</v>
    <v>Image of Brandenburg</v>
  </rv>
  <rv s="3">
    <v>https://www.bing.com/search?q=brandenburg&amp;form=skydnc</v>
    <v>Learn more on Bing</v>
  </rv>
  <rv s="1">
    <fb>2.08</fb>
    <v>11</v>
  </rv>
  <rv s="1">
    <fb>2556747</fb>
    <v>10</v>
  </rv>
  <rv s="5">
    <v>4</v>
  </rv>
  <rv s="8">
    <v>#VALUE!</v>
    <v>25</v>
    <v>26</v>
    <v>Brandenburg</v>
    <v>6</v>
    <v>7</v>
    <v>Map</v>
    <v>8</v>
    <v>27</v>
    <v>en-GB</v>
    <v>c841173c-24ae-1249-8be1-c2ff2ec02111</v>
    <v>536870912</v>
    <v>1</v>
    <v>DE-BB</v>
    <v>38</v>
    <v>39</v>
    <v>40</v>
    <v>Brandenburg, officially the State of Brandenburg, is a landlocked state in northeastern Germany. Brandenburg borders Poland and the states of Berlin, Mecklenburg-Vorpommern, Lower Saxony, Saxony-Anhalt, and Saxony. It is the fifth-largest German ...</v>
    <v>41</v>
    <v>42</v>
    <v>43</v>
    <v>39</v>
    <v>44</v>
    <v>Brandenburg</v>
    <v>45</v>
    <v>46</v>
    <v>47</v>
    <v>Brandenburg</v>
    <v>mdp/vdpid/8248738</v>
  </rv>
  <rv s="0">
    <v>536870912</v>
    <v>Bremen</v>
    <v>70a6262d-6ded-6a1a-8a3d-e24538d50a05</v>
    <v>en-GB</v>
    <v>Map</v>
  </rv>
  <rv s="1">
    <fb>419.38</fb>
    <v>10</v>
  </rv>
  <rv s="0">
    <v>536870912</v>
    <v>Bremen</v>
    <v>4967dd9c-327f-ff07-e2e6-cdfc773ecd1e</v>
    <v>en-GB</v>
    <v>Map</v>
  </rv>
  <rv s="1">
    <fb>331078</fb>
    <v>10</v>
  </rv>
  <rv s="1">
    <fb>347340</fb>
    <v>10</v>
  </rv>
  <rv s="2">
    <v>4</v>
    <v>8</v>
    <v>28</v>
    <v>7</v>
    <v>0</v>
    <v>Image of Bremen</v>
  </rv>
  <rv s="3">
    <v>https://www.bing.com/search?q=bremen+state&amp;form=skydnc</v>
    <v>Learn more on Bing</v>
  </rv>
  <rv s="1">
    <fb>1.97</fb>
    <v>11</v>
  </rv>
  <rv s="1">
    <fb>661000</fb>
    <v>10</v>
  </rv>
  <rv s="4">
    <v>#VALUE!</v>
    <v>30</v>
    <v>4</v>
    <v>Bremen</v>
    <v>6</v>
    <v>7</v>
    <v>Map</v>
    <v>8</v>
    <v>31</v>
    <v>en-GB</v>
    <v>70a6262d-6ded-6a1a-8a3d-e24538d50a05</v>
    <v>536870912</v>
    <v>1</v>
    <v>DE-HB</v>
    <v>50</v>
    <v>51</v>
    <v>14</v>
    <v>Bremen, officially the Free Hanseatic City of Bremen, is the smallest and least populous of Germany's 16 states. It is informally called Land Bremen, although the term is sometimes used in official contexts. The state consists of the city of ...</v>
    <v>52</v>
    <v>53</v>
    <v>54</v>
    <v>51</v>
    <v>55</v>
    <v>Bremen</v>
    <v>56</v>
    <v>57</v>
    <v>Bremen</v>
    <v>mdp/vdpid/41760</v>
  </rv>
  <rv s="0">
    <v>536870912</v>
    <v>Hamburg</v>
    <v>0937ec8c-54f7-94c7-d7b8-0ea8c6cfce6f</v>
    <v>en-GB</v>
    <v>Map</v>
  </rv>
  <rv s="1">
    <fb>755.09</fb>
    <v>10</v>
  </rv>
  <rv s="1">
    <fb>876502</fb>
    <v>10</v>
  </rv>
  <rv s="1">
    <fb>905782</fb>
    <v>10</v>
  </rv>
  <rv s="2">
    <v>5</v>
    <v>8</v>
    <v>32</v>
    <v>7</v>
    <v>0</v>
    <v>Image of Hamburg</v>
  </rv>
  <rv s="0">
    <v>805306368</v>
    <v>Peter Tschentscher (Mayor)</v>
    <v>2a23602d-45be-0630-2650-95fb175275d3</v>
    <v>en-GB</v>
    <v>Generic</v>
  </rv>
  <rv s="0">
    <v>805306368</v>
    <v>Katharina Fegebank (Mayor)</v>
    <v>c377ae49-ff24-92fa-c4f2-73ce1e206693</v>
    <v>en-GB</v>
    <v>Generic</v>
  </rv>
  <rv s="5">
    <v>5</v>
  </rv>
  <rv s="3">
    <v>https://www.bing.com/search?q=hamburg+germany&amp;form=skydnc</v>
    <v>Learn more on Bing</v>
  </rv>
  <rv s="1">
    <fb>1.95</fb>
    <v>11</v>
  </rv>
  <rv s="1">
    <fb>1892122</fb>
    <v>10</v>
  </rv>
  <rv s="9">
    <v>#VALUE!</v>
    <v>34</v>
    <v>35</v>
    <v>Hamburg</v>
    <v>6</v>
    <v>7</v>
    <v>Map</v>
    <v>8</v>
    <v>21</v>
    <v>en-GB</v>
    <v>0937ec8c-54f7-94c7-d7b8-0ea8c6cfce6f</v>
    <v>536870912</v>
    <v>1</v>
    <v>DE-HH</v>
    <v>60</v>
    <v>26</v>
    <v>Hamburg, officially the Free and Hanseatic City of Hamburg, is the second-largest city in Germany after Berlin, as well as the overall 8th-largest city and largest non-capital city within the European Union with a population of over 1.9 million. ...</v>
    <v>61</v>
    <v>62</v>
    <v>63</v>
    <v>66</v>
    <v>67</v>
    <v>Hamburg</v>
    <v>68</v>
    <v>69</v>
    <v>Hamburg</v>
    <v>mdp/vdpid/7010772237493993473</v>
  </rv>
  <rv s="0">
    <v>536870912</v>
    <v>Hesse</v>
    <v>90fbe078-3753-40db-ff12-40aa58e76c5f</v>
    <v>en-GB</v>
    <v>Map</v>
  </rv>
  <rv s="1">
    <fb>21100</fb>
    <v>10</v>
  </rv>
  <rv s="0">
    <v>536870912</v>
    <v>Wiesbaden</v>
    <v>02543f78-c4b6-5ca8-1ebf-df5ce4a9c1db</v>
    <v>en-GB</v>
    <v>Map</v>
  </rv>
  <rv s="1">
    <fb>2751100</fb>
    <v>10</v>
  </rv>
  <rv s="1">
    <fb>2925152</fb>
    <v>10</v>
  </rv>
  <rv s="2">
    <v>6</v>
    <v>8</v>
    <v>36</v>
    <v>7</v>
    <v>0</v>
    <v>Image of Hesse</v>
  </rv>
  <rv s="0">
    <v>536870912</v>
    <v>Frankfurt am Main</v>
    <v>f8c5588a-2360-3601-8d88-1b98e4763711</v>
    <v>en-GB</v>
    <v>Map</v>
  </rv>
  <rv s="3">
    <v>https://www.bing.com/search?q=hesse&amp;form=skydnc</v>
    <v>Learn more on Bing</v>
  </rv>
  <rv s="1">
    <fb>2.17</fb>
    <v>11</v>
  </rv>
  <rv s="1">
    <fb>6265809</fb>
    <v>10</v>
  </rv>
  <rv s="4">
    <v>#VALUE!</v>
    <v>39</v>
    <v>4</v>
    <v>Hesse</v>
    <v>6</v>
    <v>7</v>
    <v>Map</v>
    <v>8</v>
    <v>9</v>
    <v>en-GB</v>
    <v>90fbe078-3753-40db-ff12-40aa58e76c5f</v>
    <v>536870912</v>
    <v>1</v>
    <v>DE-HE</v>
    <v>72</v>
    <v>73</v>
    <v>3</v>
    <v>Hesse or Hessia, officially the State of Hesse, is a state in Germany. Its capital city is Wiesbaden, and the largest urban area is Frankfurt, which is also the country's principal financial centre. Two other major historic cities are Darmstadt ...</v>
    <v>74</v>
    <v>75</v>
    <v>76</v>
    <v>77</v>
    <v>78</v>
    <v>Hesse</v>
    <v>79</v>
    <v>80</v>
    <v>Hesse</v>
    <v>mdp/vdpid/8208586</v>
  </rv>
  <rv s="0">
    <v>536870912</v>
    <v>Lower Saxony</v>
    <v>c91589e2-9db8-e9f2-b60d-1000c3502bc2</v>
    <v>en-GB</v>
    <v>Map</v>
  </rv>
  <rv s="1">
    <fb>47614.07</fb>
    <v>10</v>
  </rv>
  <rv s="0">
    <v>536870912</v>
    <v>Hanover</v>
    <v>8cbec06b-1881-ae51-6d9c-230e82b37dd8</v>
    <v>en-GB</v>
    <v>Map</v>
  </rv>
  <rv s="1">
    <fb>3517840</fb>
    <v>10</v>
  </rv>
  <rv s="1">
    <fb>3816626</fb>
    <v>10</v>
  </rv>
  <rv s="2">
    <v>7</v>
    <v>8</v>
    <v>40</v>
    <v>7</v>
    <v>0</v>
    <v>Image of Lower Saxony</v>
  </rv>
  <rv s="3">
    <v>https://www.bing.com/search?q=lower+saxony&amp;form=skydnc</v>
    <v>Learn more on Bing</v>
  </rv>
  <rv s="1">
    <fb>2.21</fb>
    <v>11</v>
  </rv>
  <rv s="1">
    <fb>7982448</fb>
    <v>10</v>
  </rv>
  <rv s="4">
    <v>#VALUE!</v>
    <v>43</v>
    <v>4</v>
    <v>Lower Saxony</v>
    <v>6</v>
    <v>7</v>
    <v>Map</v>
    <v>8</v>
    <v>9</v>
    <v>en-GB</v>
    <v>c91589e2-9db8-e9f2-b60d-1000c3502bc2</v>
    <v>536870912</v>
    <v>1</v>
    <v>DE-NI</v>
    <v>83</v>
    <v>84</v>
    <v>3</v>
    <v>Lower Saxony is a German state in northwestern Germany. It is the second-largest state by land area, with 47,614 km², and fourth-largest in population among the 16 Länder federated as the Federal Republic of Germany. In rural areas, Northern Low ...</v>
    <v>85</v>
    <v>86</v>
    <v>87</v>
    <v>84</v>
    <v>88</v>
    <v>Lower Saxony</v>
    <v>89</v>
    <v>90</v>
    <v>Lower Saxony</v>
    <v>mdp/vdpid/23331</v>
  </rv>
  <rv s="0">
    <v>536870912</v>
    <v>Mecklenburg-Vorpommern</v>
    <v>b0adc1b4-6fe2-3ad0-81e1-78c9ba53cedb</v>
    <v>en-GB</v>
    <v>Map</v>
  </rv>
  <rv s="1">
    <fb>23174</fb>
    <v>10</v>
  </rv>
  <rv s="0">
    <v>536870912</v>
    <v>Schwerin</v>
    <v>db6e2483-5bb5-ae5b-eea6-5e7832e57c60</v>
    <v>en-GB</v>
    <v>Map</v>
  </rv>
  <rv s="1">
    <fb>803002</fb>
    <v>10</v>
  </rv>
  <rv s="1">
    <fb>877014</fb>
    <v>10</v>
  </rv>
  <rv s="2">
    <v>8</v>
    <v>8</v>
    <v>44</v>
    <v>7</v>
    <v>0</v>
    <v>Image of Mecklenburg-Vorpommern</v>
  </rv>
  <rv s="0">
    <v>536870912</v>
    <v>Rostock</v>
    <v>24eab0bd-c5cc-d320-e384-08370cdc8d63</v>
    <v>en-GB</v>
    <v>Map</v>
  </rv>
  <rv s="3">
    <v>https://www.bing.com/search?q=mecklenburg-vorpommern&amp;form=skydnc</v>
    <v>Learn more on Bing</v>
  </rv>
  <rv s="1">
    <fb>2</fb>
    <v>11</v>
  </rv>
  <rv s="1">
    <fb>1628378</fb>
    <v>10</v>
  </rv>
  <rv s="4">
    <v>#VALUE!</v>
    <v>47</v>
    <v>4</v>
    <v>Mecklenburg-Vorpommern</v>
    <v>6</v>
    <v>7</v>
    <v>Map</v>
    <v>8</v>
    <v>21</v>
    <v>en-GB</v>
    <v>b0adc1b4-6fe2-3ad0-81e1-78c9ba53cedb</v>
    <v>536870912</v>
    <v>1</v>
    <v>DE-MV</v>
    <v>93</v>
    <v>94</v>
    <v>3</v>
    <v>Mecklenburg-Vorpommern ; also known by its anglicized name Mecklenburg–Western Pomerania, is a state in the north-east of Germany. Of the country's sixteen states, Mecklenburg-Vorpommern ranks 14th in population; it covers an area of 23,213 km², ...</v>
    <v>95</v>
    <v>96</v>
    <v>97</v>
    <v>98</v>
    <v>99</v>
    <v>Mecklenburg-Vorpommern</v>
    <v>100</v>
    <v>101</v>
    <v>Mecklenburg-Vorpommern</v>
    <v>mdp/vdpid/8175722</v>
  </rv>
  <rv s="0">
    <v>536870912</v>
    <v>North Rhine-Westphalia</v>
    <v>7192ac29-308b-9018-2da7-1d16b5afb233</v>
    <v>en-GB</v>
    <v>Map</v>
  </rv>
  <rv s="1">
    <fb>34112.519999999997</fb>
    <v>10</v>
  </rv>
  <rv s="0">
    <v>536870912</v>
    <v>Düsseldorf</v>
    <v>33a4f320-ea2a-2172-d7c1-31073fc29598</v>
    <v>en-GB</v>
    <v>Map</v>
  </rv>
  <rv s="1">
    <fb>8130738</fb>
    <v>10</v>
  </rv>
  <rv s="1">
    <fb>8719851</fb>
    <v>10</v>
  </rv>
  <rv s="2">
    <v>9</v>
    <v>8</v>
    <v>48</v>
    <v>7</v>
    <v>0</v>
    <v>Image of North Rhine-Westphalia</v>
  </rv>
  <rv s="0">
    <v>536870912</v>
    <v>Cologne</v>
    <v>3d208265-8862-6a4c-8a0e-9c0291fae4ee</v>
    <v>en-GB</v>
    <v>Map</v>
  </rv>
  <rv s="3">
    <v>https://www.bing.com/search?q=north+rhine-westphalia&amp;form=skydnc</v>
    <v>Learn more on Bing</v>
  </rv>
  <rv s="1">
    <fb>2.16</fb>
    <v>11</v>
  </rv>
  <rv s="1">
    <fb>17932651</fb>
    <v>10</v>
  </rv>
  <rv s="4">
    <v>#VALUE!</v>
    <v>50</v>
    <v>4</v>
    <v>North Rhine-Westphalia</v>
    <v>6</v>
    <v>7</v>
    <v>Map</v>
    <v>8</v>
    <v>9</v>
    <v>en-GB</v>
    <v>7192ac29-308b-9018-2da7-1d16b5afb233</v>
    <v>536870912</v>
    <v>1</v>
    <v>DE-NW</v>
    <v>104</v>
    <v>105</v>
    <v>3</v>
    <v>North Rhine-Westphalia or North-Rhine/Westphalia, commonly shortened to NRW, is a state in Western Germany. With more than 18 million inhabitants, it is the most populous state in Germany. Apart from the city-states, it is also the most densely ...</v>
    <v>106</v>
    <v>107</v>
    <v>108</v>
    <v>109</v>
    <v>110</v>
    <v>North Rhine-Westphalia</v>
    <v>111</v>
    <v>112</v>
    <v>North Rhine-Westphalia</v>
    <v>mdp/vdpid/8164991</v>
  </rv>
  <rv s="0">
    <v>536870912</v>
    <v>Rhineland-Palatinate</v>
    <v>b2634da1-26f3-4709-d63d-9f9489a33d9c</v>
    <v>en-GB</v>
    <v>Map</v>
  </rv>
  <rv s="1">
    <fb>19853.36</fb>
    <v>10</v>
  </rv>
  <rv s="0">
    <v>536870912</v>
    <v>Mainz</v>
    <v>06b36c22-b533-291b-5735-d911574f1fc7</v>
    <v>en-GB</v>
    <v>Map</v>
  </rv>
  <rv s="0">
    <v>536870912</v>
    <v>French occupation zone in Germany</v>
    <v>0d2db827-4020-1779-0c71-bfaf8bd12a87</v>
    <v>en-GB</v>
    <v>Map</v>
  </rv>
  <rv s="1">
    <fb>1789030</fb>
    <v>10</v>
  </rv>
  <rv s="1">
    <fb>2002890</fb>
    <v>10</v>
  </rv>
  <rv s="2">
    <v>10</v>
    <v>8</v>
    <v>51</v>
    <v>7</v>
    <v>0</v>
    <v>Image of Rhineland-Palatinate</v>
  </rv>
  <rv s="0">
    <v>805306368</v>
    <v>Malu Dreyer (Prime Minister)</v>
    <v>98b268ad-3031-44e9-aed9-56103005bc18</v>
    <v>en-GB</v>
    <v>Generic</v>
  </rv>
  <rv s="5">
    <v>6</v>
  </rv>
  <rv s="3">
    <v>https://www.bing.com/search?q=rhineland-palatinate&amp;form=skydnc</v>
    <v>Learn more on Bing</v>
  </rv>
  <rv s="1">
    <fb>4084844</fb>
    <v>10</v>
  </rv>
  <rv s="10">
    <v>#VALUE!</v>
    <v>54</v>
    <v>55</v>
    <v>Rhineland-Palatinate</v>
    <v>6</v>
    <v>7</v>
    <v>Map</v>
    <v>8</v>
    <v>9</v>
    <v>en-GB</v>
    <v>b2634da1-26f3-4709-d63d-9f9489a33d9c</v>
    <v>536870912</v>
    <v>1</v>
    <v>DE-RP</v>
    <v>115</v>
    <v>116</v>
    <v>117</v>
    <v>Rhineland-Palatinate is a western state of Germany. It covers 19,846 km² and has about 4.05 million residents. It is the ninth largest and sixth most populous of the sixteen states. Mainz is the capital and largest city. Other cities are ...</v>
    <v>118</v>
    <v>119</v>
    <v>120</v>
    <v>116</v>
    <v>122</v>
    <v>123</v>
    <v>Rhineland-Palatinate</v>
    <v>8</v>
    <v>124</v>
    <v>Rhineland-Palatinate</v>
    <v>mdp/vdpid/27654</v>
  </rv>
  <rv s="0">
    <v>536870912</v>
    <v>Saarland</v>
    <v>077b3058-0078-d492-aee0-52b8d21ee39e</v>
    <v>en-GB</v>
    <v>Map</v>
  </rv>
  <rv s="1">
    <fb>2570</fb>
    <v>10</v>
  </rv>
  <rv s="0">
    <v>536870912</v>
    <v>Saarbrücken</v>
    <v>2088b471-d8b4-cd5d-11f9-fa7d193c9770</v>
    <v>en-GB</v>
    <v>Map</v>
  </rv>
  <rv s="1">
    <fb>459853</fb>
    <v>10</v>
  </rv>
  <rv s="1">
    <fb>503323</fb>
    <v>10</v>
  </rv>
  <rv s="2">
    <v>11</v>
    <v>8</v>
    <v>56</v>
    <v>7</v>
    <v>0</v>
    <v>Image of Saarland</v>
  </rv>
  <rv s="0">
    <v>536870912</v>
    <v>Neunkirchen</v>
    <v>6d5a1a7d-ac39-75ad-2f39-dbb5e502dee6</v>
    <v>en-GB</v>
    <v>Map</v>
  </rv>
  <rv s="3">
    <v>https://www.bing.com/search?q=saarland&amp;form=skydnc</v>
    <v>Learn more on Bing</v>
  </rv>
  <rv s="1">
    <fb>986887</fb>
    <v>10</v>
  </rv>
  <rv s="4">
    <v>#VALUE!</v>
    <v>59</v>
    <v>4</v>
    <v>Saarland</v>
    <v>6</v>
    <v>7</v>
    <v>Map</v>
    <v>8</v>
    <v>16</v>
    <v>en-GB</v>
    <v>077b3058-0078-d492-aee0-52b8d21ee39e</v>
    <v>536870912</v>
    <v>1</v>
    <v>DE-SL</v>
    <v>127</v>
    <v>128</v>
    <v>3</v>
    <v>Saarland is a state of Germany in the southwest of the country. With an area of 2,570 km² and population of 990,509 in 2018, it is the smallest German state in area apart from the city-states of Berlin, Bremen, and Hamburg, and the smallest in ...</v>
    <v>129</v>
    <v>130</v>
    <v>131</v>
    <v>132</v>
    <v>133</v>
    <v>Saarland</v>
    <v>79</v>
    <v>134</v>
    <v>Saarland</v>
    <v>mdp/vdpid/28479</v>
  </rv>
  <rv s="0">
    <v>536870912</v>
    <v>Saxony</v>
    <v>db04ed86-d227-952f-dbae-2881e92d2d0a</v>
    <v>en-GB</v>
    <v>Map</v>
  </rv>
  <rv s="1">
    <fb>18415.66</fb>
    <v>10</v>
  </rv>
  <rv s="0">
    <v>536870912</v>
    <v>Dresden</v>
    <v>491f25a2-d7d3-715c-d4ca-3d32d56a7670</v>
    <v>en-GB</v>
    <v>Map</v>
  </rv>
  <rv s="1">
    <fb>2048482</fb>
    <v>10</v>
  </rv>
  <rv s="1">
    <fb>2325844</fb>
    <v>10</v>
  </rv>
  <rv s="2">
    <v>12</v>
    <v>8</v>
    <v>60</v>
    <v>7</v>
    <v>0</v>
    <v>Image of Saxony</v>
  </rv>
  <rv s="0">
    <v>536870912</v>
    <v>Leipzig</v>
    <v>ff50f94c-10e8-9487-0ea8-49b8334c589c</v>
    <v>en-GB</v>
    <v>Map</v>
  </rv>
  <rv s="3">
    <v>https://www.bing.com/search?q=saxony&amp;form=skydnc</v>
    <v>Learn more on Bing</v>
  </rv>
  <rv s="1">
    <fb>1.98</fb>
    <v>11</v>
  </rv>
  <rv s="1">
    <fb>4086218</fb>
    <v>10</v>
  </rv>
  <rv s="4">
    <v>#VALUE!</v>
    <v>63</v>
    <v>4</v>
    <v>Saxony</v>
    <v>6</v>
    <v>7</v>
    <v>Map</v>
    <v>8</v>
    <v>21</v>
    <v>en-GB</v>
    <v>db04ed86-d227-952f-dbae-2881e92d2d0a</v>
    <v>536870912</v>
    <v>1</v>
    <v>DE-SN</v>
    <v>137</v>
    <v>138</v>
    <v>3</v>
    <v>Saxony, officially the Free State of Saxony, is a landlocked state of Germany, bordering the states of Brandenburg, Saxony-Anhalt, Thuringia, Bavaria, as well as the countries of Poland and the Czech Republic. Its capital is Dresden, and its ...</v>
    <v>139</v>
    <v>140</v>
    <v>141</v>
    <v>142</v>
    <v>143</v>
    <v>Saxony</v>
    <v>144</v>
    <v>145</v>
    <v>Saxony</v>
    <v>mdp/vdpid/8145598</v>
  </rv>
  <rv s="0">
    <v>536870912</v>
    <v>Saxony-Anhalt</v>
    <v>6af91c75-020d-7d63-0e2d-ab73f9f73280</v>
    <v>en-GB</v>
    <v>Map</v>
  </rv>
  <rv s="1">
    <fb>20454</fb>
    <v>10</v>
  </rv>
  <rv s="0">
    <v>536870912</v>
    <v>Magdeburg</v>
    <v>6b436202-9997-300f-81f6-a3a14c1faf6f</v>
    <v>en-GB</v>
    <v>Map</v>
  </rv>
  <rv s="1">
    <fb>1127332</fb>
    <v>10</v>
  </rv>
  <rv s="1">
    <fb>1289856</fb>
    <v>10</v>
  </rv>
  <rv s="2">
    <v>13</v>
    <v>8</v>
    <v>64</v>
    <v>7</v>
    <v>0</v>
    <v>Image of Saxony-Anhalt</v>
  </rv>
  <rv s="0">
    <v>536870912</v>
    <v>Halle (Saale)</v>
    <v>9e837cd0-512a-b10c-a9d0-aacc86a0c940</v>
    <v>en-GB</v>
    <v>Map</v>
  </rv>
  <rv s="3">
    <v>https://www.bing.com/search?q=saxony-anhalt&amp;form=skydnc</v>
    <v>Learn more on Bing</v>
  </rv>
  <rv s="1">
    <fb>2.0299999999999998</fb>
    <v>11</v>
  </rv>
  <rv s="1">
    <fb>2194782</fb>
    <v>10</v>
  </rv>
  <rv s="4">
    <v>#VALUE!</v>
    <v>67</v>
    <v>4</v>
    <v>Saxony-Anhalt</v>
    <v>6</v>
    <v>7</v>
    <v>Map</v>
    <v>8</v>
    <v>16</v>
    <v>en-GB</v>
    <v>6af91c75-020d-7d63-0e2d-ab73f9f73280</v>
    <v>536870912</v>
    <v>1</v>
    <v>DE-ST</v>
    <v>148</v>
    <v>149</v>
    <v>3</v>
    <v>Saxony-Anhalt is a state of Germany, bordering the states of Brandenburg, Saxony, Thuringia and Lower Saxony. It covers an area of 20,451.7 square kilometres and has a population of 2.17 million inhabitants, making it the 8th-largest state in ...</v>
    <v>150</v>
    <v>151</v>
    <v>152</v>
    <v>153</v>
    <v>154</v>
    <v>Saxony-Anhalt</v>
    <v>155</v>
    <v>156</v>
    <v>Saxony-Anhalt</v>
    <v>mdp/vdpid/8145597</v>
  </rv>
  <rv s="0">
    <v>536870912</v>
    <v>Schleswig-Holstein</v>
    <v>6dde426c-96c7-18bd-f4e1-b41b7575557a</v>
    <v>en-GB</v>
    <v>Map</v>
  </rv>
  <rv s="1">
    <fb>15804.28</fb>
    <v>10</v>
  </rv>
  <rv s="0">
    <v>536870912</v>
    <v>Kiel</v>
    <v>f2218f64-d98f-3cab-60d5-8f0d625f9ddf</v>
    <v>en-GB</v>
    <v>Map</v>
  </rv>
  <rv s="1">
    <fb>1316303</fb>
    <v>10</v>
  </rv>
  <rv s="1">
    <fb>1417948</fb>
    <v>10</v>
  </rv>
  <rv s="2">
    <v>14</v>
    <v>8</v>
    <v>68</v>
    <v>7</v>
    <v>0</v>
    <v>Image of Schleswig-Holstein</v>
  </rv>
  <rv s="3">
    <v>https://www.bing.com/search?q=schleswig-holstein&amp;form=skydnc</v>
    <v>Learn more on Bing</v>
  </rv>
  <rv s="1">
    <fb>2.13</fb>
    <v>11</v>
  </rv>
  <rv s="1">
    <fb>2953270</fb>
    <v>10</v>
  </rv>
  <rv s="4">
    <v>#VALUE!</v>
    <v>71</v>
    <v>4</v>
    <v>Schleswig-Holstein</v>
    <v>6</v>
    <v>7</v>
    <v>Map</v>
    <v>8</v>
    <v>21</v>
    <v>en-GB</v>
    <v>6dde426c-96c7-18bd-f4e1-b41b7575557a</v>
    <v>536870912</v>
    <v>1</v>
    <v>DE-SH</v>
    <v>159</v>
    <v>160</v>
    <v>3</v>
    <v>Schleswig-Holstein is the northernmost of the 16 states of Germany, comprising most of the historical Duchy of Holstein and the southern part of the former Duchy of Schleswig. Its capital city is Kiel; other notable cities are Lübeck and Flensburg.</v>
    <v>161</v>
    <v>162</v>
    <v>163</v>
    <v>160</v>
    <v>164</v>
    <v>Schleswig-Holstein</v>
    <v>165</v>
    <v>166</v>
    <v>Schleswig-Holstein</v>
    <v>mdp/vdpid/8141652</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6">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spbArrays>
  <spbData count="72">
    <spb s="0">
      <v xml:space="preserve">Wikipedia	</v>
      <v xml:space="preserve">CC BY-SA 3.0	</v>
      <v xml:space="preserve">https://en.wikipedia.org/wiki/Baden-W%C3%BCrttemberg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http://en.wikipedia.org/wiki/Baden-Württemberg	</v>
      <v xml:space="preserve">http://creativecommons.org/licenses/by-sa/3.0/	</v>
    </spb>
    <spb s="1">
      <v>0</v>
      <v>0</v>
      <v>1</v>
      <v>0</v>
      <v>0</v>
      <v>0</v>
      <v>2</v>
      <v>0</v>
      <v>1</v>
      <v>0</v>
      <v>0</v>
      <v>1</v>
    </spb>
    <spb s="2">
      <v>0</v>
      <v>Name</v>
      <v>LearnMoreOnLink</v>
    </spb>
    <spb s="3">
      <v>0</v>
      <v>0</v>
      <v>0</v>
    </spb>
    <spb s="4">
      <v>5</v>
      <v>5</v>
      <v>5</v>
    </spb>
    <spb s="5">
      <v>1</v>
      <v>2</v>
    </spb>
    <spb s="6">
      <v>https://www.bing.com</v>
      <v>https://www.bing.com/th?id=Ga%5Cbing_yt.png&amp;w=100&amp;h=40&amp;c=0&amp;pid=0.1</v>
      <v>Powered by Bing</v>
    </spb>
    <spb s="7">
      <v>square km</v>
      <v>2011</v>
      <v>2018</v>
      <v>2011</v>
      <v>2011</v>
    </spb>
    <spb s="8">
      <v>3</v>
    </spb>
    <spb s="8">
      <v>4</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1">
      <v>12</v>
      <v>12</v>
      <v>1</v>
      <v>12</v>
      <v>12</v>
      <v>12</v>
      <v>13</v>
      <v>12</v>
      <v>1</v>
      <v>12</v>
      <v>12</v>
      <v>1</v>
    </spb>
    <spb s="2">
      <v>1</v>
      <v>Name</v>
      <v>LearnMoreOnLink</v>
    </spb>
    <spb s="7">
      <v>square km</v>
      <v>2011</v>
      <v>2019</v>
      <v>2011</v>
      <v>2011</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9">
      <v>17</v>
      <v>17</v>
      <v>1</v>
      <v>17</v>
      <v>17</v>
      <v>17</v>
      <v>18</v>
      <v>1</v>
      <v>17</v>
      <v>1</v>
    </spb>
    <spb s="2">
      <v>2</v>
      <v>Name</v>
      <v>LearnMoreOnLink</v>
    </spb>
    <spb s="7">
      <v>square km</v>
      <v>2011</v>
      <v>2022</v>
      <v>2011</v>
      <v>2011</v>
    </spb>
    <spb s="0">
      <v xml:space="preserve">Wikipedia	</v>
      <v xml:space="preserve">CC BY-SA 3.0	</v>
      <v xml:space="preserve">https://en.wikipedia.org/wiki/Brandenburg	</v>
      <v xml:space="preserve">https://creativecommons.org/licenses/by-sa/3.0	</v>
    </spb>
    <spb s="0">
      <v xml:space="preserve">Britannica	</v>
      <v xml:space="preserve">	</v>
      <v xml:space="preserve">https://www.britannica.com/place/Brandenburg-state-Germany	</v>
      <v xml:space="preserve">	</v>
    </spb>
    <spb s="0">
      <v xml:space="preserve">Wikipedia	</v>
      <v xml:space="preserve">CC-BY-SA	</v>
      <v xml:space="preserve">http://en.wikipedia.org/wiki/Brandenburg	</v>
      <v xml:space="preserve">http://creativecommons.org/licenses/by-sa/3.0/	</v>
    </spb>
    <spb s="1">
      <v>22</v>
      <v>22</v>
      <v>23</v>
      <v>22</v>
      <v>22</v>
      <v>22</v>
      <v>24</v>
      <v>22</v>
      <v>23</v>
      <v>22</v>
      <v>22</v>
      <v>23</v>
    </spb>
    <spb s="2">
      <v>3</v>
      <v>Name</v>
      <v>LearnMoreOnLink</v>
    </spb>
    <spb s="7">
      <v>square km</v>
      <v>2011</v>
      <v>2024</v>
      <v>2011</v>
      <v>2011</v>
    </spb>
    <spb s="0">
      <v xml:space="preserve">Wikipedia	</v>
      <v xml:space="preserve">CC BY-SA 3.0	</v>
      <v xml:space="preserve">https://en.wikipedia.org/wiki/Bremen_(state)	</v>
      <v xml:space="preserve">https://creativecommons.org/licenses/by-sa/3.0	</v>
    </spb>
    <spb s="0">
      <v xml:space="preserve">Wikipedia	</v>
      <v xml:space="preserve">CC-BY-SA	</v>
      <v xml:space="preserve">http://en.wikipedia.org/wiki/Bremen_(state)	</v>
      <v xml:space="preserve">http://creativecommons.org/licenses/by-sa/3.0/	</v>
    </spb>
    <spb s="1">
      <v>28</v>
      <v>28</v>
      <v>1</v>
      <v>28</v>
      <v>28</v>
      <v>28</v>
      <v>29</v>
      <v>28</v>
      <v>1</v>
      <v>28</v>
      <v>28</v>
      <v>1</v>
    </spb>
    <spb s="7">
      <v>square km</v>
      <v>2011</v>
      <v>2014</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9">
      <v>32</v>
      <v>32</v>
      <v>1</v>
      <v>32</v>
      <v>32</v>
      <v>32</v>
      <v>33</v>
      <v>1</v>
      <v>32</v>
      <v>1</v>
    </spb>
    <spb s="2">
      <v>4</v>
      <v>Name</v>
      <v>LearnMoreOnLink</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1">
      <v>36</v>
      <v>36</v>
      <v>37</v>
      <v>36</v>
      <v>36</v>
      <v>36</v>
      <v>38</v>
      <v>36</v>
      <v>37</v>
      <v>36</v>
      <v>36</v>
      <v>37</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1">
      <v>40</v>
      <v>40</v>
      <v>41</v>
      <v>40</v>
      <v>40</v>
      <v>40</v>
      <v>42</v>
      <v>40</v>
      <v>41</v>
      <v>40</v>
      <v>40</v>
      <v>41</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1">
      <v>44</v>
      <v>44</v>
      <v>45</v>
      <v>44</v>
      <v>44</v>
      <v>44</v>
      <v>46</v>
      <v>44</v>
      <v>45</v>
      <v>44</v>
      <v>44</v>
      <v>45</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1">
      <v>48</v>
      <v>48</v>
      <v>1</v>
      <v>48</v>
      <v>48</v>
      <v>48</v>
      <v>49</v>
      <v>48</v>
      <v>1</v>
      <v>48</v>
      <v>48</v>
      <v>1</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1">
      <v>51</v>
      <v>51</v>
      <v>52</v>
      <v>51</v>
      <v>51</v>
      <v>51</v>
      <v>53</v>
      <v>51</v>
      <v>52</v>
      <v>51</v>
      <v>51</v>
      <v>52</v>
    </spb>
    <spb s="2">
      <v>5</v>
      <v>Name</v>
      <v>LearnMoreOnLink</v>
    </spb>
    <spb s="0">
      <v xml:space="preserve">Wikipedia	</v>
      <v xml:space="preserve">CC BY-SA 3.0	</v>
      <v xml:space="preserve">https://en.wikipedia.org/wiki/Saarland	</v>
      <v xml:space="preserve">https://creativecommons.org/licenses/by-sa/3.0	</v>
    </spb>
    <spb s="0">
      <v xml:space="preserve">Wikipedia	</v>
      <v xml:space="preserve">CC-BY-SA	</v>
      <v xml:space="preserve">https://en.wikipedia.org/wiki/Saarland	</v>
      <v xml:space="preserve">http://creativecommons.org/licenses/by-sa/3.0/	</v>
    </spb>
    <spb s="0">
      <v xml:space="preserve">Wikipedia	</v>
      <v xml:space="preserve">CC-BY-SA	</v>
      <v xml:space="preserve">http://en.wikipedia.org/wiki/Saarland	</v>
      <v xml:space="preserve">http://creativecommons.org/licenses/by-sa/3.0/	</v>
    </spb>
    <spb s="10">
      <v>56</v>
      <v>56</v>
      <v>57</v>
      <v>56</v>
      <v>56</v>
      <v>56</v>
      <v>58</v>
      <v>57</v>
      <v>56</v>
      <v>56</v>
      <v>57</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1">
      <v>60</v>
      <v>60</v>
      <v>61</v>
      <v>60</v>
      <v>60</v>
      <v>60</v>
      <v>62</v>
      <v>60</v>
      <v>61</v>
      <v>60</v>
      <v>60</v>
      <v>61</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1">
      <v>64</v>
      <v>64</v>
      <v>65</v>
      <v>64</v>
      <v>64</v>
      <v>64</v>
      <v>66</v>
      <v>64</v>
      <v>65</v>
      <v>64</v>
      <v>64</v>
      <v>65</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1">
      <v>68</v>
      <v>68</v>
      <v>69</v>
      <v>68</v>
      <v>68</v>
      <v>68</v>
      <v>70</v>
      <v>68</v>
      <v>69</v>
      <v>68</v>
      <v>68</v>
      <v>69</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Persons per household" t="s"/>
  </s>
  <s>
    <k n="_Self" t="i"/>
  </s>
  <s>
    <k n="Area" t="spb"/>
    <k n="Name" t="spb"/>
    <k n="Households" t="spb"/>
    <k n="Population" t="spb"/>
    <k n="UniqueName" t="spb"/>
    <k n="Description" t="spb"/>
    <k n="Abbreviation" t="spb"/>
    <k n="Housing units" t="spb"/>
    <k n="Country/region" t="spb"/>
    <k n="Persons per household" t="spb"/>
  </s>
  <s>
    <k n="Area" t="spb"/>
    <k n="Name" t="spb"/>
    <k n="Households" t="spb"/>
    <k n="Population" t="spb"/>
    <k n="UniqueName" t="spb"/>
    <k n="Description" t="spb"/>
    <k n="Abbreviation" t="spb"/>
    <k n="Housing units" t="spb"/>
    <k n="Country/region" t="spb"/>
    <k n="Capital/Major City"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12</v>
      </c>
    </row>
    <row r="2" spans="1:2" x14ac:dyDescent="0.2">
      <c r="A2" s="2" t="s">
        <v>13</v>
      </c>
    </row>
    <row r="4" spans="1:2" x14ac:dyDescent="0.2">
      <c r="A4" s="3"/>
      <c r="B4" s="4"/>
    </row>
    <row r="5" spans="1:2" ht="30" customHeight="1" x14ac:dyDescent="0.2">
      <c r="A5" s="3" t="s">
        <v>14</v>
      </c>
      <c r="B5" s="4" t="s">
        <v>15</v>
      </c>
    </row>
    <row r="6" spans="1:2" ht="32" x14ac:dyDescent="0.2">
      <c r="A6" s="3" t="s">
        <v>16</v>
      </c>
      <c r="B6" s="4" t="s">
        <v>17</v>
      </c>
    </row>
    <row r="7" spans="1:2" ht="16" x14ac:dyDescent="0.2">
      <c r="A7" s="3" t="s">
        <v>18</v>
      </c>
      <c r="B7" s="4" t="s">
        <v>19</v>
      </c>
    </row>
    <row r="8" spans="1:2" ht="16" x14ac:dyDescent="0.2">
      <c r="A8" s="3" t="s">
        <v>20</v>
      </c>
      <c r="B8" s="4" t="s">
        <v>21</v>
      </c>
    </row>
    <row r="9" spans="1:2" x14ac:dyDescent="0.2">
      <c r="A9" s="3"/>
      <c r="B9" s="4"/>
    </row>
    <row r="10" spans="1:2" x14ac:dyDescent="0.2">
      <c r="A10" s="3" t="s">
        <v>22</v>
      </c>
      <c r="B10" s="4"/>
    </row>
    <row r="11" spans="1:2" ht="30" customHeight="1" x14ac:dyDescent="0.2">
      <c r="A11" s="3" t="s">
        <v>23</v>
      </c>
      <c r="B11" s="4" t="s">
        <v>24</v>
      </c>
    </row>
    <row r="12" spans="1:2" ht="30" customHeight="1" x14ac:dyDescent="0.2">
      <c r="A12" s="3" t="s">
        <v>25</v>
      </c>
      <c r="B12" s="4" t="s">
        <v>26</v>
      </c>
    </row>
    <row r="13" spans="1:2" ht="30" customHeight="1" x14ac:dyDescent="0.2">
      <c r="A13" s="3" t="s">
        <v>27</v>
      </c>
      <c r="B13" s="4" t="s">
        <v>28</v>
      </c>
    </row>
    <row r="14" spans="1:2" ht="16" x14ac:dyDescent="0.2">
      <c r="A14" s="3" t="s">
        <v>29</v>
      </c>
      <c r="B14" s="4" t="s">
        <v>30</v>
      </c>
    </row>
    <row r="15" spans="1:2" ht="30" customHeight="1" x14ac:dyDescent="0.2">
      <c r="A15" s="3" t="s">
        <v>31</v>
      </c>
      <c r="B15" s="4" t="s">
        <v>32</v>
      </c>
    </row>
    <row r="16" spans="1:2" ht="30" customHeight="1" x14ac:dyDescent="0.2">
      <c r="A16" s="3" t="s">
        <v>33</v>
      </c>
      <c r="B16" s="4" t="s">
        <v>34</v>
      </c>
    </row>
    <row r="17" spans="1:2" ht="30" customHeight="1" x14ac:dyDescent="0.2">
      <c r="A17" s="3" t="s">
        <v>35</v>
      </c>
      <c r="B17" s="4" t="s">
        <v>36</v>
      </c>
    </row>
    <row r="18" spans="1:2" ht="30" customHeight="1" x14ac:dyDescent="0.2">
      <c r="A18" s="3" t="s">
        <v>37</v>
      </c>
      <c r="B18" s="4" t="s">
        <v>38</v>
      </c>
    </row>
    <row r="19" spans="1:2" ht="16" x14ac:dyDescent="0.2">
      <c r="A19" s="3" t="s">
        <v>39</v>
      </c>
      <c r="B19" s="4" t="s">
        <v>40</v>
      </c>
    </row>
    <row r="20" spans="1:2" ht="16" x14ac:dyDescent="0.2">
      <c r="A20" s="3" t="s">
        <v>41</v>
      </c>
      <c r="B20" s="4" t="s">
        <v>42</v>
      </c>
    </row>
    <row r="21" spans="1:2" ht="16" x14ac:dyDescent="0.2">
      <c r="A21" s="3" t="s">
        <v>43</v>
      </c>
      <c r="B21" s="4" t="s">
        <v>44</v>
      </c>
    </row>
    <row r="22" spans="1:2" ht="30" customHeight="1" x14ac:dyDescent="0.2">
      <c r="A22" s="3" t="s">
        <v>45</v>
      </c>
      <c r="B22" s="4" t="s">
        <v>46</v>
      </c>
    </row>
    <row r="23" spans="1:2" x14ac:dyDescent="0.2">
      <c r="A23" s="3"/>
      <c r="B23" s="4"/>
    </row>
    <row r="24" spans="1:2" ht="30" customHeight="1" x14ac:dyDescent="0.2">
      <c r="A24" s="3" t="s">
        <v>47</v>
      </c>
      <c r="B24" s="4" t="s">
        <v>48</v>
      </c>
    </row>
    <row r="25" spans="1:2" ht="30" customHeight="1" x14ac:dyDescent="0.2">
      <c r="A25" s="3" t="s">
        <v>49</v>
      </c>
      <c r="B25" s="4" t="s">
        <v>50</v>
      </c>
    </row>
    <row r="26" spans="1:2" x14ac:dyDescent="0.2">
      <c r="A26" s="3"/>
      <c r="B26" s="4"/>
    </row>
    <row r="27" spans="1:2" ht="30" customHeight="1" x14ac:dyDescent="0.2">
      <c r="A27" s="3" t="s">
        <v>51</v>
      </c>
      <c r="B27" s="4" t="s">
        <v>52</v>
      </c>
    </row>
    <row r="28" spans="1:2" x14ac:dyDescent="0.2">
      <c r="A28" s="3"/>
      <c r="B28" s="4"/>
    </row>
    <row r="29" spans="1:2" x14ac:dyDescent="0.2">
      <c r="A29" s="3" t="s">
        <v>53</v>
      </c>
      <c r="B29" s="4"/>
    </row>
    <row r="30" spans="1:2" ht="16" x14ac:dyDescent="0.2">
      <c r="A30" s="3" t="s">
        <v>54</v>
      </c>
      <c r="B30" s="4" t="s">
        <v>55</v>
      </c>
    </row>
    <row r="31" spans="1:2" ht="16" x14ac:dyDescent="0.2">
      <c r="A31" s="3" t="s">
        <v>56</v>
      </c>
      <c r="B31" s="4" t="s">
        <v>57</v>
      </c>
    </row>
    <row r="32" spans="1:2" ht="16" x14ac:dyDescent="0.2">
      <c r="A32" s="3" t="s">
        <v>58</v>
      </c>
      <c r="B32" s="4" t="s">
        <v>59</v>
      </c>
    </row>
    <row r="33" spans="1:2" ht="16" x14ac:dyDescent="0.2">
      <c r="A33" s="3" t="s">
        <v>60</v>
      </c>
      <c r="B33" s="4" t="s">
        <v>61</v>
      </c>
    </row>
    <row r="34" spans="1:2" ht="16" x14ac:dyDescent="0.2">
      <c r="A34" s="3" t="s">
        <v>62</v>
      </c>
      <c r="B34" s="4" t="s">
        <v>63</v>
      </c>
    </row>
    <row r="35" spans="1:2" ht="16" x14ac:dyDescent="0.2">
      <c r="A35" s="3" t="s">
        <v>64</v>
      </c>
      <c r="B35" s="4" t="s">
        <v>65</v>
      </c>
    </row>
    <row r="36" spans="1:2" ht="16" x14ac:dyDescent="0.2">
      <c r="A36" s="3" t="s">
        <v>66</v>
      </c>
      <c r="B36" s="4" t="s">
        <v>67</v>
      </c>
    </row>
    <row r="37" spans="1:2" ht="16" x14ac:dyDescent="0.2">
      <c r="A37" s="3" t="s">
        <v>68</v>
      </c>
      <c r="B37" s="4" t="s">
        <v>69</v>
      </c>
    </row>
    <row r="38" spans="1:2" ht="16" x14ac:dyDescent="0.2">
      <c r="A38" s="3" t="s">
        <v>70</v>
      </c>
      <c r="B38" s="4" t="s">
        <v>71</v>
      </c>
    </row>
    <row r="39" spans="1:2" ht="16" x14ac:dyDescent="0.2">
      <c r="A39" s="3" t="s">
        <v>72</v>
      </c>
      <c r="B39" s="4" t="s">
        <v>73</v>
      </c>
    </row>
    <row r="40" spans="1:2" ht="16" x14ac:dyDescent="0.2">
      <c r="A40" s="3" t="s">
        <v>74</v>
      </c>
      <c r="B40" s="4" t="s">
        <v>75</v>
      </c>
    </row>
    <row r="41" spans="1:2" ht="16" x14ac:dyDescent="0.2">
      <c r="A41" s="3" t="s">
        <v>76</v>
      </c>
      <c r="B41" s="4" t="s">
        <v>77</v>
      </c>
    </row>
    <row r="42" spans="1:2" ht="16" x14ac:dyDescent="0.2">
      <c r="A42" s="3" t="s">
        <v>78</v>
      </c>
      <c r="B42" s="4" t="s">
        <v>79</v>
      </c>
    </row>
    <row r="43" spans="1:2" ht="16" x14ac:dyDescent="0.2">
      <c r="A43" s="3" t="s">
        <v>80</v>
      </c>
      <c r="B43" s="4" t="s">
        <v>81</v>
      </c>
    </row>
    <row r="44" spans="1:2" x14ac:dyDescent="0.2">
      <c r="A44" s="3"/>
      <c r="B44" s="4"/>
    </row>
    <row r="45" spans="1:2" ht="30" customHeight="1" x14ac:dyDescent="0.2">
      <c r="A45" s="3" t="s">
        <v>82</v>
      </c>
      <c r="B45" s="4" t="s">
        <v>83</v>
      </c>
    </row>
    <row r="46" spans="1:2" ht="30" customHeight="1" x14ac:dyDescent="0.2">
      <c r="A46" s="3" t="s">
        <v>84</v>
      </c>
      <c r="B46" s="4" t="s">
        <v>85</v>
      </c>
    </row>
    <row r="47" spans="1:2" ht="16" x14ac:dyDescent="0.2">
      <c r="A47" s="3" t="s">
        <v>86</v>
      </c>
      <c r="B47" s="4" t="s">
        <v>87</v>
      </c>
    </row>
    <row r="48" spans="1:2" ht="30" customHeight="1" x14ac:dyDescent="0.2">
      <c r="A48" s="3" t="s">
        <v>88</v>
      </c>
      <c r="B48" s="4" t="s">
        <v>89</v>
      </c>
    </row>
    <row r="49" spans="1:2" ht="30" customHeight="1" x14ac:dyDescent="0.2">
      <c r="A49" s="3" t="s">
        <v>90</v>
      </c>
      <c r="B49" s="4" t="s">
        <v>91</v>
      </c>
    </row>
    <row r="50" spans="1:2" ht="16" x14ac:dyDescent="0.2">
      <c r="A50" s="3" t="s">
        <v>92</v>
      </c>
      <c r="B50" s="4" t="s">
        <v>93</v>
      </c>
    </row>
    <row r="52" spans="1:2" ht="48" x14ac:dyDescent="0.2">
      <c r="A52" s="3" t="s">
        <v>242</v>
      </c>
      <c r="B52" s="4" t="s">
        <v>243</v>
      </c>
    </row>
    <row r="53" spans="1:2" ht="48" x14ac:dyDescent="0.2">
      <c r="B53" s="4" t="s">
        <v>244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94</v>
      </c>
    </row>
    <row r="2" spans="1:11" x14ac:dyDescent="0.2">
      <c r="A2" s="2" t="s">
        <v>95</v>
      </c>
    </row>
    <row r="4" spans="1:11" ht="30" customHeight="1" x14ac:dyDescent="0.2">
      <c r="A4" s="5" t="s">
        <v>96</v>
      </c>
      <c r="B4" s="5" t="s">
        <v>97</v>
      </c>
      <c r="C4" s="5" t="s">
        <v>98</v>
      </c>
      <c r="D4" s="5" t="s">
        <v>99</v>
      </c>
      <c r="E4" s="5" t="s">
        <v>100</v>
      </c>
      <c r="F4" s="5" t="s">
        <v>101</v>
      </c>
      <c r="G4" s="5" t="s">
        <v>102</v>
      </c>
      <c r="H4" s="5" t="s">
        <v>103</v>
      </c>
      <c r="I4" s="5" t="s">
        <v>104</v>
      </c>
      <c r="J4" s="5" t="s">
        <v>105</v>
      </c>
      <c r="K4" s="5" t="s">
        <v>106</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107</v>
      </c>
    </row>
    <row r="2" spans="1:31" x14ac:dyDescent="0.2">
      <c r="A2" s="2" t="s">
        <v>108</v>
      </c>
    </row>
    <row r="4" spans="1:31" x14ac:dyDescent="0.2">
      <c r="A4" s="11" t="s">
        <v>109</v>
      </c>
      <c r="B4" s="31">
        <v>2016</v>
      </c>
      <c r="C4" s="32"/>
      <c r="D4" s="32"/>
      <c r="E4" s="31">
        <v>2017</v>
      </c>
      <c r="F4" s="32"/>
      <c r="G4" s="32"/>
      <c r="H4" s="31">
        <v>2018</v>
      </c>
      <c r="I4" s="32"/>
      <c r="J4" s="32"/>
      <c r="K4" s="31">
        <v>2019</v>
      </c>
      <c r="L4" s="32"/>
      <c r="M4" s="32"/>
      <c r="N4" s="31">
        <v>2020</v>
      </c>
      <c r="O4" s="32"/>
      <c r="P4" s="32"/>
      <c r="Q4" s="31">
        <v>2021</v>
      </c>
      <c r="R4" s="32"/>
      <c r="S4" s="32"/>
      <c r="T4" s="31">
        <v>2022</v>
      </c>
      <c r="U4" s="32"/>
      <c r="V4" s="32"/>
      <c r="W4" s="31">
        <v>2023</v>
      </c>
      <c r="X4" s="32"/>
      <c r="Y4" s="32"/>
      <c r="Z4" s="31">
        <v>2024</v>
      </c>
      <c r="AA4" s="32"/>
      <c r="AB4" s="32"/>
      <c r="AC4" s="31">
        <v>2025</v>
      </c>
      <c r="AD4" s="32"/>
      <c r="AE4" s="32"/>
    </row>
    <row r="5" spans="1:31" ht="30" customHeight="1" x14ac:dyDescent="0.2">
      <c r="A5" s="5" t="s">
        <v>109</v>
      </c>
      <c r="B5" s="5" t="s">
        <v>98</v>
      </c>
      <c r="C5" s="5" t="s">
        <v>99</v>
      </c>
      <c r="D5" s="5" t="s">
        <v>110</v>
      </c>
      <c r="E5" s="5" t="s">
        <v>98</v>
      </c>
      <c r="F5" s="5" t="s">
        <v>99</v>
      </c>
      <c r="G5" s="5" t="s">
        <v>110</v>
      </c>
      <c r="H5" s="5" t="s">
        <v>98</v>
      </c>
      <c r="I5" s="5" t="s">
        <v>99</v>
      </c>
      <c r="J5" s="5" t="s">
        <v>110</v>
      </c>
      <c r="K5" s="5" t="s">
        <v>98</v>
      </c>
      <c r="L5" s="5" t="s">
        <v>99</v>
      </c>
      <c r="M5" s="5" t="s">
        <v>110</v>
      </c>
      <c r="N5" s="5" t="s">
        <v>98</v>
      </c>
      <c r="O5" s="5" t="s">
        <v>99</v>
      </c>
      <c r="P5" s="5" t="s">
        <v>110</v>
      </c>
      <c r="Q5" s="5" t="s">
        <v>98</v>
      </c>
      <c r="R5" s="5" t="s">
        <v>99</v>
      </c>
      <c r="S5" s="5" t="s">
        <v>110</v>
      </c>
      <c r="T5" s="5" t="s">
        <v>98</v>
      </c>
      <c r="U5" s="5" t="s">
        <v>99</v>
      </c>
      <c r="V5" s="5" t="s">
        <v>110</v>
      </c>
      <c r="W5" s="5" t="s">
        <v>98</v>
      </c>
      <c r="X5" s="5" t="s">
        <v>99</v>
      </c>
      <c r="Y5" s="5" t="s">
        <v>110</v>
      </c>
      <c r="Z5" s="5" t="s">
        <v>98</v>
      </c>
      <c r="AA5" s="5" t="s">
        <v>99</v>
      </c>
      <c r="AB5" s="5" t="s">
        <v>110</v>
      </c>
      <c r="AC5" s="5" t="s">
        <v>98</v>
      </c>
      <c r="AD5" s="5" t="s">
        <v>99</v>
      </c>
      <c r="AE5" s="5" t="s">
        <v>110</v>
      </c>
    </row>
    <row r="6" spans="1:31" x14ac:dyDescent="0.2">
      <c r="A6" s="12" t="s">
        <v>111</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112</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113</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114</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115</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116</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117</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118</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119</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120</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121</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110</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8"/>
  <sheetViews>
    <sheetView topLeftCell="A13" zoomScale="111" workbookViewId="0">
      <selection activeCell="D53" sqref="D53"/>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122</v>
      </c>
    </row>
    <row r="2" spans="1:14" x14ac:dyDescent="0.2">
      <c r="A2" s="2" t="s">
        <v>123</v>
      </c>
    </row>
    <row r="4" spans="1:14" ht="30" customHeight="1" x14ac:dyDescent="0.2">
      <c r="A4" s="5" t="s">
        <v>124</v>
      </c>
      <c r="B4" s="5" t="s">
        <v>125</v>
      </c>
      <c r="C4" s="5" t="s">
        <v>126</v>
      </c>
      <c r="D4" s="5" t="s">
        <v>101</v>
      </c>
      <c r="E4" s="5" t="s">
        <v>102</v>
      </c>
      <c r="F4" s="5" t="s">
        <v>127</v>
      </c>
      <c r="G4" s="5" t="s">
        <v>128</v>
      </c>
      <c r="H4" s="5" t="s">
        <v>100</v>
      </c>
      <c r="I4" s="5" t="s">
        <v>129</v>
      </c>
      <c r="J4" s="5" t="s">
        <v>130</v>
      </c>
      <c r="K4" s="5" t="s">
        <v>131</v>
      </c>
      <c r="L4" s="5" t="s">
        <v>132</v>
      </c>
      <c r="M4" s="5" t="s">
        <v>105</v>
      </c>
      <c r="N4" s="5" t="s">
        <v>133</v>
      </c>
    </row>
    <row r="5" spans="1:14" x14ac:dyDescent="0.2">
      <c r="A5" s="6" t="s">
        <v>134</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10">
        <v>89</v>
      </c>
    </row>
    <row r="6" spans="1:14" x14ac:dyDescent="0.2">
      <c r="A6" s="6" t="s">
        <v>253</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10">
        <v>171</v>
      </c>
    </row>
    <row r="7" spans="1:14" x14ac:dyDescent="0.2">
      <c r="A7" s="6" t="s">
        <v>262</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10">
        <v>19</v>
      </c>
    </row>
    <row r="8" spans="1:14" x14ac:dyDescent="0.2">
      <c r="A8" s="6" t="s">
        <v>137</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10">
        <v>19</v>
      </c>
    </row>
    <row r="9" spans="1:14" x14ac:dyDescent="0.2">
      <c r="A9" s="6" t="s">
        <v>254</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10">
        <v>53</v>
      </c>
    </row>
    <row r="10" spans="1:14" x14ac:dyDescent="0.2">
      <c r="A10" s="6" t="s">
        <v>139</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10">
        <v>17</v>
      </c>
    </row>
    <row r="11" spans="1:14" x14ac:dyDescent="0.2">
      <c r="A11" s="6" t="s">
        <v>255</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10">
        <v>78</v>
      </c>
    </row>
    <row r="12" spans="1:14" x14ac:dyDescent="0.2">
      <c r="A12" s="6" t="s">
        <v>256</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 t="shared" si="4"/>
        <v>921.97452229299358</v>
      </c>
      <c r="N12" s="10">
        <v>157</v>
      </c>
    </row>
    <row r="13" spans="1:14" x14ac:dyDescent="0.2">
      <c r="A13" s="6" t="s">
        <v>257</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10">
        <v>39</v>
      </c>
    </row>
    <row r="14" spans="1:14" x14ac:dyDescent="0.2">
      <c r="A14" s="6" t="s">
        <v>259</v>
      </c>
      <c r="B14" s="7">
        <v>2168</v>
      </c>
      <c r="C14" s="7">
        <v>1601</v>
      </c>
      <c r="D14" s="7">
        <f t="shared" si="0"/>
        <v>567</v>
      </c>
      <c r="E14" s="9">
        <f t="shared" si="1"/>
        <v>0.35415365396627108</v>
      </c>
      <c r="F14" s="7">
        <v>1113</v>
      </c>
      <c r="G14" s="7">
        <v>1055</v>
      </c>
      <c r="H14" s="8">
        <f t="shared" si="2"/>
        <v>0.48662361623616235</v>
      </c>
      <c r="I14" s="7">
        <v>172</v>
      </c>
      <c r="J14" s="7">
        <v>679</v>
      </c>
      <c r="K14" s="7">
        <v>2135597</v>
      </c>
      <c r="L14" s="10">
        <f t="shared" si="3"/>
        <v>1.0151728064798742</v>
      </c>
      <c r="M14" s="10">
        <f t="shared" si="4"/>
        <v>433.6</v>
      </c>
      <c r="N14" s="10">
        <v>5</v>
      </c>
    </row>
    <row r="15" spans="1:14" x14ac:dyDescent="0.2">
      <c r="A15" s="6" t="s">
        <v>258</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10">
        <v>21</v>
      </c>
    </row>
    <row r="16" spans="1:14" x14ac:dyDescent="0.2">
      <c r="A16" s="6" t="s">
        <v>145</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10">
        <v>53</v>
      </c>
    </row>
    <row r="17" spans="1:14" x14ac:dyDescent="0.2">
      <c r="A17" s="6" t="s">
        <v>146</v>
      </c>
      <c r="B17" s="7">
        <v>32698</v>
      </c>
      <c r="C17" s="7">
        <v>22709</v>
      </c>
      <c r="D17" s="7">
        <f t="shared" si="0"/>
        <v>9989</v>
      </c>
      <c r="E17" s="9">
        <f t="shared" si="1"/>
        <v>0.43986965520278304</v>
      </c>
      <c r="F17" s="7">
        <v>23337</v>
      </c>
      <c r="G17" s="7">
        <v>9361</v>
      </c>
      <c r="H17" s="8">
        <f t="shared" si="2"/>
        <v>0.28628662303504804</v>
      </c>
      <c r="I17" s="7">
        <v>310</v>
      </c>
      <c r="J17" s="7">
        <v>8930</v>
      </c>
      <c r="K17" s="7" t="s">
        <v>147</v>
      </c>
      <c r="L17" s="10" t="s">
        <v>147</v>
      </c>
      <c r="M17" s="10" t="s">
        <v>147</v>
      </c>
      <c r="N17" s="10" t="s">
        <v>147</v>
      </c>
    </row>
    <row r="18" spans="1:14" x14ac:dyDescent="0.2">
      <c r="A18" s="13" t="s">
        <v>110</v>
      </c>
      <c r="B18" s="14">
        <f>SUM(B5:B17)</f>
        <v>695617</v>
      </c>
      <c r="C18" s="14">
        <f>SUM(C5:C17)</f>
        <v>643158</v>
      </c>
      <c r="D18" s="14">
        <f>SUM(D5:D17)</f>
        <v>52459</v>
      </c>
      <c r="E18" s="15">
        <f>D18/C18</f>
        <v>8.1564716601519371E-2</v>
      </c>
      <c r="F18" s="14">
        <f>SUM(F5:F17)</f>
        <v>454062</v>
      </c>
      <c r="G18" s="14">
        <f>SUM(G5:G17)</f>
        <v>241555</v>
      </c>
      <c r="H18" s="16">
        <f t="shared" si="2"/>
        <v>0.34725287047326331</v>
      </c>
      <c r="I18" s="14">
        <f>SUM(I5:I17)</f>
        <v>42798</v>
      </c>
      <c r="J18" s="14">
        <f>SUM(J5:J17)</f>
        <v>306153</v>
      </c>
      <c r="K18" s="7"/>
      <c r="L18" s="10"/>
      <c r="M18" s="10"/>
      <c r="N18" s="10"/>
    </row>
    <row r="20" spans="1:14" x14ac:dyDescent="0.2">
      <c r="A20" s="2" t="s">
        <v>148</v>
      </c>
    </row>
    <row r="22" spans="1:14" x14ac:dyDescent="0.2">
      <c r="A22" s="2" t="s">
        <v>245</v>
      </c>
    </row>
    <row r="23" spans="1:14" x14ac:dyDescent="0.2">
      <c r="A23" s="2" t="s">
        <v>246</v>
      </c>
    </row>
    <row r="24" spans="1:14" x14ac:dyDescent="0.2">
      <c r="A24" s="2" t="s">
        <v>247</v>
      </c>
    </row>
    <row r="25" spans="1:14" x14ac:dyDescent="0.2">
      <c r="A25" s="2" t="s">
        <v>248</v>
      </c>
    </row>
    <row r="28" spans="1:14" x14ac:dyDescent="0.2">
      <c r="A28" s="16" t="s">
        <v>249</v>
      </c>
    </row>
    <row r="29" spans="1:14" x14ac:dyDescent="0.2">
      <c r="A29" s="2" t="s">
        <v>250</v>
      </c>
    </row>
    <row r="30" spans="1:14" ht="30" x14ac:dyDescent="0.2">
      <c r="A30" s="5" t="s">
        <v>251</v>
      </c>
      <c r="B30" s="5" t="s">
        <v>252</v>
      </c>
      <c r="C30" s="5" t="s">
        <v>125</v>
      </c>
      <c r="D30" s="5" t="s">
        <v>131</v>
      </c>
      <c r="E30" s="5" t="s">
        <v>132</v>
      </c>
    </row>
    <row r="31" spans="1:14" x14ac:dyDescent="0.2">
      <c r="A31" t="e" vm="1">
        <v>#VALUE!</v>
      </c>
      <c r="B31" t="s">
        <v>134</v>
      </c>
      <c r="C31" s="7">
        <f>B5</f>
        <v>76079</v>
      </c>
      <c r="D31" s="7">
        <f t="shared" ref="D31:E33" si="5">K5</f>
        <v>11245898</v>
      </c>
      <c r="E31" s="9">
        <f t="shared" si="5"/>
        <v>6.7650444633234272</v>
      </c>
    </row>
    <row r="32" spans="1:14" x14ac:dyDescent="0.2">
      <c r="A32" t="e" vm="2">
        <v>#VALUE!</v>
      </c>
      <c r="B32" t="s">
        <v>135</v>
      </c>
      <c r="C32" s="7">
        <f>B6</f>
        <v>144501</v>
      </c>
      <c r="D32" s="7">
        <f t="shared" si="5"/>
        <v>13248928</v>
      </c>
      <c r="E32" s="9">
        <f t="shared" si="5"/>
        <v>10.906618256209105</v>
      </c>
    </row>
    <row r="33" spans="1:5" x14ac:dyDescent="0.2">
      <c r="A33" t="e" vm="3">
        <v>#VALUE!</v>
      </c>
      <c r="B33" t="s">
        <v>136</v>
      </c>
      <c r="C33" s="7">
        <f>B7</f>
        <v>27777</v>
      </c>
      <c r="D33" s="7">
        <f t="shared" si="5"/>
        <v>6242012</v>
      </c>
      <c r="E33" s="9">
        <f t="shared" si="5"/>
        <v>4.4500074655415593</v>
      </c>
    </row>
    <row r="34" spans="1:5" x14ac:dyDescent="0.2">
      <c r="A34" t="e" vm="4">
        <v>#VALUE!</v>
      </c>
      <c r="B34" t="s">
        <v>136</v>
      </c>
      <c r="C34" s="7">
        <f>B7</f>
        <v>27777</v>
      </c>
      <c r="D34" s="7">
        <f>K7</f>
        <v>6242012</v>
      </c>
      <c r="E34" s="9">
        <f>L7</f>
        <v>4.4500074655415593</v>
      </c>
    </row>
    <row r="35" spans="1:5" x14ac:dyDescent="0.2">
      <c r="A35" t="e" vm="5">
        <v>#VALUE!</v>
      </c>
      <c r="B35" t="s">
        <v>140</v>
      </c>
      <c r="C35" s="7">
        <f>B11</f>
        <v>78772</v>
      </c>
      <c r="D35" s="7">
        <f>K11</f>
        <v>8709370</v>
      </c>
      <c r="E35" s="9">
        <f>L11</f>
        <v>9.044511830362012</v>
      </c>
    </row>
    <row r="36" spans="1:5" x14ac:dyDescent="0.2">
      <c r="A36" t="e" vm="6">
        <v>#VALUE!</v>
      </c>
      <c r="B36" t="s">
        <v>137</v>
      </c>
      <c r="C36" s="7">
        <f>B8</f>
        <v>22099</v>
      </c>
      <c r="D36" s="7">
        <f>K8</f>
        <v>1862565</v>
      </c>
      <c r="E36" s="9">
        <f>L8</f>
        <v>11.864820825045031</v>
      </c>
    </row>
    <row r="37" spans="1:5" x14ac:dyDescent="0.2">
      <c r="A37" t="e" vm="7">
        <v>#VALUE!</v>
      </c>
      <c r="B37" t="s">
        <v>138</v>
      </c>
      <c r="C37" s="7">
        <f>B9</f>
        <v>49741</v>
      </c>
      <c r="D37" s="7">
        <f>K9</f>
        <v>6280793</v>
      </c>
      <c r="E37" s="9">
        <f>L9</f>
        <v>7.9195413700149011</v>
      </c>
    </row>
    <row r="38" spans="1:5" x14ac:dyDescent="0.2">
      <c r="A38" t="e" vm="8">
        <v>#VALUE!</v>
      </c>
      <c r="B38" t="s">
        <v>140</v>
      </c>
      <c r="C38" s="7">
        <f>B11</f>
        <v>78772</v>
      </c>
      <c r="D38" s="7">
        <f>K11</f>
        <v>8709370</v>
      </c>
      <c r="E38" s="9">
        <f>L11</f>
        <v>9.044511830362012</v>
      </c>
    </row>
    <row r="39" spans="1:5" x14ac:dyDescent="0.2">
      <c r="A39" t="e" vm="9">
        <v>#VALUE!</v>
      </c>
      <c r="B39" t="s">
        <v>139</v>
      </c>
      <c r="C39" s="7">
        <f>B10</f>
        <v>18752</v>
      </c>
      <c r="D39" s="7">
        <f>K10</f>
        <v>1573597</v>
      </c>
      <c r="E39" s="9">
        <f>L10</f>
        <v>11.916647019535498</v>
      </c>
    </row>
    <row r="40" spans="1:5" x14ac:dyDescent="0.2">
      <c r="A40" t="e" vm="10">
        <v>#VALUE!</v>
      </c>
      <c r="B40" t="s">
        <v>141</v>
      </c>
      <c r="C40" s="7">
        <f>B12</f>
        <v>144750</v>
      </c>
      <c r="D40" s="7">
        <f>K12</f>
        <v>18034454</v>
      </c>
      <c r="E40" s="9">
        <f>L12</f>
        <v>8.0263034300899836</v>
      </c>
    </row>
    <row r="41" spans="1:5" x14ac:dyDescent="0.2">
      <c r="A41" t="e" vm="11">
        <v>#VALUE!</v>
      </c>
      <c r="B41" t="s">
        <v>142</v>
      </c>
      <c r="C41" s="7">
        <f>B13</f>
        <v>30113</v>
      </c>
      <c r="D41" s="7">
        <f>K13</f>
        <v>5141710</v>
      </c>
      <c r="E41" s="9">
        <f>L13</f>
        <v>5.8566119053777825</v>
      </c>
    </row>
    <row r="42" spans="1:5" x14ac:dyDescent="0.2">
      <c r="A42" t="e" vm="12">
        <v>#VALUE!</v>
      </c>
      <c r="B42" t="s">
        <v>142</v>
      </c>
      <c r="C42" s="7">
        <f>B13</f>
        <v>30113</v>
      </c>
      <c r="D42" s="7">
        <f>K13</f>
        <v>5141710</v>
      </c>
      <c r="E42" s="9">
        <f>L13</f>
        <v>5.8566119053777825</v>
      </c>
    </row>
    <row r="43" spans="1:5" x14ac:dyDescent="0.2">
      <c r="A43" t="e" vm="13">
        <v>#VALUE!</v>
      </c>
      <c r="B43" t="s">
        <v>144</v>
      </c>
      <c r="C43" s="7">
        <f>B15</f>
        <v>13696</v>
      </c>
      <c r="D43" s="7">
        <f>K15</f>
        <v>6142699</v>
      </c>
      <c r="E43" s="9">
        <f>L15</f>
        <v>2.2296387955848074</v>
      </c>
    </row>
    <row r="44" spans="1:5" x14ac:dyDescent="0.2">
      <c r="A44" t="e" vm="14">
        <v>#VALUE!</v>
      </c>
      <c r="B44" t="s">
        <v>143</v>
      </c>
      <c r="C44" s="7">
        <f>B14</f>
        <v>2168</v>
      </c>
      <c r="D44" s="7">
        <f>K14</f>
        <v>2135597</v>
      </c>
      <c r="E44" s="9">
        <f>L14</f>
        <v>1.0151728064798742</v>
      </c>
    </row>
    <row r="45" spans="1:5" x14ac:dyDescent="0.2">
      <c r="A45" t="e" vm="15">
        <v>#VALUE!</v>
      </c>
      <c r="B45" t="s">
        <v>145</v>
      </c>
      <c r="C45" s="7">
        <f>B16</f>
        <v>54471</v>
      </c>
      <c r="D45" s="7">
        <f>K16</f>
        <v>2959517</v>
      </c>
      <c r="E45" s="9">
        <f>L16</f>
        <v>18.405368173252594</v>
      </c>
    </row>
    <row r="46" spans="1:5" x14ac:dyDescent="0.2">
      <c r="A46" t="s">
        <v>260</v>
      </c>
      <c r="B46" t="s">
        <v>144</v>
      </c>
      <c r="C46" s="7">
        <f>B15</f>
        <v>13696</v>
      </c>
      <c r="D46" s="7">
        <f>K15</f>
        <v>6142699</v>
      </c>
      <c r="E46" s="9">
        <f>L15</f>
        <v>2.2296387955848074</v>
      </c>
    </row>
    <row r="48" spans="1:5" x14ac:dyDescent="0.2">
      <c r="A48" s="2" t="s">
        <v>261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0"/>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149</v>
      </c>
    </row>
    <row r="2" spans="1:9" x14ac:dyDescent="0.2">
      <c r="A2" s="2" t="s">
        <v>150</v>
      </c>
    </row>
    <row r="4" spans="1:9" ht="30" customHeight="1" x14ac:dyDescent="0.2">
      <c r="A4" s="5" t="s">
        <v>151</v>
      </c>
      <c r="B4" s="5" t="s">
        <v>152</v>
      </c>
      <c r="C4" s="5" t="s">
        <v>153</v>
      </c>
      <c r="D4" s="5" t="s">
        <v>154</v>
      </c>
      <c r="E4" s="5" t="s">
        <v>155</v>
      </c>
      <c r="F4" s="5" t="s">
        <v>156</v>
      </c>
      <c r="G4" s="5" t="s">
        <v>157</v>
      </c>
      <c r="H4" s="5" t="s">
        <v>158</v>
      </c>
      <c r="I4" s="5" t="s">
        <v>159</v>
      </c>
    </row>
    <row r="5" spans="1:9" x14ac:dyDescent="0.2">
      <c r="A5" s="6" t="s">
        <v>160</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161</v>
      </c>
      <c r="B6" s="17">
        <v>6.7</v>
      </c>
      <c r="C6" s="17">
        <v>6.56</v>
      </c>
      <c r="D6" s="17">
        <v>6.11</v>
      </c>
      <c r="E6" s="17">
        <v>6.01</v>
      </c>
      <c r="F6" s="17">
        <v>6.16</v>
      </c>
      <c r="G6" s="17">
        <v>6.45</v>
      </c>
      <c r="H6" s="17">
        <v>6.87</v>
      </c>
      <c r="I6" s="9">
        <f t="shared" si="0"/>
        <v>2.5373134328358304E-2</v>
      </c>
    </row>
    <row r="7" spans="1:9" x14ac:dyDescent="0.2">
      <c r="A7" s="6" t="s">
        <v>162</v>
      </c>
      <c r="B7" s="17">
        <v>1.47</v>
      </c>
      <c r="C7" s="17">
        <v>1.55</v>
      </c>
      <c r="D7" s="17">
        <v>1.46</v>
      </c>
      <c r="E7" s="17">
        <v>1.35</v>
      </c>
      <c r="F7" s="17">
        <v>1.32</v>
      </c>
      <c r="G7" s="17">
        <v>1.45</v>
      </c>
      <c r="H7" s="17">
        <v>1.62</v>
      </c>
      <c r="I7" s="9">
        <f t="shared" si="0"/>
        <v>0.10204081632653073</v>
      </c>
    </row>
    <row r="8" spans="1:9" x14ac:dyDescent="0.2">
      <c r="A8" s="6" t="s">
        <v>163</v>
      </c>
      <c r="B8" s="17">
        <v>2.89</v>
      </c>
      <c r="C8" s="17">
        <v>3.04</v>
      </c>
      <c r="D8" s="17">
        <v>3.14</v>
      </c>
      <c r="E8" s="17">
        <v>3.12</v>
      </c>
      <c r="F8" s="17">
        <v>3.27</v>
      </c>
      <c r="G8" s="17">
        <v>3.44</v>
      </c>
      <c r="H8" s="17">
        <v>3.38</v>
      </c>
      <c r="I8" s="9">
        <f t="shared" si="0"/>
        <v>0.16955017301038056</v>
      </c>
    </row>
    <row r="9" spans="1:9" x14ac:dyDescent="0.2">
      <c r="A9" s="6" t="s">
        <v>164</v>
      </c>
      <c r="B9" s="17">
        <v>0.75</v>
      </c>
      <c r="C9" s="17">
        <v>0.81</v>
      </c>
      <c r="D9" s="17">
        <v>0.87</v>
      </c>
      <c r="E9" s="17">
        <v>0.87</v>
      </c>
      <c r="F9" s="17">
        <v>0.9</v>
      </c>
      <c r="G9" s="17">
        <v>0.91</v>
      </c>
      <c r="H9" s="17">
        <v>0.9</v>
      </c>
      <c r="I9" s="9">
        <f t="shared" si="0"/>
        <v>0.19999999999999996</v>
      </c>
    </row>
    <row r="10" spans="1:9" x14ac:dyDescent="0.2">
      <c r="A10" s="6" t="s">
        <v>165</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166</v>
      </c>
    </row>
    <row r="14" spans="1:9" ht="30" customHeight="1" x14ac:dyDescent="0.2">
      <c r="A14" s="5" t="s">
        <v>167</v>
      </c>
      <c r="B14" s="5" t="s">
        <v>168</v>
      </c>
    </row>
    <row r="15" spans="1:9" x14ac:dyDescent="0.2">
      <c r="A15" s="6" t="s">
        <v>169</v>
      </c>
      <c r="B15" s="19">
        <f>H6/H10</f>
        <v>9.8706896551724146</v>
      </c>
    </row>
    <row r="16" spans="1:9" x14ac:dyDescent="0.2">
      <c r="A16" s="6" t="s">
        <v>170</v>
      </c>
      <c r="B16" s="19">
        <f>H8/H10</f>
        <v>4.8563218390804597</v>
      </c>
    </row>
    <row r="17" spans="1:2" x14ac:dyDescent="0.2">
      <c r="A17" s="6" t="s">
        <v>171</v>
      </c>
      <c r="B17" s="16">
        <f>H10/H6</f>
        <v>0.10131004366812227</v>
      </c>
    </row>
    <row r="18" spans="1:2" x14ac:dyDescent="0.2">
      <c r="A18" s="6" t="s">
        <v>172</v>
      </c>
      <c r="B18" s="16">
        <f>H10/H8</f>
        <v>0.2059171597633136</v>
      </c>
    </row>
    <row r="19" spans="1:2" x14ac:dyDescent="0.2">
      <c r="A19" s="6" t="s">
        <v>173</v>
      </c>
      <c r="B19" s="19">
        <f>H6-H8</f>
        <v>3.49</v>
      </c>
    </row>
    <row r="20" spans="1:2" x14ac:dyDescent="0.2">
      <c r="A20" s="6" t="s">
        <v>174</v>
      </c>
      <c r="B20" s="19">
        <f>H8-H10</f>
        <v>2.6840000000000002</v>
      </c>
    </row>
    <row r="22" spans="1:2" x14ac:dyDescent="0.2">
      <c r="A22" s="2" t="s">
        <v>175</v>
      </c>
    </row>
    <row r="24" spans="1:2" x14ac:dyDescent="0.2">
      <c r="A24" s="18" t="s">
        <v>176</v>
      </c>
    </row>
    <row r="25" spans="1:2" x14ac:dyDescent="0.2">
      <c r="A25" s="2" t="s">
        <v>177</v>
      </c>
    </row>
    <row r="26" spans="1:2" ht="18" customHeight="1" x14ac:dyDescent="0.2">
      <c r="A26" s="5" t="s">
        <v>178</v>
      </c>
      <c r="B26" s="5" t="s">
        <v>179</v>
      </c>
    </row>
    <row r="27" spans="1:2" x14ac:dyDescent="0.2">
      <c r="A27" s="6" t="s">
        <v>160</v>
      </c>
      <c r="B27" s="17">
        <f>H5</f>
        <v>69.13</v>
      </c>
    </row>
    <row r="28" spans="1:2" x14ac:dyDescent="0.2">
      <c r="A28" s="6" t="s">
        <v>180</v>
      </c>
      <c r="B28" s="17">
        <f>H6</f>
        <v>6.87</v>
      </c>
    </row>
    <row r="29" spans="1:2" x14ac:dyDescent="0.2">
      <c r="A29" s="6" t="s">
        <v>181</v>
      </c>
      <c r="B29" s="17">
        <f>H8</f>
        <v>3.38</v>
      </c>
    </row>
    <row r="30" spans="1:2" x14ac:dyDescent="0.2">
      <c r="A30" s="6" t="s">
        <v>182</v>
      </c>
      <c r="B30" s="17">
        <f>H9</f>
        <v>0.9</v>
      </c>
    </row>
    <row r="31" spans="1:2" x14ac:dyDescent="0.2">
      <c r="A31" s="6" t="s">
        <v>183</v>
      </c>
      <c r="B31" s="17">
        <f>H10</f>
        <v>0.69599999999999995</v>
      </c>
    </row>
    <row r="33" spans="1:8" x14ac:dyDescent="0.2">
      <c r="A33" s="18" t="s">
        <v>276</v>
      </c>
    </row>
    <row r="34" spans="1:8" x14ac:dyDescent="0.2">
      <c r="A34" s="2" t="s">
        <v>277</v>
      </c>
    </row>
    <row r="35" spans="1:8" x14ac:dyDescent="0.2">
      <c r="A35" s="5" t="s">
        <v>278</v>
      </c>
      <c r="B35" s="5">
        <v>2019</v>
      </c>
      <c r="C35" s="5">
        <v>2020</v>
      </c>
      <c r="D35" s="5">
        <v>2021</v>
      </c>
      <c r="E35" s="5">
        <v>2022</v>
      </c>
      <c r="F35" s="5">
        <v>2023</v>
      </c>
      <c r="G35" s="5">
        <v>2024</v>
      </c>
      <c r="H35" s="5">
        <v>2025</v>
      </c>
    </row>
    <row r="36" spans="1:8" x14ac:dyDescent="0.2">
      <c r="A36" s="6" t="s">
        <v>180</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181</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165</v>
      </c>
      <c r="B38" s="48">
        <f>B10</f>
        <v>0.64300000000000002</v>
      </c>
      <c r="C38" s="12">
        <f t="shared" ref="B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40" spans="1:8" x14ac:dyDescent="0.2">
      <c r="A40" s="2" t="s">
        <v>279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184</v>
      </c>
    </row>
    <row r="2" spans="1:11" x14ac:dyDescent="0.2">
      <c r="A2" s="2" t="s">
        <v>185</v>
      </c>
    </row>
    <row r="4" spans="1:11" ht="30" customHeight="1" x14ac:dyDescent="0.2">
      <c r="A4" s="5" t="s">
        <v>186</v>
      </c>
      <c r="B4" s="5" t="s">
        <v>131</v>
      </c>
      <c r="C4" s="5" t="s">
        <v>187</v>
      </c>
      <c r="D4" s="5" t="s">
        <v>188</v>
      </c>
      <c r="E4" s="5" t="s">
        <v>189</v>
      </c>
      <c r="F4" s="5" t="s">
        <v>190</v>
      </c>
      <c r="G4" s="5" t="s">
        <v>191</v>
      </c>
      <c r="H4" s="5" t="s">
        <v>192</v>
      </c>
      <c r="I4" s="5" t="s">
        <v>193</v>
      </c>
      <c r="J4" s="5" t="s">
        <v>194</v>
      </c>
      <c r="K4" s="5" t="s">
        <v>195</v>
      </c>
    </row>
    <row r="5" spans="1:11" x14ac:dyDescent="0.2">
      <c r="A5" s="6" t="s">
        <v>196</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197</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198</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199</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200</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201</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202</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203</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204</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205</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206</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207</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208</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209</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210</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211</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212</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213</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7"/>
  <sheetViews>
    <sheetView zoomScale="110" workbookViewId="0">
      <selection activeCell="G14" sqref="G14"/>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214</v>
      </c>
    </row>
    <row r="2" spans="1:7" x14ac:dyDescent="0.2">
      <c r="A2" s="2" t="s">
        <v>215</v>
      </c>
    </row>
    <row r="4" spans="1:7" x14ac:dyDescent="0.2">
      <c r="A4" s="18" t="s">
        <v>216</v>
      </c>
    </row>
    <row r="5" spans="1:7" ht="30" customHeight="1" x14ac:dyDescent="0.2">
      <c r="A5" s="5" t="s">
        <v>109</v>
      </c>
      <c r="B5" s="5" t="s">
        <v>217</v>
      </c>
      <c r="C5" s="5" t="s">
        <v>158</v>
      </c>
      <c r="D5" s="5" t="s">
        <v>101</v>
      </c>
      <c r="E5" s="5" t="s">
        <v>102</v>
      </c>
      <c r="F5" s="5" t="s">
        <v>218</v>
      </c>
      <c r="G5" s="5" t="s">
        <v>219</v>
      </c>
    </row>
    <row r="6" spans="1:7" x14ac:dyDescent="0.2">
      <c r="A6" s="6" t="s">
        <v>111</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112</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113</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114</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115</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116</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117</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118</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119</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120</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121</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220</v>
      </c>
    </row>
    <row r="20" spans="1:8" ht="30" customHeight="1" x14ac:dyDescent="0.2">
      <c r="A20" s="5" t="s">
        <v>124</v>
      </c>
      <c r="B20" s="5" t="s">
        <v>125</v>
      </c>
      <c r="C20" s="5" t="s">
        <v>131</v>
      </c>
      <c r="D20" s="5" t="s">
        <v>132</v>
      </c>
      <c r="E20" s="5" t="s">
        <v>221</v>
      </c>
      <c r="F20" s="5" t="s">
        <v>100</v>
      </c>
      <c r="G20" s="5" t="s">
        <v>222</v>
      </c>
      <c r="H20" s="5" t="s">
        <v>223</v>
      </c>
    </row>
    <row r="21" spans="1:8" x14ac:dyDescent="0.2">
      <c r="A21" s="6" t="str">
        <f>'03_States'!A16</f>
        <v>Schleswig-Holstein</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tr">
        <f>'03_States'!A10</f>
        <v>Mecklenburg-Vorpommern</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tr">
        <f>'03_States'!A8</f>
        <v>Hamburg</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tr">
        <f>'03_States'!A6</f>
        <v>Bavaria</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tr">
        <f>'03_States'!A11</f>
        <v>Lower Saxony</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tr">
        <f>'03_States'!A12</f>
        <v>North Rhine-Westphalia</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tr">
        <f>'03_States'!A9</f>
        <v>Hesse</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tr">
        <f>'03_States'!A5</f>
        <v>Baden-Württemberg</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tr">
        <f>'03_States'!A13</f>
        <v>Rhineland-Palatinate</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tr">
        <f>'03_States'!A7</f>
        <v>Berlin/Brandenburg Metropolitan Region</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tr">
        <f>'03_States'!A15</f>
        <v>Saxony</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tr">
        <f>'03_States'!A14</f>
        <v>Saxony-Anhalt</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224</v>
      </c>
    </row>
    <row r="36" spans="1:2" x14ac:dyDescent="0.2">
      <c r="A36" s="2" t="s">
        <v>225</v>
      </c>
    </row>
    <row r="37" spans="1:2" ht="28" customHeight="1" x14ac:dyDescent="0.2">
      <c r="A37" s="5" t="s">
        <v>109</v>
      </c>
      <c r="B37" s="5" t="s">
        <v>226</v>
      </c>
    </row>
    <row r="38" spans="1:2" x14ac:dyDescent="0.2">
      <c r="A38" s="6" t="s">
        <v>111</v>
      </c>
      <c r="B38" s="26">
        <f t="shared" ref="B38:B48" si="6">D6</f>
        <v>298</v>
      </c>
    </row>
    <row r="39" spans="1:2" x14ac:dyDescent="0.2">
      <c r="A39" s="6" t="s">
        <v>112</v>
      </c>
      <c r="B39" s="26">
        <f t="shared" si="6"/>
        <v>-2576</v>
      </c>
    </row>
    <row r="40" spans="1:2" x14ac:dyDescent="0.2">
      <c r="A40" s="6" t="s">
        <v>113</v>
      </c>
      <c r="B40" s="26">
        <f t="shared" si="6"/>
        <v>1123</v>
      </c>
    </row>
    <row r="41" spans="1:2" x14ac:dyDescent="0.2">
      <c r="A41" s="6" t="s">
        <v>114</v>
      </c>
      <c r="B41" s="26">
        <f t="shared" si="6"/>
        <v>2145</v>
      </c>
    </row>
    <row r="42" spans="1:2" x14ac:dyDescent="0.2">
      <c r="A42" s="6" t="s">
        <v>115</v>
      </c>
      <c r="B42" s="26">
        <f t="shared" si="6"/>
        <v>12863</v>
      </c>
    </row>
    <row r="43" spans="1:2" x14ac:dyDescent="0.2">
      <c r="A43" s="6" t="s">
        <v>116</v>
      </c>
      <c r="B43" s="26">
        <f t="shared" si="6"/>
        <v>16524</v>
      </c>
    </row>
    <row r="44" spans="1:2" x14ac:dyDescent="0.2">
      <c r="A44" s="6" t="s">
        <v>117</v>
      </c>
      <c r="B44" s="26">
        <f t="shared" si="6"/>
        <v>-3</v>
      </c>
    </row>
    <row r="45" spans="1:2" x14ac:dyDescent="0.2">
      <c r="A45" s="6" t="s">
        <v>118</v>
      </c>
      <c r="B45" s="26">
        <f t="shared" si="6"/>
        <v>-39109</v>
      </c>
    </row>
    <row r="46" spans="1:2" x14ac:dyDescent="0.2">
      <c r="A46" s="6" t="s">
        <v>119</v>
      </c>
      <c r="B46" s="26">
        <f t="shared" si="6"/>
        <v>-18304</v>
      </c>
    </row>
    <row r="47" spans="1:2" x14ac:dyDescent="0.2">
      <c r="A47" s="6" t="s">
        <v>120</v>
      </c>
      <c r="B47" s="26">
        <f t="shared" si="6"/>
        <v>25992</v>
      </c>
    </row>
    <row r="48" spans="1:2" x14ac:dyDescent="0.2">
      <c r="A48" s="6" t="s">
        <v>121</v>
      </c>
      <c r="B48" s="26">
        <f t="shared" si="6"/>
        <v>53506</v>
      </c>
    </row>
    <row r="49" spans="1:2" x14ac:dyDescent="0.2">
      <c r="A49" s="13" t="s">
        <v>110</v>
      </c>
      <c r="B49" s="27">
        <f>SUM(B38:B48)</f>
        <v>52459</v>
      </c>
    </row>
    <row r="51" spans="1:2" x14ac:dyDescent="0.2">
      <c r="A51" s="18" t="s">
        <v>227</v>
      </c>
    </row>
    <row r="52" spans="1:2" x14ac:dyDescent="0.2">
      <c r="A52" s="12" t="s">
        <v>125</v>
      </c>
      <c r="B52" s="14">
        <f>'01_Timeseries'!B14</f>
        <v>695617</v>
      </c>
    </row>
    <row r="53" spans="1:2" x14ac:dyDescent="0.2">
      <c r="A53" s="12" t="s">
        <v>228</v>
      </c>
      <c r="B53" s="27">
        <f>'01_Timeseries'!F14</f>
        <v>8909</v>
      </c>
    </row>
    <row r="54" spans="1:2" x14ac:dyDescent="0.2">
      <c r="A54" s="12" t="s">
        <v>229</v>
      </c>
      <c r="B54" s="15">
        <f>'01_Timeseries'!G14</f>
        <v>1.297349091608078E-2</v>
      </c>
    </row>
    <row r="55" spans="1:2" x14ac:dyDescent="0.2">
      <c r="A55" s="12" t="s">
        <v>230</v>
      </c>
      <c r="B55" s="15">
        <f>'01_Timeseries'!B14/'01_Timeseries'!B5-1</f>
        <v>8.1564716601519427E-2</v>
      </c>
    </row>
    <row r="56" spans="1:2" x14ac:dyDescent="0.2">
      <c r="A56" s="12" t="s">
        <v>231</v>
      </c>
      <c r="B56" s="16">
        <f>'01_Timeseries'!E14</f>
        <v>0.34725287047326331</v>
      </c>
    </row>
    <row r="57" spans="1:2" x14ac:dyDescent="0.2">
      <c r="A57" s="12" t="s">
        <v>232</v>
      </c>
      <c r="B57" s="28">
        <f>('01_Timeseries'!E14-'01_Timeseries'!E5)*100</f>
        <v>-2.0630293539312117</v>
      </c>
    </row>
    <row r="58" spans="1:2" x14ac:dyDescent="0.2">
      <c r="A58" s="12" t="s">
        <v>233</v>
      </c>
      <c r="B58" s="16">
        <f>'02_Age_Gender'!AE16/'01_Timeseries'!B14</f>
        <v>0.4401171909254662</v>
      </c>
    </row>
    <row r="59" spans="1:2" x14ac:dyDescent="0.2">
      <c r="A59" s="12" t="s">
        <v>234</v>
      </c>
      <c r="B59" s="16">
        <f>SUM('02_Age_Gender'!AE6:AE8)/'01_Timeseries'!B14</f>
        <v>6.1525235869738661E-2</v>
      </c>
    </row>
    <row r="60" spans="1:2" x14ac:dyDescent="0.2">
      <c r="A60" s="12" t="s">
        <v>235</v>
      </c>
      <c r="B60" s="15">
        <f>SUM('02_Age_Gender'!AE6:AE8)/SUM('02_Age_Gender'!D6:D8)-1</f>
        <v>-2.6278069756330624E-2</v>
      </c>
    </row>
    <row r="61" spans="1:2" x14ac:dyDescent="0.2">
      <c r="A61" s="12" t="s">
        <v>236</v>
      </c>
      <c r="B61" s="14">
        <f>'01_Timeseries'!I14</f>
        <v>721</v>
      </c>
    </row>
    <row r="62" spans="1:2" x14ac:dyDescent="0.2">
      <c r="A62" s="12" t="s">
        <v>237</v>
      </c>
      <c r="B62" s="24">
        <f>'01_Timeseries'!B14/83577140*1000</f>
        <v>8.3230534091020587</v>
      </c>
    </row>
    <row r="63" spans="1:2" x14ac:dyDescent="0.2">
      <c r="A63" s="12" t="s">
        <v>238</v>
      </c>
      <c r="B63" s="24">
        <f>'04_Funnel'!B15</f>
        <v>9.8706896551724146</v>
      </c>
    </row>
    <row r="64" spans="1:2" x14ac:dyDescent="0.2">
      <c r="A64" s="12" t="s">
        <v>239</v>
      </c>
      <c r="B64" s="19">
        <f>'04_Funnel'!B19</f>
        <v>3.49</v>
      </c>
    </row>
    <row r="65" spans="1:2" x14ac:dyDescent="0.2">
      <c r="A65" s="12" t="s">
        <v>240</v>
      </c>
      <c r="B65" s="24">
        <f>'05_Europe'!H6</f>
        <v>53.307071937218645</v>
      </c>
    </row>
    <row r="67" spans="1:2" x14ac:dyDescent="0.2">
      <c r="A67" s="16" t="s">
        <v>265</v>
      </c>
    </row>
    <row r="68" spans="1:2" x14ac:dyDescent="0.2">
      <c r="A68" t="s">
        <v>266</v>
      </c>
      <c r="B68" s="7">
        <f>'20_Dashboard'!D5</f>
        <v>2021</v>
      </c>
    </row>
    <row r="69" spans="1:2" x14ac:dyDescent="0.2">
      <c r="A69" t="s">
        <v>267</v>
      </c>
      <c r="B69" s="7">
        <f>INDEX('01_Timeseries'!$B$5:$B$14,MATCH($B$68,'01_Timeseries'!$A$5:$A$14,0))</f>
        <v>673983</v>
      </c>
    </row>
    <row r="70" spans="1:2" x14ac:dyDescent="0.2">
      <c r="A70" t="s">
        <v>268</v>
      </c>
      <c r="B70" s="12">
        <f>INDEX('01_Timeseries'!$E$5:$E$14,MATCH($B$68,'01_Timeseries'!$A$5:$A$14,0))</f>
        <v>0.3593043147972575</v>
      </c>
    </row>
    <row r="71" spans="1:2" x14ac:dyDescent="0.2">
      <c r="A71" t="s">
        <v>269</v>
      </c>
      <c r="B71" s="7">
        <f>SUM(INDEX('02_Age_Gender'!$B$6:$AE$8,0,($B$68-2016)*3+3))</f>
        <v>43918</v>
      </c>
    </row>
    <row r="72" spans="1:2" x14ac:dyDescent="0.2">
      <c r="A72" t="s">
        <v>270</v>
      </c>
      <c r="B72" s="12">
        <f>INDEX('02_Age_Gender'!$B$16:$AE$16,($B$68-2016)*3+3)/$B$69</f>
        <v>0.42302995772890412</v>
      </c>
    </row>
    <row r="73" spans="1:2" x14ac:dyDescent="0.2">
      <c r="A73" t="s">
        <v>271</v>
      </c>
      <c r="B73" s="7">
        <f>'01_Timeseries'!B14-$B$69</f>
        <v>21634</v>
      </c>
    </row>
    <row r="74" spans="1:2" x14ac:dyDescent="0.2">
      <c r="A74" t="s">
        <v>272</v>
      </c>
      <c r="B74" s="12">
        <f>'01_Timeseries'!B14/$B$69-1</f>
        <v>3.2098732460611012E-2</v>
      </c>
    </row>
    <row r="75" spans="1:2" x14ac:dyDescent="0.2">
      <c r="A75" t="s">
        <v>273</v>
      </c>
      <c r="B75" s="12">
        <f>('01_Timeseries'!E14-$B$70)*100</f>
        <v>-1.2051444323994187</v>
      </c>
    </row>
    <row r="76" spans="1:2" x14ac:dyDescent="0.2">
      <c r="A76" t="s">
        <v>274</v>
      </c>
      <c r="B76" s="12">
        <f>($B$58-$B$72)*100</f>
        <v>1.7087233196562079</v>
      </c>
    </row>
    <row r="77" spans="1:2" x14ac:dyDescent="0.2">
      <c r="A77" t="s">
        <v>275</v>
      </c>
      <c r="B77" s="12">
        <f>SUM('02_Age_Gender'!AE6:AE8)/$B$71-1</f>
        <v>-2.550207204335353E-2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topLeftCell="A13" zoomScale="111" zoomScaleNormal="162" workbookViewId="0">
      <selection activeCell="N17" sqref="N17"/>
    </sheetView>
  </sheetViews>
  <sheetFormatPr baseColWidth="10" defaultColWidth="8.83203125" defaultRowHeight="15" x14ac:dyDescent="0.2"/>
  <cols>
    <col min="1" max="1" width="2" customWidth="1"/>
    <col min="2" max="12" width="17" customWidth="1"/>
    <col min="13" max="13" width="2" customWidth="1"/>
  </cols>
  <sheetData>
    <row r="2" spans="2:13" x14ac:dyDescent="0.2">
      <c r="B2" s="33" t="s">
        <v>0</v>
      </c>
      <c r="C2" s="34"/>
      <c r="D2" s="34"/>
      <c r="E2" s="34"/>
      <c r="F2" s="34"/>
      <c r="G2" s="34"/>
      <c r="H2" s="34"/>
      <c r="I2" s="34"/>
      <c r="J2" s="34"/>
      <c r="K2" s="34"/>
      <c r="L2" s="34"/>
    </row>
    <row r="3" spans="2:13" x14ac:dyDescent="0.2">
      <c r="B3" s="34"/>
      <c r="C3" s="34"/>
      <c r="D3" s="34"/>
      <c r="E3" s="34"/>
      <c r="F3" s="34"/>
      <c r="G3" s="34"/>
      <c r="H3" s="34"/>
      <c r="I3" s="34"/>
      <c r="J3" s="34"/>
      <c r="K3" s="34"/>
      <c r="L3" s="34"/>
    </row>
    <row r="4" spans="2:13" x14ac:dyDescent="0.2">
      <c r="B4" s="43" t="s">
        <v>1</v>
      </c>
      <c r="C4" s="32"/>
      <c r="D4" s="32"/>
      <c r="E4" s="32"/>
      <c r="F4" s="32"/>
      <c r="G4" s="32"/>
      <c r="H4" s="32"/>
      <c r="I4" s="32"/>
      <c r="J4" s="32"/>
      <c r="K4" s="32"/>
      <c r="L4" s="32"/>
    </row>
    <row r="5" spans="2:13" ht="25" x14ac:dyDescent="0.2">
      <c r="B5" s="16" t="s">
        <v>263</v>
      </c>
      <c r="D5" s="30">
        <v>2021</v>
      </c>
      <c r="F5" s="2" t="s">
        <v>264</v>
      </c>
    </row>
    <row r="6" spans="2:13" ht="16" customHeight="1" x14ac:dyDescent="0.2">
      <c r="B6" s="44" t="s">
        <v>2</v>
      </c>
      <c r="C6" s="34"/>
      <c r="D6" s="44" t="str">
        <f>"GROWTH vs "&amp;'06_Metrics'!B68</f>
        <v>GROWTH vs 2021</v>
      </c>
      <c r="E6" s="34"/>
      <c r="F6" s="35" t="s">
        <v>3</v>
      </c>
      <c r="G6" s="36"/>
      <c r="H6" s="35" t="s">
        <v>4</v>
      </c>
      <c r="I6" s="36"/>
      <c r="J6" s="35" t="str">
        <f>"UNDER 19 vs "&amp;'06_Metrics'!B68</f>
        <v>UNDER 19 vs 2021</v>
      </c>
      <c r="K6" s="36"/>
      <c r="L6" s="45" t="s">
        <v>5</v>
      </c>
      <c r="M6" s="46"/>
    </row>
    <row r="7" spans="2:13" ht="22" customHeight="1" x14ac:dyDescent="0.2">
      <c r="B7" s="39">
        <f>'06_Metrics'!B52</f>
        <v>695617</v>
      </c>
      <c r="C7" s="38"/>
      <c r="D7" s="37">
        <f>'06_Metrics'!B74</f>
        <v>3.2098732460611012E-2</v>
      </c>
      <c r="E7" s="38"/>
      <c r="F7" s="42">
        <f>'06_Metrics'!B56</f>
        <v>0.34725287047326331</v>
      </c>
      <c r="G7" s="38"/>
      <c r="H7" s="42">
        <f>'06_Metrics'!B58</f>
        <v>0.4401171909254662</v>
      </c>
      <c r="I7" s="38"/>
      <c r="J7" s="42">
        <f>'06_Metrics'!B77</f>
        <v>-2.550207204335353E-2</v>
      </c>
      <c r="K7" s="38"/>
      <c r="L7" s="40">
        <f>'06_Metrics'!B63</f>
        <v>9.8706896551724146</v>
      </c>
      <c r="M7" s="38"/>
    </row>
    <row r="8" spans="2:13" ht="22" customHeight="1" x14ac:dyDescent="0.2">
      <c r="B8" s="32"/>
      <c r="C8" s="32"/>
      <c r="D8" s="32"/>
      <c r="E8" s="32"/>
      <c r="F8" s="32"/>
      <c r="G8" s="32"/>
      <c r="H8" s="32"/>
      <c r="I8" s="32"/>
      <c r="J8" s="32"/>
      <c r="K8" s="32"/>
      <c r="L8" s="32"/>
      <c r="M8" s="32"/>
    </row>
    <row r="9" spans="2:13" x14ac:dyDescent="0.2">
      <c r="B9" s="47" t="str">
        <f>"Compared with "&amp;'06_Metrics'!B68&amp;": "&amp;TEXT('06_Metrics'!B73,"+#,##0;-#,##0")&amp;" members "&amp;"("&amp;TEXT('06_Metrics'!B74,"+0.0%;-0.0%")&amp;")"&amp;"     ·     female share "&amp;TEXT('06_Metrics'!B75,"+0.0;-0.0")&amp;" pp"&amp;"     ·     aged 61+ "&amp;TEXT('06_Metrics'!B76,"+0.0;-0.0")&amp;" pp"&amp;"     ·     under 19 "&amp;TEXT('06_Metrics'!B77,"+0.0%;-0.0%")</f>
        <v>Compared with 2021: +21634,0 members (+03%)     ·     female share -01 pp     ·     aged 61+ +02 pp     ·     under 19 -03%</v>
      </c>
      <c r="C9" s="32"/>
      <c r="D9" s="32"/>
      <c r="E9" s="32"/>
      <c r="F9" s="32"/>
      <c r="G9" s="32"/>
      <c r="H9" s="32"/>
      <c r="I9" s="32"/>
      <c r="J9" s="32"/>
      <c r="K9" s="32"/>
      <c r="L9" s="32"/>
      <c r="M9" s="32"/>
    </row>
    <row r="11" spans="2:13" x14ac:dyDescent="0.2">
      <c r="B11" s="29" t="s">
        <v>241</v>
      </c>
      <c r="H11" s="29" t="s">
        <v>6</v>
      </c>
    </row>
    <row r="29" spans="2:8" x14ac:dyDescent="0.2">
      <c r="B29" s="29" t="s">
        <v>7</v>
      </c>
      <c r="H29" s="29" t="s">
        <v>8</v>
      </c>
    </row>
    <row r="47" spans="2:8" x14ac:dyDescent="0.2">
      <c r="B47" s="29" t="s">
        <v>9</v>
      </c>
      <c r="H47" s="29" t="s">
        <v>10</v>
      </c>
    </row>
    <row r="67" spans="2:12" x14ac:dyDescent="0.2">
      <c r="B67" s="41" t="s">
        <v>11</v>
      </c>
      <c r="C67" s="32"/>
      <c r="D67" s="32"/>
      <c r="E67" s="32"/>
      <c r="F67" s="32"/>
      <c r="G67" s="32"/>
      <c r="H67" s="32"/>
      <c r="I67" s="32"/>
      <c r="J67" s="32"/>
      <c r="K67" s="32"/>
      <c r="L67" s="32"/>
    </row>
    <row r="68" spans="2:12" x14ac:dyDescent="0.2">
      <c r="B68" s="32"/>
      <c r="C68" s="32"/>
      <c r="D68" s="32"/>
      <c r="E68" s="32"/>
      <c r="F68" s="32"/>
      <c r="G68" s="32"/>
      <c r="H68" s="32"/>
      <c r="I68" s="32"/>
      <c r="J68" s="32"/>
      <c r="K68" s="32"/>
      <c r="L68" s="32"/>
    </row>
  </sheetData>
  <mergeCells count="16">
    <mergeCell ref="B67:L68"/>
    <mergeCell ref="H7:I8"/>
    <mergeCell ref="F7:G8"/>
    <mergeCell ref="J7:K8"/>
    <mergeCell ref="B4:L4"/>
    <mergeCell ref="B6:C6"/>
    <mergeCell ref="D6:E6"/>
    <mergeCell ref="H6:I6"/>
    <mergeCell ref="L6:M6"/>
    <mergeCell ref="B9:M9"/>
    <mergeCell ref="B2:L3"/>
    <mergeCell ref="F6:G6"/>
    <mergeCell ref="D7:E8"/>
    <mergeCell ref="B7:C8"/>
    <mergeCell ref="J6:K6"/>
    <mergeCell ref="L7:M8"/>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D5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2026-09-24T14:59:42Z</dcterms:modified>
</cp:coreProperties>
</file>